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Github -Excel\DAY43\"/>
    </mc:Choice>
  </mc:AlternateContent>
  <xr:revisionPtr revIDLastSave="0" documentId="13_ncr:1_{0709807F-E8B5-4152-B8D7-641F08CE7E55}" xr6:coauthVersionLast="47" xr6:coauthVersionMax="47" xr10:uidLastSave="{00000000-0000-0000-0000-000000000000}"/>
  <bookViews>
    <workbookView xWindow="30600" yWindow="-120" windowWidth="29040" windowHeight="15720" xr2:uid="{00000000-000D-0000-FFFF-FFFF00000000}"/>
  </bookViews>
  <sheets>
    <sheet name="sales_orders" sheetId="1" r:id="rId1"/>
    <sheet name="pricing_rul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1" l="1"/>
  <c r="H2" i="1" s="1"/>
  <c r="I2" i="1" s="1"/>
  <c r="F3" i="1"/>
  <c r="G3" i="1" s="1"/>
  <c r="H3" i="1" s="1"/>
  <c r="I3" i="1" s="1"/>
  <c r="F4" i="1"/>
  <c r="G4" i="1" s="1"/>
  <c r="H4" i="1" s="1"/>
  <c r="I4" i="1" s="1"/>
  <c r="F5" i="1"/>
  <c r="G5" i="1" s="1"/>
  <c r="H5" i="1" s="1"/>
  <c r="I5" i="1" s="1"/>
  <c r="F6" i="1"/>
  <c r="G6" i="1" s="1"/>
  <c r="H6" i="1" s="1"/>
  <c r="I6" i="1" s="1"/>
  <c r="F7" i="1"/>
  <c r="G7" i="1" s="1"/>
  <c r="H7" i="1" s="1"/>
  <c r="I7" i="1" s="1"/>
  <c r="F8" i="1"/>
  <c r="G8" i="1" s="1"/>
  <c r="H8" i="1" s="1"/>
  <c r="I8" i="1" s="1"/>
  <c r="F9" i="1"/>
  <c r="G9" i="1" s="1"/>
  <c r="H9" i="1" s="1"/>
  <c r="I9" i="1" s="1"/>
  <c r="F10" i="1"/>
  <c r="G10" i="1" s="1"/>
  <c r="H10" i="1" s="1"/>
  <c r="I10" i="1" s="1"/>
  <c r="F11" i="1"/>
  <c r="G11" i="1" s="1"/>
  <c r="H11" i="1" s="1"/>
  <c r="I11" i="1" s="1"/>
  <c r="D3" i="2"/>
  <c r="D4" i="2"/>
  <c r="D5" i="2"/>
  <c r="D6" i="2"/>
  <c r="D7" i="2"/>
  <c r="D8" i="2"/>
  <c r="D9" i="2"/>
  <c r="D10" i="2"/>
  <c r="D11" i="2"/>
  <c r="D2" i="2"/>
  <c r="F2" i="1"/>
</calcChain>
</file>

<file path=xl/sharedStrings.xml><?xml version="1.0" encoding="utf-8"?>
<sst xmlns="http://schemas.openxmlformats.org/spreadsheetml/2006/main" count="63" uniqueCount="23">
  <si>
    <t>order_id</t>
  </si>
  <si>
    <t>customer</t>
  </si>
  <si>
    <t>product</t>
  </si>
  <si>
    <t>region</t>
  </si>
  <si>
    <t>units</t>
  </si>
  <si>
    <t>Amazon</t>
  </si>
  <si>
    <t>Laptop</t>
  </si>
  <si>
    <t>North</t>
  </si>
  <si>
    <t>Flipkart</t>
  </si>
  <si>
    <t>Mouse</t>
  </si>
  <si>
    <t>South</t>
  </si>
  <si>
    <t>Croma</t>
  </si>
  <si>
    <t>Keyboard</t>
  </si>
  <si>
    <t>West</t>
  </si>
  <si>
    <t>Reliance</t>
  </si>
  <si>
    <t>Monitor</t>
  </si>
  <si>
    <t>East</t>
  </si>
  <si>
    <t>TataCliq</t>
  </si>
  <si>
    <t>unit_price</t>
  </si>
  <si>
    <t>lookup_key</t>
  </si>
  <si>
    <t>revenue</t>
  </si>
  <si>
    <t>order_value_segment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</si>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</sst>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11">
    <dxf>
      <fill>
        <patternFill patternType="solid">
          <fgColor indexed="64"/>
          <bgColor rgb="FF92D050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rgb="FF92D050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67DDC82-22BF-47B0-81F5-98E606526202}" name="sales_orders" displayName="sales_orders" ref="A1:I11" totalsRowShown="0" headerRowDxfId="5" dataDxfId="6">
  <autoFilter ref="A1:I11" xr:uid="{467DDC82-22BF-47B0-81F5-98E606526202}"/>
  <tableColumns count="9">
    <tableColumn id="1" xr3:uid="{86C9F1A5-F464-4186-A723-FD7FBFDB3884}" name="order_id" dataDxfId="10"/>
    <tableColumn id="2" xr3:uid="{EEE895AA-10E6-4234-BEE7-F0596069D4A3}" name="customer" dataDxfId="9"/>
    <tableColumn id="3" xr3:uid="{3CF0AFE4-3C1E-4542-A021-A9282698D763}" name="product" dataDxfId="8"/>
    <tableColumn id="4" xr3:uid="{AB51BD9C-107A-47D8-B0FC-0099093906C8}" name="region" dataDxfId="7"/>
    <tableColumn id="5" xr3:uid="{1D8DB12B-866B-4F11-9842-299516EC4552}" name="units" dataDxfId="4"/>
    <tableColumn id="6" xr3:uid="{342F9934-5476-4754-AFAD-EBF30A29D3B8}" name="Column1" dataDxfId="3">
      <calculatedColumnFormula>sales_orders[[#This Row],[product]]&amp;sales_orders[[#This Row],[region]]</calculatedColumnFormula>
    </tableColumn>
    <tableColumn id="7" xr3:uid="{1D1DBA2E-91A3-4A85-B192-9538E076E6D5}" name="unit_price" dataDxfId="2">
      <calculatedColumnFormula>INDEX(pricing_rules[unit_price],
MATCH(sales_orders[[#This Row],[Column1]],pricing_rules[lookup_key],0))</calculatedColumnFormula>
    </tableColumn>
    <tableColumn id="8" xr3:uid="{021299DC-7871-4090-82D6-50B7439397F3}" name="revenue" dataDxfId="0">
      <calculatedColumnFormula>sales_orders[[#This Row],[units]]*sales_orders[[#This Row],[unit_price]]</calculatedColumnFormula>
    </tableColumn>
    <tableColumn id="9" xr3:uid="{7D8FFD3E-BBC4-4BA3-A85E-1695278507D6}" name="order_value_segment" dataDxfId="1">
      <calculatedColumnFormula>IF(sales_orders[[#This Row],[revenue]]&gt;100000,"High Value","Standard")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135CD50-502C-4153-B763-736283CE710F}" name="pricing_rules" displayName="pricing_rules" ref="A1:D11" totalsRowShown="0">
  <autoFilter ref="A1:D11" xr:uid="{4135CD50-502C-4153-B763-736283CE710F}"/>
  <tableColumns count="4">
    <tableColumn id="1" xr3:uid="{5FDE1283-FFE4-40E2-B2AD-AEF0B69CE0AB}" name="product"/>
    <tableColumn id="2" xr3:uid="{FB2FB84D-1584-4734-944C-CC14C7FE4D84}" name="region"/>
    <tableColumn id="3" xr3:uid="{3519330B-3D82-48E9-91B4-A60FCB2D6F52}" name="unit_price"/>
    <tableColumn id="4" xr3:uid="{AF5ABF06-4948-4DEE-8D81-88646C1CBCEF}" name="lookup_key">
      <calculatedColumnFormula>pricing_rules[[#This Row],[product]]&amp;pricing_rules[[#This Row],[region]]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1" zoomScale="175" zoomScaleNormal="175" workbookViewId="0">
      <selection activeCell="H3" sqref="H3"/>
    </sheetView>
  </sheetViews>
  <sheetFormatPr defaultRowHeight="14.4" x14ac:dyDescent="0.3"/>
  <cols>
    <col min="1" max="1" width="9" customWidth="1"/>
    <col min="2" max="2" width="9.77734375" customWidth="1"/>
    <col min="6" max="6" width="13.109375" bestFit="1" customWidth="1"/>
    <col min="7" max="7" width="11.6640625" bestFit="1" customWidth="1"/>
    <col min="9" max="9" width="24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22</v>
      </c>
      <c r="G1" s="1" t="s">
        <v>18</v>
      </c>
      <c r="H1" s="2" t="s">
        <v>20</v>
      </c>
      <c r="I1" s="1" t="s">
        <v>21</v>
      </c>
    </row>
    <row r="2" spans="1:9" x14ac:dyDescent="0.3">
      <c r="A2" s="1">
        <v>9001</v>
      </c>
      <c r="B2" s="1" t="s">
        <v>5</v>
      </c>
      <c r="C2" s="1" t="s">
        <v>6</v>
      </c>
      <c r="D2" s="1" t="s">
        <v>7</v>
      </c>
      <c r="E2" s="1">
        <v>3</v>
      </c>
      <c r="F2" s="1" t="str">
        <f>sales_orders[[#This Row],[product]]&amp;sales_orders[[#This Row],[region]]</f>
        <v>LaptopNorth</v>
      </c>
      <c r="G2" s="1">
        <f>INDEX(pricing_rules[unit_price],
MATCH(sales_orders[[#This Row],[Column1]],pricing_rules[lookup_key],0))</f>
        <v>75000</v>
      </c>
      <c r="H2" s="2">
        <f>sales_orders[[#This Row],[units]]*sales_orders[[#This Row],[unit_price]]</f>
        <v>225000</v>
      </c>
      <c r="I2" s="1" t="str">
        <f>IF(sales_orders[[#This Row],[revenue]]&gt;100000,"High Value","Standard")</f>
        <v>High Value</v>
      </c>
    </row>
    <row r="3" spans="1:9" x14ac:dyDescent="0.3">
      <c r="A3" s="1">
        <v>9002</v>
      </c>
      <c r="B3" s="1" t="s">
        <v>8</v>
      </c>
      <c r="C3" s="1" t="s">
        <v>9</v>
      </c>
      <c r="D3" s="1" t="s">
        <v>10</v>
      </c>
      <c r="E3" s="1">
        <v>40</v>
      </c>
      <c r="F3" s="1" t="str">
        <f>sales_orders[[#This Row],[product]]&amp;sales_orders[[#This Row],[region]]</f>
        <v>MouseSouth</v>
      </c>
      <c r="G3" s="1">
        <f>INDEX(pricing_rules[unit_price],
MATCH(sales_orders[[#This Row],[Column1]],pricing_rules[lookup_key],0))</f>
        <v>820</v>
      </c>
      <c r="H3" s="2">
        <f>sales_orders[[#This Row],[units]]*sales_orders[[#This Row],[unit_price]]</f>
        <v>32800</v>
      </c>
      <c r="I3" s="1" t="str">
        <f>IF(sales_orders[[#This Row],[revenue]]&gt;100000,"High Value","Standard")</f>
        <v>Standard</v>
      </c>
    </row>
    <row r="4" spans="1:9" x14ac:dyDescent="0.3">
      <c r="A4" s="1">
        <v>9003</v>
      </c>
      <c r="B4" s="1" t="s">
        <v>11</v>
      </c>
      <c r="C4" s="1" t="s">
        <v>12</v>
      </c>
      <c r="D4" s="1" t="s">
        <v>13</v>
      </c>
      <c r="E4" s="1">
        <v>15</v>
      </c>
      <c r="F4" s="1" t="str">
        <f>sales_orders[[#This Row],[product]]&amp;sales_orders[[#This Row],[region]]</f>
        <v>KeyboardWest</v>
      </c>
      <c r="G4" s="1">
        <f>INDEX(pricing_rules[unit_price],
MATCH(sales_orders[[#This Row],[Column1]],pricing_rules[lookup_key],0))</f>
        <v>1500</v>
      </c>
      <c r="H4" s="2">
        <f>sales_orders[[#This Row],[units]]*sales_orders[[#This Row],[unit_price]]</f>
        <v>22500</v>
      </c>
      <c r="I4" s="1" t="str">
        <f>IF(sales_orders[[#This Row],[revenue]]&gt;100000,"High Value","Standard")</f>
        <v>Standard</v>
      </c>
    </row>
    <row r="5" spans="1:9" x14ac:dyDescent="0.3">
      <c r="A5" s="1">
        <v>9004</v>
      </c>
      <c r="B5" s="1" t="s">
        <v>14</v>
      </c>
      <c r="C5" s="1" t="s">
        <v>15</v>
      </c>
      <c r="D5" s="1" t="s">
        <v>16</v>
      </c>
      <c r="E5" s="1">
        <v>8</v>
      </c>
      <c r="F5" s="1" t="str">
        <f>sales_orders[[#This Row],[product]]&amp;sales_orders[[#This Row],[region]]</f>
        <v>MonitorEast</v>
      </c>
      <c r="G5" s="1">
        <f>INDEX(pricing_rules[unit_price],
MATCH(sales_orders[[#This Row],[Column1]],pricing_rules[lookup_key],0))</f>
        <v>18000</v>
      </c>
      <c r="H5" s="2">
        <f>sales_orders[[#This Row],[units]]*sales_orders[[#This Row],[unit_price]]</f>
        <v>144000</v>
      </c>
      <c r="I5" s="1" t="str">
        <f>IF(sales_orders[[#This Row],[revenue]]&gt;100000,"High Value","Standard")</f>
        <v>High Value</v>
      </c>
    </row>
    <row r="6" spans="1:9" x14ac:dyDescent="0.3">
      <c r="A6" s="1">
        <v>9005</v>
      </c>
      <c r="B6" s="1" t="s">
        <v>5</v>
      </c>
      <c r="C6" s="1" t="s">
        <v>6</v>
      </c>
      <c r="D6" s="1" t="s">
        <v>10</v>
      </c>
      <c r="E6" s="1">
        <v>2</v>
      </c>
      <c r="F6" s="1" t="str">
        <f>sales_orders[[#This Row],[product]]&amp;sales_orders[[#This Row],[region]]</f>
        <v>LaptopSouth</v>
      </c>
      <c r="G6" s="1">
        <f>INDEX(pricing_rules[unit_price],
MATCH(sales_orders[[#This Row],[Column1]],pricing_rules[lookup_key],0))</f>
        <v>76000</v>
      </c>
      <c r="H6" s="2">
        <f>sales_orders[[#This Row],[units]]*sales_orders[[#This Row],[unit_price]]</f>
        <v>152000</v>
      </c>
      <c r="I6" s="1" t="str">
        <f>IF(sales_orders[[#This Row],[revenue]]&gt;100000,"High Value","Standard")</f>
        <v>High Value</v>
      </c>
    </row>
    <row r="7" spans="1:9" x14ac:dyDescent="0.3">
      <c r="A7" s="1">
        <v>9006</v>
      </c>
      <c r="B7" s="1" t="s">
        <v>17</v>
      </c>
      <c r="C7" s="1" t="s">
        <v>9</v>
      </c>
      <c r="D7" s="1" t="s">
        <v>7</v>
      </c>
      <c r="E7" s="1">
        <v>30</v>
      </c>
      <c r="F7" s="1" t="str">
        <f>sales_orders[[#This Row],[product]]&amp;sales_orders[[#This Row],[region]]</f>
        <v>MouseNorth</v>
      </c>
      <c r="G7" s="1">
        <f>INDEX(pricing_rules[unit_price],
MATCH(sales_orders[[#This Row],[Column1]],pricing_rules[lookup_key],0))</f>
        <v>800</v>
      </c>
      <c r="H7" s="2">
        <f>sales_orders[[#This Row],[units]]*sales_orders[[#This Row],[unit_price]]</f>
        <v>24000</v>
      </c>
      <c r="I7" s="1" t="str">
        <f>IF(sales_orders[[#This Row],[revenue]]&gt;100000,"High Value","Standard")</f>
        <v>Standard</v>
      </c>
    </row>
    <row r="8" spans="1:9" x14ac:dyDescent="0.3">
      <c r="A8" s="1">
        <v>9007</v>
      </c>
      <c r="B8" s="1" t="s">
        <v>11</v>
      </c>
      <c r="C8" s="1" t="s">
        <v>12</v>
      </c>
      <c r="D8" s="1" t="s">
        <v>16</v>
      </c>
      <c r="E8" s="1">
        <v>20</v>
      </c>
      <c r="F8" s="1" t="str">
        <f>sales_orders[[#This Row],[product]]&amp;sales_orders[[#This Row],[region]]</f>
        <v>KeyboardEast</v>
      </c>
      <c r="G8" s="1">
        <f>INDEX(pricing_rules[unit_price],
MATCH(sales_orders[[#This Row],[Column1]],pricing_rules[lookup_key],0))</f>
        <v>1600</v>
      </c>
      <c r="H8" s="2">
        <f>sales_orders[[#This Row],[units]]*sales_orders[[#This Row],[unit_price]]</f>
        <v>32000</v>
      </c>
      <c r="I8" s="1" t="str">
        <f>IF(sales_orders[[#This Row],[revenue]]&gt;100000,"High Value","Standard")</f>
        <v>Standard</v>
      </c>
    </row>
    <row r="9" spans="1:9" x14ac:dyDescent="0.3">
      <c r="A9" s="1">
        <v>9008</v>
      </c>
      <c r="B9" s="1" t="s">
        <v>14</v>
      </c>
      <c r="C9" s="1" t="s">
        <v>15</v>
      </c>
      <c r="D9" s="1" t="s">
        <v>13</v>
      </c>
      <c r="E9" s="1">
        <v>6</v>
      </c>
      <c r="F9" s="1" t="str">
        <f>sales_orders[[#This Row],[product]]&amp;sales_orders[[#This Row],[region]]</f>
        <v>MonitorWest</v>
      </c>
      <c r="G9" s="1">
        <f>INDEX(pricing_rules[unit_price],
MATCH(sales_orders[[#This Row],[Column1]],pricing_rules[lookup_key],0))</f>
        <v>17500</v>
      </c>
      <c r="H9" s="2">
        <f>sales_orders[[#This Row],[units]]*sales_orders[[#This Row],[unit_price]]</f>
        <v>105000</v>
      </c>
      <c r="I9" s="1" t="str">
        <f>IF(sales_orders[[#This Row],[revenue]]&gt;100000,"High Value","Standard")</f>
        <v>High Value</v>
      </c>
    </row>
    <row r="10" spans="1:9" x14ac:dyDescent="0.3">
      <c r="A10" s="1">
        <v>9009</v>
      </c>
      <c r="B10" s="1" t="s">
        <v>5</v>
      </c>
      <c r="C10" s="1" t="s">
        <v>6</v>
      </c>
      <c r="D10" s="1" t="s">
        <v>16</v>
      </c>
      <c r="E10" s="1">
        <v>4</v>
      </c>
      <c r="F10" s="1" t="str">
        <f>sales_orders[[#This Row],[product]]&amp;sales_orders[[#This Row],[region]]</f>
        <v>LaptopEast</v>
      </c>
      <c r="G10" s="1">
        <f>INDEX(pricing_rules[unit_price],
MATCH(sales_orders[[#This Row],[Column1]],pricing_rules[lookup_key],0))</f>
        <v>77000</v>
      </c>
      <c r="H10" s="2">
        <f>sales_orders[[#This Row],[units]]*sales_orders[[#This Row],[unit_price]]</f>
        <v>308000</v>
      </c>
      <c r="I10" s="1" t="str">
        <f>IF(sales_orders[[#This Row],[revenue]]&gt;100000,"High Value","Standard")</f>
        <v>High Value</v>
      </c>
    </row>
    <row r="11" spans="1:9" x14ac:dyDescent="0.3">
      <c r="A11" s="1">
        <v>9010</v>
      </c>
      <c r="B11" s="1" t="s">
        <v>8</v>
      </c>
      <c r="C11" s="1" t="s">
        <v>9</v>
      </c>
      <c r="D11" s="1" t="s">
        <v>13</v>
      </c>
      <c r="E11" s="1">
        <v>50</v>
      </c>
      <c r="F11" s="1" t="str">
        <f>sales_orders[[#This Row],[product]]&amp;sales_orders[[#This Row],[region]]</f>
        <v>MouseWest</v>
      </c>
      <c r="G11" s="1">
        <f>INDEX(pricing_rules[unit_price],
MATCH(sales_orders[[#This Row],[Column1]],pricing_rules[lookup_key],0))</f>
        <v>780</v>
      </c>
      <c r="H11" s="2">
        <f>sales_orders[[#This Row],[units]]*sales_orders[[#This Row],[unit_price]]</f>
        <v>39000</v>
      </c>
      <c r="I11" s="1" t="str">
        <f>IF(sales_orders[[#This Row],[revenue]]&gt;100000,"High Value","Standard")</f>
        <v>Standard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1"/>
  <sheetViews>
    <sheetView zoomScale="175" zoomScaleNormal="175" workbookViewId="0">
      <selection activeCell="D2" sqref="D2:D11"/>
    </sheetView>
  </sheetViews>
  <sheetFormatPr defaultRowHeight="14.4" x14ac:dyDescent="0.3"/>
  <cols>
    <col min="1" max="1" width="9.5546875" customWidth="1"/>
    <col min="3" max="3" width="11.6640625" customWidth="1"/>
    <col min="4" max="4" width="13.109375" bestFit="1" customWidth="1"/>
  </cols>
  <sheetData>
    <row r="1" spans="1:4" x14ac:dyDescent="0.3">
      <c r="A1" t="s">
        <v>2</v>
      </c>
      <c r="B1" t="s">
        <v>3</v>
      </c>
      <c r="C1" t="s">
        <v>18</v>
      </c>
      <c r="D1" t="s">
        <v>19</v>
      </c>
    </row>
    <row r="2" spans="1:4" x14ac:dyDescent="0.3">
      <c r="A2" t="s">
        <v>6</v>
      </c>
      <c r="B2" t="s">
        <v>7</v>
      </c>
      <c r="C2">
        <v>75000</v>
      </c>
      <c r="D2" t="str">
        <f>pricing_rules[[#This Row],[product]]&amp;pricing_rules[[#This Row],[region]]</f>
        <v>LaptopNorth</v>
      </c>
    </row>
    <row r="3" spans="1:4" x14ac:dyDescent="0.3">
      <c r="A3" t="s">
        <v>6</v>
      </c>
      <c r="B3" t="s">
        <v>10</v>
      </c>
      <c r="C3">
        <v>76000</v>
      </c>
      <c r="D3" t="str">
        <f>pricing_rules[[#This Row],[product]]&amp;pricing_rules[[#This Row],[region]]</f>
        <v>LaptopSouth</v>
      </c>
    </row>
    <row r="4" spans="1:4" x14ac:dyDescent="0.3">
      <c r="A4" t="s">
        <v>6</v>
      </c>
      <c r="B4" t="s">
        <v>16</v>
      </c>
      <c r="C4">
        <v>77000</v>
      </c>
      <c r="D4" t="str">
        <f>pricing_rules[[#This Row],[product]]&amp;pricing_rules[[#This Row],[region]]</f>
        <v>LaptopEast</v>
      </c>
    </row>
    <row r="5" spans="1:4" x14ac:dyDescent="0.3">
      <c r="A5" t="s">
        <v>9</v>
      </c>
      <c r="B5" t="s">
        <v>7</v>
      </c>
      <c r="C5">
        <v>800</v>
      </c>
      <c r="D5" t="str">
        <f>pricing_rules[[#This Row],[product]]&amp;pricing_rules[[#This Row],[region]]</f>
        <v>MouseNorth</v>
      </c>
    </row>
    <row r="6" spans="1:4" x14ac:dyDescent="0.3">
      <c r="A6" t="s">
        <v>9</v>
      </c>
      <c r="B6" t="s">
        <v>10</v>
      </c>
      <c r="C6">
        <v>820</v>
      </c>
      <c r="D6" t="str">
        <f>pricing_rules[[#This Row],[product]]&amp;pricing_rules[[#This Row],[region]]</f>
        <v>MouseSouth</v>
      </c>
    </row>
    <row r="7" spans="1:4" x14ac:dyDescent="0.3">
      <c r="A7" t="s">
        <v>9</v>
      </c>
      <c r="B7" t="s">
        <v>13</v>
      </c>
      <c r="C7">
        <v>780</v>
      </c>
      <c r="D7" t="str">
        <f>pricing_rules[[#This Row],[product]]&amp;pricing_rules[[#This Row],[region]]</f>
        <v>MouseWest</v>
      </c>
    </row>
    <row r="8" spans="1:4" x14ac:dyDescent="0.3">
      <c r="A8" t="s">
        <v>12</v>
      </c>
      <c r="B8" t="s">
        <v>16</v>
      </c>
      <c r="C8">
        <v>1600</v>
      </c>
      <c r="D8" t="str">
        <f>pricing_rules[[#This Row],[product]]&amp;pricing_rules[[#This Row],[region]]</f>
        <v>KeyboardEast</v>
      </c>
    </row>
    <row r="9" spans="1:4" x14ac:dyDescent="0.3">
      <c r="A9" t="s">
        <v>12</v>
      </c>
      <c r="B9" t="s">
        <v>13</v>
      </c>
      <c r="C9">
        <v>1500</v>
      </c>
      <c r="D9" t="str">
        <f>pricing_rules[[#This Row],[product]]&amp;pricing_rules[[#This Row],[region]]</f>
        <v>KeyboardWest</v>
      </c>
    </row>
    <row r="10" spans="1:4" x14ac:dyDescent="0.3">
      <c r="A10" t="s">
        <v>15</v>
      </c>
      <c r="B10" t="s">
        <v>16</v>
      </c>
      <c r="C10">
        <v>18000</v>
      </c>
      <c r="D10" t="str">
        <f>pricing_rules[[#This Row],[product]]&amp;pricing_rules[[#This Row],[region]]</f>
        <v>MonitorEast</v>
      </c>
    </row>
    <row r="11" spans="1:4" x14ac:dyDescent="0.3">
      <c r="A11" t="s">
        <v>15</v>
      </c>
      <c r="B11" t="s">
        <v>13</v>
      </c>
      <c r="C11">
        <v>17500</v>
      </c>
      <c r="D11" t="str">
        <f>pricing_rules[[#This Row],[product]]&amp;pricing_rules[[#This Row],[region]]</f>
        <v>MonitorWest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sales_orders</vt:lpstr>
      <vt:lpstr>pricing_rules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saideep pallela</cp:lastModifiedBy>
  <dcterms:created xsi:type="dcterms:W3CDTF">2026-03-11T02:19:43Z</dcterms:created>
  <dcterms:modified xsi:type="dcterms:W3CDTF">2026-03-11T02:34:42Z</dcterms:modified>
</cp:coreProperties>
</file>