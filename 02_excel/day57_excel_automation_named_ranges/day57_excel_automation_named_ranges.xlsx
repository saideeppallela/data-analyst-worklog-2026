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Github -Excel\day57\"/>
    </mc:Choice>
  </mc:AlternateContent>
  <xr:revisionPtr revIDLastSave="0" documentId="13_ncr:1_{42F3AC2F-55AC-47E4-92C0-D9C63D3F876F}" xr6:coauthVersionLast="47" xr6:coauthVersionMax="47" xr10:uidLastSave="{00000000-0000-0000-0000-000000000000}"/>
  <bookViews>
    <workbookView xWindow="30600" yWindow="-120" windowWidth="29040" windowHeight="15720" activeTab="1" xr2:uid="{00000000-000D-0000-FFFF-FFFF00000000}"/>
  </bookViews>
  <sheets>
    <sheet name="weekly_sales" sheetId="1" r:id="rId1"/>
    <sheet name="auto_dashboard" sheetId="2" r:id="rId2"/>
    <sheet name="pivot_summary" sheetId="3" r:id="rId3"/>
  </sheets>
  <definedNames>
    <definedName name="Slicer_region">#N/A</definedName>
    <definedName name="total_orders">COUNTA(sales_table[order_id])</definedName>
    <definedName name="total_profit">SUM(sales_table[profit])</definedName>
    <definedName name="total_revenue">SUM(sales_table[revenue])</definedName>
  </definedNames>
  <calcPr calcId="191029"/>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 l="1"/>
  <c r="G10" i="1"/>
  <c r="C4" i="2" a="1"/>
  <c r="C4" i="2" s="1"/>
  <c r="C2" i="2" a="1"/>
  <c r="C2" i="2" s="1"/>
  <c r="G3" i="1"/>
  <c r="H3" i="1" s="1"/>
  <c r="G4" i="1"/>
  <c r="H4" i="1" s="1"/>
  <c r="G5" i="1"/>
  <c r="H5" i="1" s="1"/>
  <c r="G6" i="1"/>
  <c r="H6" i="1" s="1"/>
  <c r="G7" i="1"/>
  <c r="H7" i="1" s="1"/>
  <c r="G8" i="1"/>
  <c r="H8" i="1" s="1"/>
  <c r="G9" i="1"/>
  <c r="H9" i="1" s="1"/>
  <c r="G2" i="1"/>
  <c r="C3" i="2" s="1" a="1"/>
  <c r="C3" i="2" s="1"/>
  <c r="H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<sst xmlns="http://schemas.openxmlformats.org/spreadsheetml/2006/main" count="51" uniqueCount="30">
  <si>
    <t>order_id</t>
  </si>
  <si>
    <t>order_date</t>
  </si>
  <si>
    <t>region</t>
  </si>
  <si>
    <t>category</t>
  </si>
  <si>
    <t>revenue</t>
  </si>
  <si>
    <t>cost</t>
  </si>
  <si>
    <t>ORD301</t>
  </si>
  <si>
    <t>North</t>
  </si>
  <si>
    <t>Electronics</t>
  </si>
  <si>
    <t>ORD302</t>
  </si>
  <si>
    <t>South</t>
  </si>
  <si>
    <t>Furniture</t>
  </si>
  <si>
    <t>ORD303</t>
  </si>
  <si>
    <t>West</t>
  </si>
  <si>
    <t>ORD304</t>
  </si>
  <si>
    <t>East</t>
  </si>
  <si>
    <t>Clothing</t>
  </si>
  <si>
    <t>ORD305</t>
  </si>
  <si>
    <t>ORD306</t>
  </si>
  <si>
    <t>ORD307</t>
  </si>
  <si>
    <t>ORD308</t>
  </si>
  <si>
    <t>Total Revenue</t>
  </si>
  <si>
    <t>profit</t>
  </si>
  <si>
    <t>profit_margin%</t>
  </si>
  <si>
    <t>Total Profit</t>
  </si>
  <si>
    <t>Total Orders</t>
  </si>
  <si>
    <t>Total revenue</t>
  </si>
  <si>
    <t>Total profit</t>
  </si>
  <si>
    <t>ORD309</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</si>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</sst>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9" fontId="0" fillId="0" borderId="0" xfId="1"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14" fontId="0" fillId="2" borderId="0" xfId="0" applyNumberFormat="1" applyFill="1"/>
    <xf numFmtId="9" fontId="0" fillId="2" borderId="0" xfId="1" applyFont="1" applyFill="1"/>
    <xf numFmtId="0" fontId="2" fillId="3" borderId="1" xfId="0" applyFont="1" applyFill="1" applyBorder="1" applyAlignment="1">
      <alignment horizontal="center"/>
    </xf>
    <xf numFmtId="0" fontId="2" fillId="0" borderId="1" xfId="0" applyFont="1" applyBorder="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4</xdr:col>
      <xdr:colOff>79450</xdr:colOff>
      <xdr:row>1</xdr:row>
      <xdr:rowOff>17816</xdr:rowOff>
    </xdr:from>
    <xdr:to>
      <xdr:col>6</xdr:col>
      <xdr:colOff>312696</xdr:colOff>
      <xdr:row>9</xdr:row>
      <xdr:rowOff>16618</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F12C6A50-72CC-4914-94E6-1545A470FBB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136668" y="202908"/>
              <a:ext cx="1451893" cy="1449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150935</xdr:colOff>
      <xdr:row>1</xdr:row>
      <xdr:rowOff>22714</xdr:rowOff>
    </xdr:from>
    <xdr:to>
      <xdr:col>5</xdr:col>
      <xdr:colOff>399757</xdr:colOff>
      <xdr:row>9</xdr:row>
      <xdr:rowOff>32239</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FE58A2AB-527F-EA28-133C-70ACE8BC4A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57450" y="200612"/>
              <a:ext cx="1471832" cy="1465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5.932560648151" createdVersion="8" refreshedVersion="8" minRefreshableVersion="3" recordCount="8" xr:uid="{E74AA1FD-88F8-437A-8BC1-ADC23D7DF132}">
  <cacheSource type="worksheet">
    <worksheetSource name="sales_table"/>
  </cacheSource>
  <cacheFields count="8">
    <cacheField name="order_id" numFmtId="0">
      <sharedItems/>
    </cacheField>
    <cacheField name="order_date" numFmtId="14">
      <sharedItems containsSemiMixedTypes="0" containsNonDate="0" containsDate="1" containsString="0" minDate="2025-04-01T00:00:00" maxDate="2025-04-09T00:00:00"/>
    </cacheField>
    <cacheField name="region" numFmtId="0">
      <sharedItems count="4">
        <s v="North"/>
        <s v="South"/>
        <s v="West"/>
        <s v="East"/>
      </sharedItems>
    </cacheField>
    <cacheField name="category" numFmtId="0">
      <sharedItems count="3">
        <s v="Electronics"/>
        <s v="Furniture"/>
        <s v="Clothing"/>
      </sharedItems>
    </cacheField>
    <cacheField name="revenue" numFmtId="0">
      <sharedItems containsSemiMixedTypes="0" containsString="0" containsNumber="1" containsInteger="1" minValue="7000" maxValue="90000"/>
    </cacheField>
    <cacheField name="cost" numFmtId="0">
      <sharedItems containsSemiMixedTypes="0" containsString="0" containsNumber="1" containsInteger="1" minValue="3500" maxValue="65000"/>
    </cacheField>
    <cacheField name="profit" numFmtId="0">
      <sharedItems containsSemiMixedTypes="0" containsString="0" containsNumber="1" containsInteger="1" minValue="3500" maxValue="25000"/>
    </cacheField>
    <cacheField name="profit_margin%" numFmtId="9">
      <sharedItems containsSemiMixedTypes="0" containsString="0" containsNumber="1" minValue="0.27777777777777779" maxValue="0.5"/>
    </cacheField>
  </cacheFields>
  <extLst>
    <ext xmlns:x14="http://schemas.microsoft.com/office/spreadsheetml/2009/9/main" uri="{725AE2AE-9491-48be-B2B4-4EB974FC3084}">
      <x14:pivotCacheDefinition pivotCacheId="1076894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ORD301"/>
    <d v="2025-04-01T00:00:00"/>
    <x v="0"/>
    <x v="0"/>
    <n v="85000"/>
    <n v="60000"/>
    <n v="25000"/>
    <n v="0.29411764705882354"/>
  </r>
  <r>
    <s v="ORD302"/>
    <d v="2025-04-02T00:00:00"/>
    <x v="1"/>
    <x v="1"/>
    <n v="18000"/>
    <n v="12000"/>
    <n v="6000"/>
    <n v="0.33333333333333331"/>
  </r>
  <r>
    <s v="ORD303"/>
    <d v="2025-04-03T00:00:00"/>
    <x v="2"/>
    <x v="0"/>
    <n v="35000"/>
    <n v="25000"/>
    <n v="10000"/>
    <n v="0.2857142857142857"/>
  </r>
  <r>
    <s v="ORD304"/>
    <d v="2025-04-04T00:00:00"/>
    <x v="3"/>
    <x v="2"/>
    <n v="7000"/>
    <n v="3500"/>
    <n v="3500"/>
    <n v="0.5"/>
  </r>
  <r>
    <s v="ORD305"/>
    <d v="2025-04-05T00:00:00"/>
    <x v="0"/>
    <x v="1"/>
    <n v="27000"/>
    <n v="19000"/>
    <n v="8000"/>
    <n v="0.29629629629629628"/>
  </r>
  <r>
    <s v="ORD306"/>
    <d v="2025-04-06T00:00:00"/>
    <x v="1"/>
    <x v="0"/>
    <n v="90000"/>
    <n v="65000"/>
    <n v="25000"/>
    <n v="0.27777777777777779"/>
  </r>
  <r>
    <s v="ORD307"/>
    <d v="2025-04-07T00:00:00"/>
    <x v="2"/>
    <x v="2"/>
    <n v="10000"/>
    <n v="5000"/>
    <n v="5000"/>
    <n v="0.5"/>
  </r>
  <r>
    <s v="ORD308"/>
    <d v="2025-04-08T00:00:00"/>
    <x v="3"/>
    <x v="0"/>
    <n v="32000"/>
    <n v="22000"/>
    <n v="10000"/>
    <n v="0.3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083CCD-2DD4-44F3-8B62-C70592054802}" name="PivotTable2"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B7:D10" firstHeaderRow="0" firstDataRow="1" firstDataCol="1"/>
  <pivotFields count="8">
    <pivotField showAll="0"/>
    <pivotField numFmtId="14" showAll="0"/>
    <pivotField showAll="0">
      <items count="5">
        <item x="3"/>
        <item x="0"/>
        <item x="1"/>
        <item x="2"/>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numFmtId="9" showAll="0"/>
  </pivotFields>
  <rowFields count="1">
    <field x="3"/>
  </rowFields>
  <rowItems count="3">
    <i>
      <x v="1"/>
    </i>
    <i>
      <x v="2"/>
    </i>
    <i>
      <x/>
    </i>
  </rowItems>
  <colFields count="1">
    <field x="-2"/>
  </colFields>
  <colItems count="2">
    <i>
      <x/>
    </i>
    <i i="1">
      <x v="1"/>
    </i>
  </colItems>
  <dataFields count="2">
    <dataField name="Total revenue" fld="4" baseField="3" baseItem="0"/>
    <dataField name="Total profit"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7F55FA-2FF5-4A39-B8BD-6BE22EDEDAD6}" name="PivotTable1"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A3:C6" firstHeaderRow="0" firstDataRow="1" firstDataCol="1"/>
  <pivotFields count="8">
    <pivotField showAll="0"/>
    <pivotField numFmtId="14" showAll="0"/>
    <pivotField showAll="0">
      <items count="5">
        <item x="3"/>
        <item x="0"/>
        <item x="1"/>
        <item x="2"/>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numFmtId="9" showAll="0"/>
  </pivotFields>
  <rowFields count="1">
    <field x="3"/>
  </rowFields>
  <rowItems count="3">
    <i>
      <x v="1"/>
    </i>
    <i>
      <x v="2"/>
    </i>
    <i>
      <x/>
    </i>
  </rowItems>
  <colFields count="1">
    <field x="-2"/>
  </colFields>
  <colItems count="2">
    <i>
      <x/>
    </i>
    <i i="1">
      <x v="1"/>
    </i>
  </colItems>
  <dataFields count="2">
    <dataField name="Total revenue" fld="4" baseField="3" baseItem="0"/>
    <dataField name="Total profit"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8F892B-4EBF-4AE9-8BE0-EA2D2DFDFA73}" sourceName="region">
  <pivotTables>
    <pivotTable tabId="3" name="PivotTable1"/>
    <pivotTable tabId="2" name="PivotTable2"/>
  </pivotTables>
  <data>
    <tabular pivotCacheId="1076894797">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453F4A7-65F7-422A-B839-BD2B3A892827}"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A10C56-5369-4303-8160-40256D19CE14}"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table" displayName="sales_table" ref="A1:H10">
  <autoFilter ref="A1:H10" xr:uid="{00000000-0009-0000-0100-000001000000}"/>
  <tableColumns count="8">
    <tableColumn id="1" xr3:uid="{00000000-0010-0000-0000-000001000000}" name="order_id"/>
    <tableColumn id="2" xr3:uid="{00000000-0010-0000-0000-000002000000}" name="order_date"/>
    <tableColumn id="3" xr3:uid="{00000000-0010-0000-0000-000003000000}" name="region"/>
    <tableColumn id="4" xr3:uid="{00000000-0010-0000-0000-000004000000}" name="category"/>
    <tableColumn id="5" xr3:uid="{00000000-0010-0000-0000-000005000000}" name="revenue"/>
    <tableColumn id="6" xr3:uid="{00000000-0010-0000-0000-000006000000}" name="cost"/>
    <tableColumn id="7" xr3:uid="{3A3D1324-BBA0-4989-881D-5B680856E5CD}" name="profit">
      <calculatedColumnFormula>sales_table[[#This Row],[revenue]]-sales_table[[#This Row],[cost]]</calculatedColumnFormula>
    </tableColumn>
    <tableColumn id="8" xr3:uid="{D68230E4-147B-4DF8-B6F7-23829828C73B}" name="profit_margin%">
      <calculatedColumnFormula>sales_table[[#This Row],[profit]]/sales_table[[#This Row],[revenue]]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zoomScale="280" zoomScaleNormal="280" workbookViewId="0">
      <selection activeCell="C12" sqref="C12"/>
    </sheetView>
  </sheetViews>
  <sheetFormatPr defaultRowHeight="14.4" x14ac:dyDescent="0.3"/>
  <cols>
    <col min="2" max="2" width="12.5546875" bestFit="1" customWidth="1"/>
    <col min="4" max="4" width="10.5546875" bestFit="1" customWidth="1"/>
    <col min="8" max="8" width="16.33203125" bestFit="1" customWidth="1"/>
  </cols>
  <sheetData>
    <row r="1" spans="1:8" x14ac:dyDescent="0.3">
      <c r="A1" t="s">
        <v>0</v>
      </c>
      <c r="B1" t="s">
        <v>1</v>
      </c>
      <c r="C1" t="s">
        <v>2</v>
      </c>
      <c r="D1" t="s">
        <v>3</v>
      </c>
      <c r="E1" t="s">
        <v>4</v>
      </c>
      <c r="F1" t="s">
        <v>5</v>
      </c>
      <c r="G1" t="s">
        <v>22</v>
      </c>
      <c r="H1" t="s">
        <v>23</v>
      </c>
    </row>
    <row r="2" spans="1:8" x14ac:dyDescent="0.3">
      <c r="A2" t="s">
        <v>6</v>
      </c>
      <c r="B2" s="2">
        <v>45748</v>
      </c>
      <c r="C2" t="s">
        <v>7</v>
      </c>
      <c r="D2" t="s">
        <v>8</v>
      </c>
      <c r="E2">
        <v>85000</v>
      </c>
      <c r="F2">
        <v>60000</v>
      </c>
      <c r="G2">
        <f>sales_table[[#This Row],[revenue]]-sales_table[[#This Row],[cost]]</f>
        <v>25000</v>
      </c>
      <c r="H2" s="1">
        <f>sales_table[[#This Row],[profit]]/sales_table[[#This Row],[revenue]]</f>
        <v>0.29411764705882354</v>
      </c>
    </row>
    <row r="3" spans="1:8" x14ac:dyDescent="0.3">
      <c r="A3" t="s">
        <v>9</v>
      </c>
      <c r="B3" s="2">
        <v>45749</v>
      </c>
      <c r="C3" t="s">
        <v>10</v>
      </c>
      <c r="D3" t="s">
        <v>11</v>
      </c>
      <c r="E3">
        <v>18000</v>
      </c>
      <c r="F3">
        <v>12000</v>
      </c>
      <c r="G3">
        <f>sales_table[[#This Row],[revenue]]-sales_table[[#This Row],[cost]]</f>
        <v>6000</v>
      </c>
      <c r="H3" s="1">
        <f>sales_table[[#This Row],[profit]]/sales_table[[#This Row],[revenue]]</f>
        <v>0.33333333333333331</v>
      </c>
    </row>
    <row r="4" spans="1:8" x14ac:dyDescent="0.3">
      <c r="A4" t="s">
        <v>12</v>
      </c>
      <c r="B4" s="2">
        <v>45750</v>
      </c>
      <c r="C4" t="s">
        <v>13</v>
      </c>
      <c r="D4" t="s">
        <v>8</v>
      </c>
      <c r="E4">
        <v>35000</v>
      </c>
      <c r="F4">
        <v>25000</v>
      </c>
      <c r="G4">
        <f>sales_table[[#This Row],[revenue]]-sales_table[[#This Row],[cost]]</f>
        <v>10000</v>
      </c>
      <c r="H4" s="1">
        <f>sales_table[[#This Row],[profit]]/sales_table[[#This Row],[revenue]]</f>
        <v>0.2857142857142857</v>
      </c>
    </row>
    <row r="5" spans="1:8" x14ac:dyDescent="0.3">
      <c r="A5" t="s">
        <v>14</v>
      </c>
      <c r="B5" s="2">
        <v>45751</v>
      </c>
      <c r="C5" t="s">
        <v>15</v>
      </c>
      <c r="D5" t="s">
        <v>16</v>
      </c>
      <c r="E5">
        <v>7000</v>
      </c>
      <c r="F5">
        <v>3500</v>
      </c>
      <c r="G5">
        <f>sales_table[[#This Row],[revenue]]-sales_table[[#This Row],[cost]]</f>
        <v>3500</v>
      </c>
      <c r="H5" s="1">
        <f>sales_table[[#This Row],[profit]]/sales_table[[#This Row],[revenue]]</f>
        <v>0.5</v>
      </c>
    </row>
    <row r="6" spans="1:8" x14ac:dyDescent="0.3">
      <c r="A6" t="s">
        <v>17</v>
      </c>
      <c r="B6" s="2">
        <v>45752</v>
      </c>
      <c r="C6" t="s">
        <v>7</v>
      </c>
      <c r="D6" t="s">
        <v>11</v>
      </c>
      <c r="E6">
        <v>27000</v>
      </c>
      <c r="F6">
        <v>19000</v>
      </c>
      <c r="G6">
        <f>sales_table[[#This Row],[revenue]]-sales_table[[#This Row],[cost]]</f>
        <v>8000</v>
      </c>
      <c r="H6" s="1">
        <f>sales_table[[#This Row],[profit]]/sales_table[[#This Row],[revenue]]</f>
        <v>0.29629629629629628</v>
      </c>
    </row>
    <row r="7" spans="1:8" x14ac:dyDescent="0.3">
      <c r="A7" t="s">
        <v>18</v>
      </c>
      <c r="B7" s="2">
        <v>45753</v>
      </c>
      <c r="C7" t="s">
        <v>10</v>
      </c>
      <c r="D7" t="s">
        <v>8</v>
      </c>
      <c r="E7">
        <v>90000</v>
      </c>
      <c r="F7">
        <v>65000</v>
      </c>
      <c r="G7">
        <f>sales_table[[#This Row],[revenue]]-sales_table[[#This Row],[cost]]</f>
        <v>25000</v>
      </c>
      <c r="H7" s="1">
        <f>sales_table[[#This Row],[profit]]/sales_table[[#This Row],[revenue]]</f>
        <v>0.27777777777777779</v>
      </c>
    </row>
    <row r="8" spans="1:8" x14ac:dyDescent="0.3">
      <c r="A8" t="s">
        <v>19</v>
      </c>
      <c r="B8" s="2">
        <v>45754</v>
      </c>
      <c r="C8" t="s">
        <v>13</v>
      </c>
      <c r="D8" t="s">
        <v>16</v>
      </c>
      <c r="E8">
        <v>10000</v>
      </c>
      <c r="F8">
        <v>5000</v>
      </c>
      <c r="G8">
        <f>sales_table[[#This Row],[revenue]]-sales_table[[#This Row],[cost]]</f>
        <v>5000</v>
      </c>
      <c r="H8" s="1">
        <f>sales_table[[#This Row],[profit]]/sales_table[[#This Row],[revenue]]</f>
        <v>0.5</v>
      </c>
    </row>
    <row r="9" spans="1:8" x14ac:dyDescent="0.3">
      <c r="A9" t="s">
        <v>20</v>
      </c>
      <c r="B9" s="2">
        <v>45755</v>
      </c>
      <c r="C9" t="s">
        <v>15</v>
      </c>
      <c r="D9" t="s">
        <v>8</v>
      </c>
      <c r="E9">
        <v>32000</v>
      </c>
      <c r="F9">
        <v>22000</v>
      </c>
      <c r="G9">
        <f>sales_table[[#This Row],[revenue]]-sales_table[[#This Row],[cost]]</f>
        <v>10000</v>
      </c>
      <c r="H9" s="1">
        <f>sales_table[[#This Row],[profit]]/sales_table[[#This Row],[revenue]]</f>
        <v>0.3125</v>
      </c>
    </row>
    <row r="10" spans="1:8" x14ac:dyDescent="0.3">
      <c r="A10" s="6" t="s">
        <v>28</v>
      </c>
      <c r="B10" s="7">
        <v>45756</v>
      </c>
      <c r="C10" s="6" t="s">
        <v>7</v>
      </c>
      <c r="D10" s="6" t="s">
        <v>8</v>
      </c>
      <c r="E10" s="6">
        <v>95000</v>
      </c>
      <c r="F10" s="6">
        <v>70000</v>
      </c>
      <c r="G10" s="6">
        <f>sales_table[[#This Row],[revenue]]-sales_table[[#This Row],[cost]]</f>
        <v>25000</v>
      </c>
      <c r="H10" s="8">
        <f>sales_table[[#This Row],[profit]]/sales_table[[#This Row],[revenue]]</f>
        <v>0.26315789473684209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10"/>
  <sheetViews>
    <sheetView showGridLines="0" tabSelected="1" zoomScale="310" zoomScaleNormal="310" workbookViewId="0">
      <selection activeCell="E10" sqref="E10"/>
    </sheetView>
  </sheetViews>
  <sheetFormatPr defaultRowHeight="14.4" x14ac:dyDescent="0.3"/>
  <cols>
    <col min="2" max="2" width="12.77734375" bestFit="1" customWidth="1"/>
    <col min="3" max="3" width="12.5546875" bestFit="1" customWidth="1"/>
    <col min="4" max="4" width="10.44140625" bestFit="1" customWidth="1"/>
  </cols>
  <sheetData>
    <row r="1" spans="2:4" x14ac:dyDescent="0.3">
      <c r="B1" s="9" t="s">
        <v>29</v>
      </c>
      <c r="C1" s="9"/>
    </row>
    <row r="2" spans="2:4" x14ac:dyDescent="0.3">
      <c r="B2" s="10" t="s">
        <v>21</v>
      </c>
      <c r="C2" s="10" cm="1">
        <f t="array" ref="C2">total_revenue</f>
        <v>399000</v>
      </c>
    </row>
    <row r="3" spans="2:4" x14ac:dyDescent="0.3">
      <c r="B3" s="10" t="s">
        <v>24</v>
      </c>
      <c r="C3" s="10" cm="1">
        <f t="array" ref="C3">total_profit</f>
        <v>117500</v>
      </c>
    </row>
    <row r="4" spans="2:4" x14ac:dyDescent="0.3">
      <c r="B4" s="10" t="s">
        <v>25</v>
      </c>
      <c r="C4" s="10" cm="1">
        <f t="array" ref="C4">total_orders</f>
        <v>9</v>
      </c>
    </row>
    <row r="7" spans="2:4" x14ac:dyDescent="0.3">
      <c r="B7" s="3" t="s">
        <v>3</v>
      </c>
      <c r="C7" s="3" t="s">
        <v>26</v>
      </c>
      <c r="D7" t="s">
        <v>27</v>
      </c>
    </row>
    <row r="8" spans="2:4" x14ac:dyDescent="0.3">
      <c r="B8" s="4" t="s">
        <v>8</v>
      </c>
      <c r="C8" s="5">
        <v>242000</v>
      </c>
      <c r="D8" s="5">
        <v>70000</v>
      </c>
    </row>
    <row r="9" spans="2:4" x14ac:dyDescent="0.3">
      <c r="B9" s="4" t="s">
        <v>11</v>
      </c>
      <c r="C9" s="5">
        <v>45000</v>
      </c>
      <c r="D9" s="5">
        <v>14000</v>
      </c>
    </row>
    <row r="10" spans="2:4" x14ac:dyDescent="0.3">
      <c r="B10" s="4" t="s">
        <v>16</v>
      </c>
      <c r="C10" s="5">
        <v>17000</v>
      </c>
      <c r="D10" s="5">
        <v>8500</v>
      </c>
    </row>
  </sheetData>
  <mergeCells count="1">
    <mergeCell ref="B1:C1"/>
  </mergeCells>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F3731-541A-4AE4-92A2-B681F9BF2F0D}">
  <dimension ref="A3:C6"/>
  <sheetViews>
    <sheetView showGridLines="0" zoomScale="325" zoomScaleNormal="325" workbookViewId="0">
      <selection activeCell="A2" sqref="A2:D7"/>
    </sheetView>
  </sheetViews>
  <sheetFormatPr defaultRowHeight="14.4" x14ac:dyDescent="0.3"/>
  <cols>
    <col min="1" max="1" width="10.5546875" bestFit="1" customWidth="1"/>
    <col min="2" max="2" width="12.6640625" bestFit="1" customWidth="1"/>
    <col min="3" max="3" width="10.44140625" bestFit="1" customWidth="1"/>
  </cols>
  <sheetData>
    <row r="3" spans="1:3" x14ac:dyDescent="0.3">
      <c r="A3" s="3" t="s">
        <v>3</v>
      </c>
      <c r="B3" t="s">
        <v>26</v>
      </c>
      <c r="C3" t="s">
        <v>27</v>
      </c>
    </row>
    <row r="4" spans="1:3" x14ac:dyDescent="0.3">
      <c r="A4" s="4" t="s">
        <v>8</v>
      </c>
      <c r="B4" s="5">
        <v>242000</v>
      </c>
      <c r="C4" s="5">
        <v>70000</v>
      </c>
    </row>
    <row r="5" spans="1:3" x14ac:dyDescent="0.3">
      <c r="A5" s="4" t="s">
        <v>11</v>
      </c>
      <c r="B5" s="5">
        <v>45000</v>
      </c>
      <c r="C5" s="5">
        <v>14000</v>
      </c>
    </row>
    <row r="6" spans="1:3" x14ac:dyDescent="0.3">
      <c r="A6" s="4" t="s">
        <v>16</v>
      </c>
      <c r="B6" s="5">
        <v>17000</v>
      </c>
      <c r="C6" s="5">
        <v>8500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weekly_sales</vt:lpstr>
      <vt:lpstr>auto_dashboard</vt:lpstr>
      <vt:lpstr>pivot_summary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saideep pallela</cp:lastModifiedBy>
  <dcterms:created xsi:type="dcterms:W3CDTF">2026-03-24T16:38:57Z</dcterms:created>
  <dcterms:modified xsi:type="dcterms:W3CDTF">2026-03-24T17:03:49Z</dcterms:modified>
</cp:coreProperties>
</file>