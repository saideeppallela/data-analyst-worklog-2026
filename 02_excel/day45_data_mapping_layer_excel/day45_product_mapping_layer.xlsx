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380CE36-F304-4FB3-9A74-6891CD286BFF}" xr6:coauthVersionLast="47" xr6:coauthVersionMax="47" xr10:uidLastSave="{00000000-0000-0000-0000-000000000000}"/>
  <bookViews>
    <workbookView xWindow="30600" yWindow="-120" windowWidth="29040" windowHeight="15720" activeTab="2" xr2:uid="{00000000-000D-0000-FFFF-FFFF00000000}"/>
  </bookViews>
  <sheets>
    <sheet name="ERP_Product_List" sheetId="1" r:id="rId1"/>
    <sheet name="Category_Mapping" sheetId="2" r:id="rId2"/>
    <sheet name="Sales_Data" sheetId="3" r:id="rId3"/>
    <sheet name="Product_Ma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2" i="3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C3" i="4"/>
  <c r="C4" i="4"/>
  <c r="C5" i="4"/>
  <c r="C6" i="4"/>
  <c r="C7" i="4"/>
  <c r="C8" i="4"/>
  <c r="C9" i="4"/>
  <c r="C2" i="4"/>
  <c r="B3" i="4"/>
  <c r="B4" i="4"/>
  <c r="B5" i="4"/>
  <c r="B6" i="4"/>
  <c r="B7" i="4"/>
  <c r="B8" i="4"/>
  <c r="B9" i="4"/>
  <c r="B2" i="4"/>
  <c r="A8" i="4"/>
  <c r="A9" i="4"/>
  <c r="A3" i="4"/>
  <c r="A4" i="4"/>
  <c r="A5" i="4"/>
  <c r="A6" i="4"/>
  <c r="A7" i="4"/>
  <c r="A2" i="4"/>
</calcChain>
</file>

<file path=xl/sharedStrings.xml><?xml version="1.0" encoding="utf-8"?>
<sst xmlns="http://schemas.openxmlformats.org/spreadsheetml/2006/main" count="56" uniqueCount="34">
  <si>
    <t>Product_ID</t>
  </si>
  <si>
    <t>Product_Code</t>
  </si>
  <si>
    <t>Product_Name</t>
  </si>
  <si>
    <t>Category_Code</t>
  </si>
  <si>
    <t>PRD-A12</t>
  </si>
  <si>
    <t>Laptop 14 inch</t>
  </si>
  <si>
    <t>ELEC</t>
  </si>
  <si>
    <t>PRD-A15</t>
  </si>
  <si>
    <t>Laptop 16 inch</t>
  </si>
  <si>
    <t>PRD-B10</t>
  </si>
  <si>
    <t>Office Chair</t>
  </si>
  <si>
    <t>FURN</t>
  </si>
  <si>
    <t>PRD-B12</t>
  </si>
  <si>
    <t>Study Desk</t>
  </si>
  <si>
    <t>PRD-C01</t>
  </si>
  <si>
    <t>Running Shoes</t>
  </si>
  <si>
    <t>APP</t>
  </si>
  <si>
    <t>PRD-C02</t>
  </si>
  <si>
    <t>Training Shoes</t>
  </si>
  <si>
    <t>PRD-D05</t>
  </si>
  <si>
    <t>Wireless Mouse</t>
  </si>
  <si>
    <t>PRD-D07</t>
  </si>
  <si>
    <t>Mechanical Keyboard</t>
  </si>
  <si>
    <t>Category_Name</t>
  </si>
  <si>
    <t>Reporting_Group</t>
  </si>
  <si>
    <t>Electronics</t>
  </si>
  <si>
    <t>Technology</t>
  </si>
  <si>
    <t>Furniture</t>
  </si>
  <si>
    <t>Home</t>
  </si>
  <si>
    <t>Apparel</t>
  </si>
  <si>
    <t>Fashion</t>
  </si>
  <si>
    <t>Order_ID</t>
  </si>
  <si>
    <t>Units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</si>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</sst>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E56B1-E80F-490D-AA1D-83475C2F10CB}" name="product" displayName="product" ref="A1:D9" totalsRowShown="0">
  <autoFilter ref="A1:D9" xr:uid="{B03E56B1-E80F-490D-AA1D-83475C2F10CB}"/>
  <tableColumns count="4">
    <tableColumn id="1" xr3:uid="{5FB10E96-F649-4AFC-805D-53B338F2F2AD}" name="Product_ID"/>
    <tableColumn id="2" xr3:uid="{4EF2194D-F6A1-4244-8AF3-21A59C7BFCC0}" name="Product_Code"/>
    <tableColumn id="3" xr3:uid="{EF580A58-5310-48D7-B372-657C74DAC0B9}" name="Product_Name"/>
    <tableColumn id="4" xr3:uid="{6E51C694-DB89-42F3-8904-0EE57CF615E7}" name="Category_Co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C89B7-0C06-4A20-9840-C58F2282C7E4}" name="category" displayName="category" ref="A1:C4" totalsRowShown="0">
  <autoFilter ref="A1:C4" xr:uid="{21DC89B7-0C06-4A20-9840-C58F2282C7E4}"/>
  <tableColumns count="3">
    <tableColumn id="1" xr3:uid="{DE0618B3-5BFF-4248-BE03-C3741A10B9DE}" name="Category_Code"/>
    <tableColumn id="2" xr3:uid="{5290E5F3-DDA0-4B7F-BB3C-64DF403EF2DE}" name="Category_Name"/>
    <tableColumn id="3" xr3:uid="{A6243F16-83D3-44E5-82D5-9DC95D3EA5CF}" name="Reporting_Group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FE5140-B4A5-402A-BB4C-7157B79D4953}" name="sales" displayName="sales" ref="A1:E7" totalsRowShown="0" headerRowDxfId="3" dataDxfId="2">
  <autoFilter ref="A1:E7" xr:uid="{CFFE5140-B4A5-402A-BB4C-7157B79D4953}"/>
  <tableColumns count="5">
    <tableColumn id="1" xr3:uid="{B70F835D-BF43-4C02-ABD7-5D467093CEB3}" name="Order_ID" dataDxfId="6"/>
    <tableColumn id="2" xr3:uid="{E7EBF864-FC10-41AD-BB6C-2A241E244852}" name="Product_Code" dataDxfId="5"/>
    <tableColumn id="3" xr3:uid="{1AF44039-1936-4FE9-8F9E-E9C28CE4BCB1}" name="Units" dataDxfId="4"/>
    <tableColumn id="4" xr3:uid="{9E2C5280-A59C-4045-995D-3827FB29B87C}" name="Revenue" dataDxfId="1"/>
    <tableColumn id="5" xr3:uid="{09333059-0943-4AA2-8DC1-EB7B7C3BEF11}" name="Category_Code" dataDxfId="0">
      <calculatedColumnFormula>_xlfn.XLOOKUP(sales[[#This Row],[Product_Code]],product[Product_Code],product[Category_Code])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C200B0-9174-4490-A39C-85EABFA63A6A}" name="Product_master" displayName="Product_master" ref="A1:E9" totalsRowShown="0">
  <autoFilter ref="A1:E9" xr:uid="{52C200B0-9174-4490-A39C-85EABFA63A6A}"/>
  <tableColumns count="5">
    <tableColumn id="1" xr3:uid="{3D6BC8E1-4B32-432B-9871-52C4E05BF743}" name="Product_Code">
      <calculatedColumnFormula>product[[#This Row],[Product_Code]]</calculatedColumnFormula>
    </tableColumn>
    <tableColumn id="2" xr3:uid="{84E5AF94-2A0B-42A0-A063-D73BE6B5DA42}" name="Product_Name">
      <calculatedColumnFormula>_xlfn.XLOOKUP(A2,product[Product_Code],product[Product_Name])</calculatedColumnFormula>
    </tableColumn>
    <tableColumn id="3" xr3:uid="{15ECD0CE-2ED6-49F2-AB82-0DF0C7D21289}" name="Category_Code">
      <calculatedColumnFormula>ERP_Product_List!D2</calculatedColumnFormula>
    </tableColumn>
    <tableColumn id="4" xr3:uid="{5C540B81-BFDD-481B-89D7-08FA0B896F1F}" name="Category_Name">
      <calculatedColumnFormula>_xlfn.XLOOKUP(C2,category[Category_Code],category[Category_Name])</calculatedColumnFormula>
    </tableColumn>
    <tableColumn id="5" xr3:uid="{24D794A4-AA28-4599-9039-7125C3A3F7DB}" name="Reporting_Group">
      <calculatedColumnFormula>_xlfn.XLOOKUP(C2,category[Category_Code],category[Reporting_Group])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75" zoomScaleNormal="175" workbookViewId="0">
      <selection sqref="A1:D9"/>
    </sheetView>
  </sheetViews>
  <sheetFormatPr defaultRowHeight="14.4" x14ac:dyDescent="0.3"/>
  <cols>
    <col min="1" max="1" width="11.21875" customWidth="1"/>
    <col min="2" max="2" width="13.77734375" customWidth="1"/>
    <col min="3" max="3" width="14.5546875" customWidth="1"/>
    <col min="4" max="4" width="1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 t="s">
        <v>5</v>
      </c>
      <c r="D2" t="s">
        <v>6</v>
      </c>
    </row>
    <row r="3" spans="1:4" x14ac:dyDescent="0.3">
      <c r="A3">
        <v>1002</v>
      </c>
      <c r="B3" t="s">
        <v>7</v>
      </c>
      <c r="C3" t="s">
        <v>8</v>
      </c>
      <c r="D3" t="s">
        <v>6</v>
      </c>
    </row>
    <row r="4" spans="1:4" x14ac:dyDescent="0.3">
      <c r="A4">
        <v>1003</v>
      </c>
      <c r="B4" t="s">
        <v>9</v>
      </c>
      <c r="C4" t="s">
        <v>10</v>
      </c>
      <c r="D4" t="s">
        <v>11</v>
      </c>
    </row>
    <row r="5" spans="1:4" x14ac:dyDescent="0.3">
      <c r="A5">
        <v>1004</v>
      </c>
      <c r="B5" t="s">
        <v>12</v>
      </c>
      <c r="C5" t="s">
        <v>13</v>
      </c>
      <c r="D5" t="s">
        <v>11</v>
      </c>
    </row>
    <row r="6" spans="1:4" x14ac:dyDescent="0.3">
      <c r="A6">
        <v>1005</v>
      </c>
      <c r="B6" t="s">
        <v>14</v>
      </c>
      <c r="C6" t="s">
        <v>15</v>
      </c>
      <c r="D6" t="s">
        <v>16</v>
      </c>
    </row>
    <row r="7" spans="1:4" x14ac:dyDescent="0.3">
      <c r="A7">
        <v>1006</v>
      </c>
      <c r="B7" t="s">
        <v>17</v>
      </c>
      <c r="C7" t="s">
        <v>18</v>
      </c>
      <c r="D7" t="s">
        <v>16</v>
      </c>
    </row>
    <row r="8" spans="1:4" x14ac:dyDescent="0.3">
      <c r="A8">
        <v>1007</v>
      </c>
      <c r="B8" t="s">
        <v>19</v>
      </c>
      <c r="C8" t="s">
        <v>20</v>
      </c>
      <c r="D8" t="s">
        <v>6</v>
      </c>
    </row>
    <row r="9" spans="1:4" x14ac:dyDescent="0.3">
      <c r="A9">
        <v>1008</v>
      </c>
      <c r="B9" t="s">
        <v>21</v>
      </c>
      <c r="C9" t="s">
        <v>22</v>
      </c>
      <c r="D9" t="s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="265" zoomScaleNormal="265" workbookViewId="0">
      <selection activeCell="C11" sqref="C11"/>
    </sheetView>
  </sheetViews>
  <sheetFormatPr defaultRowHeight="14.4" x14ac:dyDescent="0.3"/>
  <cols>
    <col min="1" max="1" width="16" customWidth="1"/>
    <col min="2" max="2" width="16.6640625" customWidth="1"/>
    <col min="3" max="3" width="17.77734375" customWidth="1"/>
  </cols>
  <sheetData>
    <row r="1" spans="1:3" x14ac:dyDescent="0.3">
      <c r="A1" t="s">
        <v>3</v>
      </c>
      <c r="B1" t="s">
        <v>23</v>
      </c>
      <c r="C1" t="s">
        <v>24</v>
      </c>
    </row>
    <row r="2" spans="1:3" x14ac:dyDescent="0.3">
      <c r="A2" t="s">
        <v>6</v>
      </c>
      <c r="B2" t="s">
        <v>25</v>
      </c>
      <c r="C2" t="s">
        <v>26</v>
      </c>
    </row>
    <row r="3" spans="1:3" x14ac:dyDescent="0.3">
      <c r="A3" t="s">
        <v>11</v>
      </c>
      <c r="B3" t="s">
        <v>27</v>
      </c>
      <c r="C3" t="s">
        <v>28</v>
      </c>
    </row>
    <row r="4" spans="1:3" x14ac:dyDescent="0.3">
      <c r="A4" t="s">
        <v>16</v>
      </c>
      <c r="B4" t="s">
        <v>29</v>
      </c>
      <c r="C4" t="s">
        <v>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zoomScale="250" zoomScaleNormal="250" workbookViewId="0">
      <selection activeCell="E4" sqref="E4"/>
    </sheetView>
  </sheetViews>
  <sheetFormatPr defaultRowHeight="14.4" x14ac:dyDescent="0.3"/>
  <cols>
    <col min="1" max="1" width="10.6640625" style="1" customWidth="1"/>
    <col min="2" max="2" width="15" style="1" customWidth="1"/>
    <col min="3" max="3" width="8.88671875" style="1"/>
    <col min="4" max="4" width="10.5546875" style="1" customWidth="1"/>
    <col min="5" max="5" width="16.88671875" style="1" bestFit="1" customWidth="1"/>
    <col min="6" max="16384" width="8.88671875" style="1"/>
  </cols>
  <sheetData>
    <row r="1" spans="1:5" x14ac:dyDescent="0.3">
      <c r="A1" s="1" t="s">
        <v>31</v>
      </c>
      <c r="B1" s="1" t="s">
        <v>1</v>
      </c>
      <c r="C1" s="1" t="s">
        <v>32</v>
      </c>
      <c r="D1" s="1" t="s">
        <v>33</v>
      </c>
      <c r="E1" s="2" t="s">
        <v>3</v>
      </c>
    </row>
    <row r="2" spans="1:5" x14ac:dyDescent="0.3">
      <c r="A2" s="1">
        <v>501</v>
      </c>
      <c r="B2" s="1" t="s">
        <v>4</v>
      </c>
      <c r="C2" s="1">
        <v>2</v>
      </c>
      <c r="D2" s="1">
        <v>1800</v>
      </c>
      <c r="E2" s="2" t="str">
        <f>_xlfn.XLOOKUP(sales[[#This Row],[Product_Code]],product[Product_Code],product[Category_Code])</f>
        <v>ELEC</v>
      </c>
    </row>
    <row r="3" spans="1:5" x14ac:dyDescent="0.3">
      <c r="A3" s="1">
        <v>502</v>
      </c>
      <c r="B3" s="1" t="s">
        <v>7</v>
      </c>
      <c r="C3" s="1">
        <v>1</v>
      </c>
      <c r="D3" s="1">
        <v>1200</v>
      </c>
      <c r="E3" s="2" t="str">
        <f>_xlfn.XLOOKUP(sales[[#This Row],[Product_Code]],product[Product_Code],product[Category_Code])</f>
        <v>ELEC</v>
      </c>
    </row>
    <row r="4" spans="1:5" x14ac:dyDescent="0.3">
      <c r="A4" s="1">
        <v>503</v>
      </c>
      <c r="B4" s="1" t="s">
        <v>9</v>
      </c>
      <c r="C4" s="1">
        <v>3</v>
      </c>
      <c r="D4" s="1">
        <v>900</v>
      </c>
      <c r="E4" s="2" t="str">
        <f>_xlfn.XLOOKUP(sales[[#This Row],[Product_Code]],product[Product_Code],product[Category_Code])</f>
        <v>FURN</v>
      </c>
    </row>
    <row r="5" spans="1:5" x14ac:dyDescent="0.3">
      <c r="A5" s="1">
        <v>504</v>
      </c>
      <c r="B5" s="1" t="s">
        <v>14</v>
      </c>
      <c r="C5" s="1">
        <v>4</v>
      </c>
      <c r="D5" s="1">
        <v>600</v>
      </c>
      <c r="E5" s="2" t="str">
        <f>_xlfn.XLOOKUP(sales[[#This Row],[Product_Code]],product[Product_Code],product[Category_Code])</f>
        <v>APP</v>
      </c>
    </row>
    <row r="6" spans="1:5" x14ac:dyDescent="0.3">
      <c r="A6" s="1">
        <v>505</v>
      </c>
      <c r="B6" s="1" t="s">
        <v>19</v>
      </c>
      <c r="C6" s="1">
        <v>5</v>
      </c>
      <c r="D6" s="1">
        <v>750</v>
      </c>
      <c r="E6" s="2" t="str">
        <f>_xlfn.XLOOKUP(sales[[#This Row],[Product_Code]],product[Product_Code],product[Category_Code])</f>
        <v>ELEC</v>
      </c>
    </row>
    <row r="7" spans="1:5" x14ac:dyDescent="0.3">
      <c r="A7" s="1">
        <v>506</v>
      </c>
      <c r="B7" s="1" t="s">
        <v>17</v>
      </c>
      <c r="C7" s="1">
        <v>2</v>
      </c>
      <c r="D7" s="1">
        <v>320</v>
      </c>
      <c r="E7" s="2" t="str">
        <f>_xlfn.XLOOKUP(sales[[#This Row],[Product_Code]],product[Product_Code],product[Category_Code])</f>
        <v>APP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5DF5-B4CD-4637-91E3-F5825C1EEF23}">
  <dimension ref="A1:E9"/>
  <sheetViews>
    <sheetView zoomScale="250" zoomScaleNormal="250" workbookViewId="0">
      <selection activeCell="D1" sqref="D1:D9"/>
    </sheetView>
  </sheetViews>
  <sheetFormatPr defaultRowHeight="14.4" x14ac:dyDescent="0.3"/>
  <cols>
    <col min="1" max="1" width="13.33203125" customWidth="1"/>
    <col min="2" max="2" width="18.88671875" bestFit="1" customWidth="1"/>
    <col min="3" max="3" width="14.33203125" customWidth="1"/>
    <col min="4" max="4" width="15" customWidth="1"/>
    <col min="5" max="5" width="16.10937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23</v>
      </c>
      <c r="E1" t="s">
        <v>24</v>
      </c>
    </row>
    <row r="2" spans="1:5" x14ac:dyDescent="0.3">
      <c r="A2" t="str">
        <f>product[[#This Row],[Product_Code]]</f>
        <v>PRD-A12</v>
      </c>
      <c r="B2" t="str">
        <f>_xlfn.XLOOKUP(A2,product[Product_Code],product[Product_Name])</f>
        <v>Laptop 14 inch</v>
      </c>
      <c r="C2" t="str">
        <f>ERP_Product_List!D2</f>
        <v>ELEC</v>
      </c>
      <c r="D2" t="str">
        <f>_xlfn.XLOOKUP(C2,category[Category_Code],category[Category_Name])</f>
        <v>Electronics</v>
      </c>
      <c r="E2" t="str">
        <f>_xlfn.XLOOKUP(C2,category[Category_Code],category[Reporting_Group])</f>
        <v>Technology</v>
      </c>
    </row>
    <row r="3" spans="1:5" x14ac:dyDescent="0.3">
      <c r="A3" t="str">
        <f>product[[#This Row],[Product_Code]]</f>
        <v>PRD-A15</v>
      </c>
      <c r="B3" t="str">
        <f>_xlfn.XLOOKUP(A3,product[Product_Code],product[Product_Name])</f>
        <v>Laptop 16 inch</v>
      </c>
      <c r="C3" t="str">
        <f>ERP_Product_List!D3</f>
        <v>ELEC</v>
      </c>
      <c r="D3" t="str">
        <f>_xlfn.XLOOKUP(C3,category[Category_Code],category[Category_Name])</f>
        <v>Electronics</v>
      </c>
      <c r="E3" t="str">
        <f>_xlfn.XLOOKUP(C3,category[Category_Code],category[Reporting_Group])</f>
        <v>Technology</v>
      </c>
    </row>
    <row r="4" spans="1:5" x14ac:dyDescent="0.3">
      <c r="A4" t="str">
        <f>product[[#This Row],[Product_Code]]</f>
        <v>PRD-B10</v>
      </c>
      <c r="B4" t="str">
        <f>_xlfn.XLOOKUP(A4,product[Product_Code],product[Product_Name])</f>
        <v>Office Chair</v>
      </c>
      <c r="C4" t="str">
        <f>ERP_Product_List!D4</f>
        <v>FURN</v>
      </c>
      <c r="D4" t="str">
        <f>_xlfn.XLOOKUP(C4,category[Category_Code],category[Category_Name])</f>
        <v>Furniture</v>
      </c>
      <c r="E4" t="str">
        <f>_xlfn.XLOOKUP(C4,category[Category_Code],category[Reporting_Group])</f>
        <v>Home</v>
      </c>
    </row>
    <row r="5" spans="1:5" x14ac:dyDescent="0.3">
      <c r="A5" t="str">
        <f>product[[#This Row],[Product_Code]]</f>
        <v>PRD-B12</v>
      </c>
      <c r="B5" t="str">
        <f>_xlfn.XLOOKUP(A5,product[Product_Code],product[Product_Name])</f>
        <v>Study Desk</v>
      </c>
      <c r="C5" t="str">
        <f>ERP_Product_List!D5</f>
        <v>FURN</v>
      </c>
      <c r="D5" t="str">
        <f>_xlfn.XLOOKUP(C5,category[Category_Code],category[Category_Name])</f>
        <v>Furniture</v>
      </c>
      <c r="E5" t="str">
        <f>_xlfn.XLOOKUP(C5,category[Category_Code],category[Reporting_Group])</f>
        <v>Home</v>
      </c>
    </row>
    <row r="6" spans="1:5" x14ac:dyDescent="0.3">
      <c r="A6" t="str">
        <f>product[[#This Row],[Product_Code]]</f>
        <v>PRD-C01</v>
      </c>
      <c r="B6" t="str">
        <f>_xlfn.XLOOKUP(A6,product[Product_Code],product[Product_Name])</f>
        <v>Running Shoes</v>
      </c>
      <c r="C6" t="str">
        <f>ERP_Product_List!D6</f>
        <v>APP</v>
      </c>
      <c r="D6" t="str">
        <f>_xlfn.XLOOKUP(C6,category[Category_Code],category[Category_Name])</f>
        <v>Apparel</v>
      </c>
      <c r="E6" t="str">
        <f>_xlfn.XLOOKUP(C6,category[Category_Code],category[Reporting_Group])</f>
        <v>Fashion</v>
      </c>
    </row>
    <row r="7" spans="1:5" x14ac:dyDescent="0.3">
      <c r="A7" t="str">
        <f>product[[#This Row],[Product_Code]]</f>
        <v>PRD-C02</v>
      </c>
      <c r="B7" t="str">
        <f>_xlfn.XLOOKUP(A7,product[Product_Code],product[Product_Name])</f>
        <v>Training Shoes</v>
      </c>
      <c r="C7" t="str">
        <f>ERP_Product_List!D7</f>
        <v>APP</v>
      </c>
      <c r="D7" t="str">
        <f>_xlfn.XLOOKUP(C7,category[Category_Code],category[Category_Name])</f>
        <v>Apparel</v>
      </c>
      <c r="E7" t="str">
        <f>_xlfn.XLOOKUP(C7,category[Category_Code],category[Reporting_Group])</f>
        <v>Fashion</v>
      </c>
    </row>
    <row r="8" spans="1:5" x14ac:dyDescent="0.3">
      <c r="A8" t="str">
        <f>product[[#This Row],[Product_Code]]</f>
        <v>PRD-D05</v>
      </c>
      <c r="B8" t="str">
        <f>_xlfn.XLOOKUP(A8,product[Product_Code],product[Product_Name])</f>
        <v>Wireless Mouse</v>
      </c>
      <c r="C8" t="str">
        <f>ERP_Product_List!D8</f>
        <v>ELEC</v>
      </c>
      <c r="D8" t="str">
        <f>_xlfn.XLOOKUP(C8,category[Category_Code],category[Category_Name])</f>
        <v>Electronics</v>
      </c>
      <c r="E8" t="str">
        <f>_xlfn.XLOOKUP(C8,category[Category_Code],category[Reporting_Group])</f>
        <v>Technology</v>
      </c>
    </row>
    <row r="9" spans="1:5" x14ac:dyDescent="0.3">
      <c r="A9" t="str">
        <f>product[[#This Row],[Product_Code]]</f>
        <v>PRD-D07</v>
      </c>
      <c r="B9" t="str">
        <f>_xlfn.XLOOKUP(A9,product[Product_Code],product[Product_Name])</f>
        <v>Mechanical Keyboard</v>
      </c>
      <c r="C9" t="str">
        <f>ERP_Product_List!D9</f>
        <v>ELEC</v>
      </c>
      <c r="D9" t="str">
        <f>_xlfn.XLOOKUP(C9,category[Category_Code],category[Category_Name])</f>
        <v>Electronics</v>
      </c>
      <c r="E9" t="str">
        <f>_xlfn.XLOOKUP(C9,category[Category_Code],category[Reporting_Group])</f>
        <v>Technology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ERP_Product_List</vt:lpstr>
      <vt:lpstr>Category_Mapping</vt:lpstr>
      <vt:lpstr>Sales_Data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2026-03-13T02:40:47Z</dcterms:created>
  <dcterms:modified xsi:type="dcterms:W3CDTF">2026-03-13T03:03:59Z</dcterms:modified>
</cp:coreProperties>
</file>