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-Excel\day 36\"/>
    </mc:Choice>
  </mc:AlternateContent>
  <xr:revisionPtr revIDLastSave="0" documentId="13_ncr:1_{226002F6-A090-492A-8E68-099CC905068D}" xr6:coauthVersionLast="47" xr6:coauthVersionMax="47" xr10:uidLastSave="{00000000-0000-0000-0000-000000000000}"/>
  <bookViews>
    <workbookView xWindow="30600" yWindow="-120" windowWidth="29040" windowHeight="15720" xr2:uid="{C3E7A62B-CF9A-495A-A06D-84C324A03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K3" i="1"/>
  <c r="K2" i="1"/>
  <c r="K4" i="1"/>
  <c r="K5" i="1"/>
  <c r="K6" i="1"/>
  <c r="K7" i="1"/>
  <c r="K8" i="1"/>
  <c r="K9" i="1"/>
  <c r="K10" i="1"/>
  <c r="K11" i="1"/>
  <c r="H2" i="1"/>
  <c r="H3" i="1"/>
  <c r="H4" i="1"/>
  <c r="I4" i="1" s="1"/>
  <c r="J4" i="1" s="1"/>
  <c r="H5" i="1"/>
  <c r="I5" i="1" s="1"/>
  <c r="J5" i="1" s="1"/>
  <c r="H6" i="1"/>
  <c r="I6" i="1" s="1"/>
  <c r="J6" i="1" s="1"/>
  <c r="H7" i="1"/>
  <c r="I7" i="1" s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G2" i="1"/>
  <c r="J2" i="1" s="1"/>
  <c r="G3" i="1"/>
  <c r="J3" i="1" s="1"/>
  <c r="G4" i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<sst xmlns="http://schemas.openxmlformats.org/spreadsheetml/2006/main" count="32" uniqueCount="20">
  <si>
    <t>order_id</t>
  </si>
  <si>
    <t>product</t>
  </si>
  <si>
    <t>region</t>
  </si>
  <si>
    <t>units_sold</t>
  </si>
  <si>
    <t>selling_price</t>
  </si>
  <si>
    <t>unit_cost</t>
  </si>
  <si>
    <t>Laptop</t>
  </si>
  <si>
    <t>North</t>
  </si>
  <si>
    <t>Mouse</t>
  </si>
  <si>
    <t>South</t>
  </si>
  <si>
    <t>Keyboard</t>
  </si>
  <si>
    <t>West</t>
  </si>
  <si>
    <t>Monitor</t>
  </si>
  <si>
    <t>East</t>
  </si>
  <si>
    <t>Revenue</t>
  </si>
  <si>
    <t>Total_Cost</t>
  </si>
  <si>
    <t>Profit</t>
  </si>
  <si>
    <t>Profit_Margin</t>
  </si>
  <si>
    <t>Profit_Status</t>
  </si>
  <si>
    <t>DAY 36 – REVENUE, COST &amp; PROFIT ANALYSIS (LEARNER LOG)
Today I practiced building basic financial metrics from sales order data using Excel Tables.
• Converted dataset into an Excel Table named **sales_orders**.
Tables automatically expand when new rows are added and formulas fill automatically, which makes analysis safer and easier.
• Revenue column created using
=[@units_sold]*[@selling_price]
to calculate total revenue generated from each order.
• Total_Cost column created using
=[@units_sold]*[@unit_cost]
to estimate the total cost associated with fulfilling each order.
• Profit column created using
=[@Revenue]-[@Total_Cost]
to determine how much profit each order generated.
• Profit_Margin column created using
=[@Profit]/[@Revenue]
formatted as Percentage to measure profitability efficiency of each order.
• Profit_Status column created using
=IF([@Profit]&gt;10000,"High Profit","Normal")
to quickly identify high-profit orders for business insight.
Through this exercise, I practiced building core business metrics (Revenue, Cost, Profit, Margin) that analysts commonly use in financial reporting and performance dashboards.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</si>
</sst>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16">
    <dxf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7827E2-670C-485E-B2F7-A48ED8FC14BD}" name="sales_orders" displayName="sales_orders" ref="A1:K11" totalsRowShown="0" headerRowDxfId="12" dataDxfId="3" headerRowBorderDxfId="14" tableBorderDxfId="15" totalsRowBorderDxfId="13">
  <autoFilter ref="A1:K11" xr:uid="{1C7827E2-670C-485E-B2F7-A48ED8FC14BD}"/>
  <tableColumns count="11">
    <tableColumn id="1" xr3:uid="{571D612D-887A-4FF7-BA58-A87BB9091829}" name="order_id" dataDxfId="11"/>
    <tableColumn id="2" xr3:uid="{37B89B2B-2B19-4799-96A5-98A94EFC5CB4}" name="product" dataDxfId="10"/>
    <tableColumn id="3" xr3:uid="{4826F4BA-77E9-439B-910C-132A4C920726}" name="region" dataDxfId="9"/>
    <tableColumn id="4" xr3:uid="{96805072-A01A-4FE1-B05B-408BAB505548}" name="units_sold" dataDxfId="8"/>
    <tableColumn id="5" xr3:uid="{7415901D-0A35-4C44-8B87-FB57F10D91F9}" name="selling_price" dataDxfId="7"/>
    <tableColumn id="6" xr3:uid="{C8A6B7E8-5748-4D3A-9A21-8E02EA563C90}" name="unit_cost" dataDxfId="6"/>
    <tableColumn id="7" xr3:uid="{921FBE63-98EB-4F54-98D9-5AA87A552083}" name="Revenue" dataDxfId="5">
      <calculatedColumnFormula>sales_orders[[#This Row],[units_sold]]*sales_orders[[#This Row],[selling_price]]</calculatedColumnFormula>
    </tableColumn>
    <tableColumn id="8" xr3:uid="{0E449C2F-C2B6-428D-98FC-118D2BB1D576}" name="Total_Cost" dataDxfId="4">
      <calculatedColumnFormula>sales_orders[[#This Row],[units_sold]]*sales_orders[[#This Row],[unit_cost]]</calculatedColumnFormula>
    </tableColumn>
    <tableColumn id="9" xr3:uid="{3117B0DB-2442-4F51-B570-7AB3C047E4D7}" name="Profit" dataDxfId="1">
      <calculatedColumnFormula>sales_orders[[#This Row],[Revenue]]-sales_orders[[#This Row],[Total_Cost]]</calculatedColumnFormula>
    </tableColumn>
    <tableColumn id="10" xr3:uid="{F01C7680-9D1B-4878-BF32-3D8929565BEB}" name="Profit_Margin" dataDxfId="2" dataCellStyle="Percent">
      <calculatedColumnFormula>sales_orders[[#This Row],[Profit]]/sales_orders[[#This Row],[Revenue]]</calculatedColumnFormula>
    </tableColumn>
    <tableColumn id="11" xr3:uid="{D75C11F2-B177-44AA-9174-FD527B9FA14E}" name="Profit_Status" dataDxfId="0">
      <calculatedColumnFormula>IF(sales_orders[[#This Row],[Profit]]&gt;10000,"High Profit","Normal")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F113-7426-40C7-BD26-F3B56AC04D47}">
  <dimension ref="A1:Q24"/>
  <sheetViews>
    <sheetView tabSelected="1" zoomScale="130" zoomScaleNormal="130" workbookViewId="0">
      <selection activeCell="K8" sqref="K8"/>
    </sheetView>
  </sheetViews>
  <sheetFormatPr defaultRowHeight="14.4" x14ac:dyDescent="0.3"/>
  <cols>
    <col min="1" max="1" width="10.109375" bestFit="1" customWidth="1"/>
    <col min="2" max="2" width="8.77734375" bestFit="1" customWidth="1"/>
    <col min="3" max="3" width="8.33203125" bestFit="1" customWidth="1"/>
    <col min="4" max="4" width="11.6640625" style="7" bestFit="1" customWidth="1"/>
    <col min="5" max="5" width="16" style="7" bestFit="1" customWidth="1"/>
    <col min="6" max="6" width="10.77734375" bestFit="1" customWidth="1"/>
    <col min="7" max="7" width="10.21875" bestFit="1" customWidth="1"/>
    <col min="8" max="8" width="14.109375" style="7" bestFit="1" customWidth="1"/>
    <col min="9" max="9" width="7.77734375" bestFit="1" customWidth="1"/>
    <col min="10" max="10" width="16.33203125" style="8" bestFit="1" customWidth="1"/>
    <col min="11" max="11" width="13.886718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3" t="s">
        <v>5</v>
      </c>
      <c r="G1" s="3" t="s">
        <v>14</v>
      </c>
      <c r="H1" s="3" t="s">
        <v>15</v>
      </c>
      <c r="I1" s="3" t="s">
        <v>16</v>
      </c>
      <c r="J1" s="3" t="s">
        <v>17</v>
      </c>
      <c r="K1" s="16" t="s">
        <v>18</v>
      </c>
      <c r="L1" s="14" t="s">
        <v>19</v>
      </c>
      <c r="M1" s="15"/>
      <c r="N1" s="15"/>
      <c r="O1" s="15"/>
      <c r="P1" s="15"/>
      <c r="Q1" s="15"/>
    </row>
    <row r="2" spans="1:17" ht="12.6" customHeight="1" x14ac:dyDescent="0.3">
      <c r="A2" s="9">
        <v>2001</v>
      </c>
      <c r="B2" s="5" t="s">
        <v>6</v>
      </c>
      <c r="C2" s="5" t="s">
        <v>7</v>
      </c>
      <c r="D2" s="5">
        <v>5</v>
      </c>
      <c r="E2" s="5">
        <v>75000</v>
      </c>
      <c r="F2" s="10">
        <v>62000</v>
      </c>
      <c r="G2" s="4">
        <f>sales_orders[[#This Row],[units_sold]]*sales_orders[[#This Row],[selling_price]]</f>
        <v>375000</v>
      </c>
      <c r="H2" s="4">
        <f>sales_orders[[#This Row],[units_sold]]*sales_orders[[#This Row],[unit_cost]]</f>
        <v>310000</v>
      </c>
      <c r="I2" s="7">
        <f>sales_orders[[#This Row],[Revenue]]-sales_orders[[#This Row],[Total_Cost]]</f>
        <v>65000</v>
      </c>
      <c r="J2" s="8">
        <f>sales_orders[[#This Row],[Profit]]/sales_orders[[#This Row],[Revenue]]</f>
        <v>0.17333333333333334</v>
      </c>
      <c r="K2" s="17" t="str">
        <f>IF(sales_orders[[#This Row],[Profit]]&gt;10000,"High Profit","Normal")</f>
        <v>High Profit</v>
      </c>
      <c r="L2" s="15"/>
      <c r="M2" s="15"/>
      <c r="N2" s="15"/>
      <c r="O2" s="15"/>
      <c r="P2" s="15"/>
      <c r="Q2" s="15"/>
    </row>
    <row r="3" spans="1:17" x14ac:dyDescent="0.3">
      <c r="A3" s="9">
        <v>2002</v>
      </c>
      <c r="B3" s="5" t="s">
        <v>8</v>
      </c>
      <c r="C3" s="5" t="s">
        <v>9</v>
      </c>
      <c r="D3" s="5">
        <v>40</v>
      </c>
      <c r="E3" s="5">
        <v>800</v>
      </c>
      <c r="F3" s="10">
        <v>450</v>
      </c>
      <c r="G3" s="5">
        <f>sales_orders[[#This Row],[units_sold]]*sales_orders[[#This Row],[selling_price]]</f>
        <v>32000</v>
      </c>
      <c r="H3" s="5">
        <f>sales_orders[[#This Row],[units_sold]]*sales_orders[[#This Row],[unit_cost]]</f>
        <v>18000</v>
      </c>
      <c r="I3" s="7">
        <f>sales_orders[[#This Row],[Revenue]]-sales_orders[[#This Row],[Total_Cost]]</f>
        <v>14000</v>
      </c>
      <c r="J3" s="8">
        <f>sales_orders[[#This Row],[Profit]]/sales_orders[[#This Row],[Revenue]]</f>
        <v>0.4375</v>
      </c>
      <c r="K3" s="18" t="str">
        <f>IF(sales_orders[[#This Row],[Profit]]&gt;10000,"High Profit","Normal")</f>
        <v>High Profit</v>
      </c>
      <c r="L3" s="15"/>
      <c r="M3" s="15"/>
      <c r="N3" s="15"/>
      <c r="O3" s="15"/>
      <c r="P3" s="15"/>
      <c r="Q3" s="15"/>
    </row>
    <row r="4" spans="1:17" x14ac:dyDescent="0.3">
      <c r="A4" s="9">
        <v>2003</v>
      </c>
      <c r="B4" s="5" t="s">
        <v>10</v>
      </c>
      <c r="C4" s="5" t="s">
        <v>11</v>
      </c>
      <c r="D4" s="5">
        <v>25</v>
      </c>
      <c r="E4" s="5">
        <v>1500</v>
      </c>
      <c r="F4" s="10">
        <v>900</v>
      </c>
      <c r="G4" s="5">
        <f>sales_orders[[#This Row],[units_sold]]*sales_orders[[#This Row],[selling_price]]</f>
        <v>37500</v>
      </c>
      <c r="H4" s="5">
        <f>sales_orders[[#This Row],[units_sold]]*sales_orders[[#This Row],[unit_cost]]</f>
        <v>22500</v>
      </c>
      <c r="I4" s="7">
        <f>sales_orders[[#This Row],[Revenue]]-sales_orders[[#This Row],[Total_Cost]]</f>
        <v>15000</v>
      </c>
      <c r="J4" s="8">
        <f>sales_orders[[#This Row],[Profit]]/sales_orders[[#This Row],[Revenue]]</f>
        <v>0.4</v>
      </c>
      <c r="K4" s="18" t="str">
        <f>IF(sales_orders[[#This Row],[Profit]]&gt;10000,"High Profit","Normal")</f>
        <v>High Profit</v>
      </c>
      <c r="L4" s="15"/>
      <c r="M4" s="15"/>
      <c r="N4" s="15"/>
      <c r="O4" s="15"/>
      <c r="P4" s="15"/>
      <c r="Q4" s="15"/>
    </row>
    <row r="5" spans="1:17" x14ac:dyDescent="0.3">
      <c r="A5" s="9">
        <v>2004</v>
      </c>
      <c r="B5" s="5" t="s">
        <v>12</v>
      </c>
      <c r="C5" s="5" t="s">
        <v>13</v>
      </c>
      <c r="D5" s="5">
        <v>12</v>
      </c>
      <c r="E5" s="5">
        <v>18000</v>
      </c>
      <c r="F5" s="10">
        <v>14000</v>
      </c>
      <c r="G5" s="5">
        <f>sales_orders[[#This Row],[units_sold]]*sales_orders[[#This Row],[selling_price]]</f>
        <v>216000</v>
      </c>
      <c r="H5" s="5">
        <f>sales_orders[[#This Row],[units_sold]]*sales_orders[[#This Row],[unit_cost]]</f>
        <v>168000</v>
      </c>
      <c r="I5" s="7">
        <f>sales_orders[[#This Row],[Revenue]]-sales_orders[[#This Row],[Total_Cost]]</f>
        <v>48000</v>
      </c>
      <c r="J5" s="8">
        <f>sales_orders[[#This Row],[Profit]]/sales_orders[[#This Row],[Revenue]]</f>
        <v>0.22222222222222221</v>
      </c>
      <c r="K5" s="18" t="str">
        <f>IF(sales_orders[[#This Row],[Profit]]&gt;10000,"High Profit","Normal")</f>
        <v>High Profit</v>
      </c>
      <c r="L5" s="15"/>
      <c r="M5" s="15"/>
      <c r="N5" s="15"/>
      <c r="O5" s="15"/>
      <c r="P5" s="15"/>
      <c r="Q5" s="15"/>
    </row>
    <row r="6" spans="1:17" x14ac:dyDescent="0.3">
      <c r="A6" s="9">
        <v>2005</v>
      </c>
      <c r="B6" s="5" t="s">
        <v>6</v>
      </c>
      <c r="C6" s="5" t="s">
        <v>9</v>
      </c>
      <c r="D6" s="5">
        <v>3</v>
      </c>
      <c r="E6" s="5">
        <v>76000</v>
      </c>
      <c r="F6" s="10">
        <v>62000</v>
      </c>
      <c r="G6" s="5">
        <f>sales_orders[[#This Row],[units_sold]]*sales_orders[[#This Row],[selling_price]]</f>
        <v>228000</v>
      </c>
      <c r="H6" s="5">
        <f>sales_orders[[#This Row],[units_sold]]*sales_orders[[#This Row],[unit_cost]]</f>
        <v>186000</v>
      </c>
      <c r="I6" s="7">
        <f>sales_orders[[#This Row],[Revenue]]-sales_orders[[#This Row],[Total_Cost]]</f>
        <v>42000</v>
      </c>
      <c r="J6" s="8">
        <f>sales_orders[[#This Row],[Profit]]/sales_orders[[#This Row],[Revenue]]</f>
        <v>0.18421052631578946</v>
      </c>
      <c r="K6" s="18" t="str">
        <f>IF(sales_orders[[#This Row],[Profit]]&gt;10000,"High Profit","Normal")</f>
        <v>High Profit</v>
      </c>
      <c r="L6" s="15"/>
      <c r="M6" s="15"/>
      <c r="N6" s="15"/>
      <c r="O6" s="15"/>
      <c r="P6" s="15"/>
      <c r="Q6" s="15"/>
    </row>
    <row r="7" spans="1:17" x14ac:dyDescent="0.3">
      <c r="A7" s="9">
        <v>2006</v>
      </c>
      <c r="B7" s="5" t="s">
        <v>8</v>
      </c>
      <c r="C7" s="5" t="s">
        <v>7</v>
      </c>
      <c r="D7" s="5">
        <v>60</v>
      </c>
      <c r="E7" s="5">
        <v>750</v>
      </c>
      <c r="F7" s="10">
        <v>420</v>
      </c>
      <c r="G7" s="5">
        <f>sales_orders[[#This Row],[units_sold]]*sales_orders[[#This Row],[selling_price]]</f>
        <v>45000</v>
      </c>
      <c r="H7" s="5">
        <f>sales_orders[[#This Row],[units_sold]]*sales_orders[[#This Row],[unit_cost]]</f>
        <v>25200</v>
      </c>
      <c r="I7" s="7">
        <f>sales_orders[[#This Row],[Revenue]]-sales_orders[[#This Row],[Total_Cost]]</f>
        <v>19800</v>
      </c>
      <c r="J7" s="8">
        <f>sales_orders[[#This Row],[Profit]]/sales_orders[[#This Row],[Revenue]]</f>
        <v>0.44</v>
      </c>
      <c r="K7" s="18" t="str">
        <f>IF(sales_orders[[#This Row],[Profit]]&gt;10000,"High Profit","Normal")</f>
        <v>High Profit</v>
      </c>
      <c r="L7" s="15"/>
      <c r="M7" s="15"/>
      <c r="N7" s="15"/>
      <c r="O7" s="15"/>
      <c r="P7" s="15"/>
      <c r="Q7" s="15"/>
    </row>
    <row r="8" spans="1:17" x14ac:dyDescent="0.3">
      <c r="A8" s="9">
        <v>2007</v>
      </c>
      <c r="B8" s="5" t="s">
        <v>10</v>
      </c>
      <c r="C8" s="5" t="s">
        <v>13</v>
      </c>
      <c r="D8" s="5">
        <v>20</v>
      </c>
      <c r="E8" s="5">
        <v>1600</v>
      </c>
      <c r="F8" s="10">
        <v>950</v>
      </c>
      <c r="G8" s="5">
        <f>sales_orders[[#This Row],[units_sold]]*sales_orders[[#This Row],[selling_price]]</f>
        <v>32000</v>
      </c>
      <c r="H8" s="5">
        <f>sales_orders[[#This Row],[units_sold]]*sales_orders[[#This Row],[unit_cost]]</f>
        <v>19000</v>
      </c>
      <c r="I8" s="7">
        <f>sales_orders[[#This Row],[Revenue]]-sales_orders[[#This Row],[Total_Cost]]</f>
        <v>13000</v>
      </c>
      <c r="J8" s="8">
        <f>sales_orders[[#This Row],[Profit]]/sales_orders[[#This Row],[Revenue]]</f>
        <v>0.40625</v>
      </c>
      <c r="K8" s="18" t="str">
        <f>IF(sales_orders[[#This Row],[Profit]]&gt;10000,"High Profit","Normal")</f>
        <v>High Profit</v>
      </c>
      <c r="L8" s="15"/>
      <c r="M8" s="15"/>
      <c r="N8" s="15"/>
      <c r="O8" s="15"/>
      <c r="P8" s="15"/>
      <c r="Q8" s="15"/>
    </row>
    <row r="9" spans="1:17" x14ac:dyDescent="0.3">
      <c r="A9" s="9">
        <v>2008</v>
      </c>
      <c r="B9" s="5" t="s">
        <v>12</v>
      </c>
      <c r="C9" s="5" t="s">
        <v>11</v>
      </c>
      <c r="D9" s="5">
        <v>10</v>
      </c>
      <c r="E9" s="5">
        <v>17500</v>
      </c>
      <c r="F9" s="10">
        <v>13800</v>
      </c>
      <c r="G9" s="5">
        <f>sales_orders[[#This Row],[units_sold]]*sales_orders[[#This Row],[selling_price]]</f>
        <v>175000</v>
      </c>
      <c r="H9" s="5">
        <f>sales_orders[[#This Row],[units_sold]]*sales_orders[[#This Row],[unit_cost]]</f>
        <v>138000</v>
      </c>
      <c r="I9" s="7">
        <f>sales_orders[[#This Row],[Revenue]]-sales_orders[[#This Row],[Total_Cost]]</f>
        <v>37000</v>
      </c>
      <c r="J9" s="8">
        <f>sales_orders[[#This Row],[Profit]]/sales_orders[[#This Row],[Revenue]]</f>
        <v>0.21142857142857144</v>
      </c>
      <c r="K9" s="18" t="str">
        <f>IF(sales_orders[[#This Row],[Profit]]&gt;10000,"High Profit","Normal")</f>
        <v>High Profit</v>
      </c>
      <c r="L9" s="15"/>
      <c r="M9" s="15"/>
      <c r="N9" s="15"/>
      <c r="O9" s="15"/>
      <c r="P9" s="15"/>
      <c r="Q9" s="15"/>
    </row>
    <row r="10" spans="1:17" x14ac:dyDescent="0.3">
      <c r="A10" s="9">
        <v>2009</v>
      </c>
      <c r="B10" s="5" t="s">
        <v>6</v>
      </c>
      <c r="C10" s="5" t="s">
        <v>13</v>
      </c>
      <c r="D10" s="5">
        <v>4</v>
      </c>
      <c r="E10" s="5">
        <v>77000</v>
      </c>
      <c r="F10" s="10">
        <v>63000</v>
      </c>
      <c r="G10" s="5">
        <f>sales_orders[[#This Row],[units_sold]]*sales_orders[[#This Row],[selling_price]]</f>
        <v>308000</v>
      </c>
      <c r="H10" s="5">
        <f>sales_orders[[#This Row],[units_sold]]*sales_orders[[#This Row],[unit_cost]]</f>
        <v>252000</v>
      </c>
      <c r="I10" s="7">
        <f>sales_orders[[#This Row],[Revenue]]-sales_orders[[#This Row],[Total_Cost]]</f>
        <v>56000</v>
      </c>
      <c r="J10" s="8">
        <f>sales_orders[[#This Row],[Profit]]/sales_orders[[#This Row],[Revenue]]</f>
        <v>0.18181818181818182</v>
      </c>
      <c r="K10" s="18" t="str">
        <f>IF(sales_orders[[#This Row],[Profit]]&gt;10000,"High Profit","Normal")</f>
        <v>High Profit</v>
      </c>
      <c r="L10" s="15"/>
      <c r="M10" s="15"/>
      <c r="N10" s="15"/>
      <c r="O10" s="15"/>
      <c r="P10" s="15"/>
      <c r="Q10" s="15"/>
    </row>
    <row r="11" spans="1:17" x14ac:dyDescent="0.3">
      <c r="A11" s="11">
        <v>2010</v>
      </c>
      <c r="B11" s="6" t="s">
        <v>8</v>
      </c>
      <c r="C11" s="6" t="s">
        <v>9</v>
      </c>
      <c r="D11" s="6">
        <v>50</v>
      </c>
      <c r="E11" s="6">
        <v>820</v>
      </c>
      <c r="F11" s="12">
        <v>460</v>
      </c>
      <c r="G11" s="6">
        <f>sales_orders[[#This Row],[units_sold]]*sales_orders[[#This Row],[selling_price]]</f>
        <v>41000</v>
      </c>
      <c r="H11" s="6">
        <f>sales_orders[[#This Row],[units_sold]]*sales_orders[[#This Row],[unit_cost]]</f>
        <v>23000</v>
      </c>
      <c r="I11" s="7">
        <f>sales_orders[[#This Row],[Revenue]]-sales_orders[[#This Row],[Total_Cost]]</f>
        <v>18000</v>
      </c>
      <c r="J11" s="8">
        <f>sales_orders[[#This Row],[Profit]]/sales_orders[[#This Row],[Revenue]]</f>
        <v>0.43902439024390244</v>
      </c>
      <c r="K11" s="18" t="str">
        <f>IF(sales_orders[[#This Row],[Profit]]&gt;10000,"High Profit","Normal")</f>
        <v>High Profit</v>
      </c>
      <c r="L11" s="15"/>
      <c r="M11" s="15"/>
      <c r="N11" s="15"/>
      <c r="O11" s="15"/>
      <c r="P11" s="15"/>
      <c r="Q11" s="15"/>
    </row>
    <row r="12" spans="1:17" x14ac:dyDescent="0.3">
      <c r="L12" s="15"/>
      <c r="M12" s="15"/>
      <c r="N12" s="15"/>
      <c r="O12" s="15"/>
      <c r="P12" s="15"/>
      <c r="Q12" s="15"/>
    </row>
    <row r="13" spans="1:17" x14ac:dyDescent="0.3">
      <c r="L13" s="15"/>
      <c r="M13" s="15"/>
      <c r="N13" s="15"/>
      <c r="O13" s="15"/>
      <c r="P13" s="15"/>
      <c r="Q13" s="15"/>
    </row>
    <row r="14" spans="1:17" x14ac:dyDescent="0.3">
      <c r="I14" s="13"/>
      <c r="J14" s="13"/>
      <c r="L14" s="15"/>
      <c r="M14" s="15"/>
      <c r="N14" s="15"/>
      <c r="O14" s="15"/>
      <c r="P14" s="15"/>
      <c r="Q14" s="15"/>
    </row>
    <row r="15" spans="1:17" x14ac:dyDescent="0.3">
      <c r="L15" s="15"/>
      <c r="M15" s="15"/>
      <c r="N15" s="15"/>
      <c r="O15" s="15"/>
      <c r="P15" s="15"/>
      <c r="Q15" s="15"/>
    </row>
    <row r="16" spans="1:17" x14ac:dyDescent="0.3">
      <c r="L16" s="15"/>
      <c r="M16" s="15"/>
      <c r="N16" s="15"/>
      <c r="O16" s="15"/>
      <c r="P16" s="15"/>
      <c r="Q16" s="15"/>
    </row>
    <row r="17" spans="12:17" x14ac:dyDescent="0.3">
      <c r="L17" s="15"/>
      <c r="M17" s="15"/>
      <c r="N17" s="15"/>
      <c r="O17" s="15"/>
      <c r="P17" s="15"/>
      <c r="Q17" s="15"/>
    </row>
    <row r="18" spans="12:17" x14ac:dyDescent="0.3">
      <c r="L18" s="15"/>
      <c r="M18" s="15"/>
      <c r="N18" s="15"/>
      <c r="O18" s="15"/>
      <c r="P18" s="15"/>
      <c r="Q18" s="15"/>
    </row>
    <row r="19" spans="12:17" x14ac:dyDescent="0.3">
      <c r="L19" s="15"/>
      <c r="M19" s="15"/>
      <c r="N19" s="15"/>
      <c r="O19" s="15"/>
      <c r="P19" s="15"/>
      <c r="Q19" s="15"/>
    </row>
    <row r="20" spans="12:17" x14ac:dyDescent="0.3">
      <c r="L20" s="15"/>
      <c r="M20" s="15"/>
      <c r="N20" s="15"/>
      <c r="O20" s="15"/>
      <c r="P20" s="15"/>
      <c r="Q20" s="15"/>
    </row>
    <row r="21" spans="12:17" x14ac:dyDescent="0.3">
      <c r="L21" s="15"/>
      <c r="M21" s="15"/>
      <c r="N21" s="15"/>
      <c r="O21" s="15"/>
      <c r="P21" s="15"/>
      <c r="Q21" s="15"/>
    </row>
    <row r="22" spans="12:17" x14ac:dyDescent="0.3">
      <c r="L22" s="15"/>
      <c r="M22" s="15"/>
      <c r="N22" s="15"/>
      <c r="O22" s="15"/>
      <c r="P22" s="15"/>
      <c r="Q22" s="15"/>
    </row>
    <row r="23" spans="12:17" x14ac:dyDescent="0.3">
      <c r="L23" s="15"/>
      <c r="M23" s="15"/>
      <c r="N23" s="15"/>
      <c r="O23" s="15"/>
      <c r="P23" s="15"/>
      <c r="Q23" s="15"/>
    </row>
    <row r="24" spans="12:17" x14ac:dyDescent="0.3">
      <c r="L24" s="15"/>
      <c r="M24" s="15"/>
      <c r="N24" s="15"/>
      <c r="O24" s="15"/>
      <c r="P24" s="15"/>
      <c r="Q24" s="15"/>
    </row>
  </sheetData>
  <mergeCells count="2">
    <mergeCell ref="L1:Q24"/>
    <mergeCell ref="I14:J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Deep</dc:creator>
  <cp:lastModifiedBy>Sai Deep</cp:lastModifiedBy>
  <dcterms:created xsi:type="dcterms:W3CDTF">2026-03-04T05:28:29Z</dcterms:created>
  <dcterms:modified xsi:type="dcterms:W3CDTF">2026-03-04T05:58:42Z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2026-03-04T05:58:23Z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96c5ee4d-0712-40aa-b33c-fc6f08681c1f</vt:lpwstr>
  </property>
  <property fmtid="{D5CDD505-2E9C-101B-9397-08002B2CF9AE}" pid="7" name="MSIP_Label_defa4170-0d19-0005-0004-bc88714345d2_ActionId">
    <vt:lpwstr>b21dc638-71e4-4e76-89d3-4c2dfdf8c52e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