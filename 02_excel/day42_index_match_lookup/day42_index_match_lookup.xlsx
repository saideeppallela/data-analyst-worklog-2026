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 -Excel\DAY42\"/>
    </mc:Choice>
  </mc:AlternateContent>
  <xr:revisionPtr revIDLastSave="0" documentId="13_ncr:1_{30AEFC6B-2A71-40C6-873C-D9F33E8B63D6}" xr6:coauthVersionLast="47" xr6:coauthVersionMax="47" xr10:uidLastSave="{00000000-0000-0000-0000-000000000000}"/>
  <bookViews>
    <workbookView xWindow="30600" yWindow="-120" windowWidth="29040" windowHeight="15720" xr2:uid="{00000000-000D-0000-FFFF-FFFF00000000}"/>
  </bookViews>
  <sheets>
    <sheet name="Sales_Orders" sheetId="1" r:id="rId1"/>
    <sheet name="Product_Mast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<sst xmlns="http://schemas.openxmlformats.org/spreadsheetml/2006/main" count="38" uniqueCount="20">
  <si>
    <t>order_id</t>
  </si>
  <si>
    <t>customer</t>
  </si>
  <si>
    <t>product</t>
  </si>
  <si>
    <t>units</t>
  </si>
  <si>
    <t>Amazon</t>
  </si>
  <si>
    <t>Laptop</t>
  </si>
  <si>
    <t>Flipkart</t>
  </si>
  <si>
    <t>Mouse</t>
  </si>
  <si>
    <t>Croma</t>
  </si>
  <si>
    <t>Keyboard</t>
  </si>
  <si>
    <t>Reliance</t>
  </si>
  <si>
    <t>Monitor</t>
  </si>
  <si>
    <t>TataCliq</t>
  </si>
  <si>
    <t>category</t>
  </si>
  <si>
    <t>unit_price</t>
  </si>
  <si>
    <t>Electronics</t>
  </si>
  <si>
    <t>Accessories</t>
  </si>
  <si>
    <t>Category</t>
  </si>
  <si>
    <t>Unit_Price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</si>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</sst>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9"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D70038-39F0-4D1F-9558-348351C6B90A}" name="sales_orders" displayName="sales_orders" ref="A1:G11" totalsRowShown="0" headerRowDxfId="5" dataDxfId="4">
  <autoFilter ref="A1:G11" xr:uid="{93D70038-39F0-4D1F-9558-348351C6B90A}"/>
  <tableColumns count="7">
    <tableColumn id="1" xr3:uid="{9E787E17-C6B9-44F9-BBD8-62081FC71AA6}" name="order_id" dataDxfId="8"/>
    <tableColumn id="2" xr3:uid="{3061BD5A-6015-4956-8C85-C522245B1958}" name="customer" dataDxfId="7"/>
    <tableColumn id="3" xr3:uid="{C09FEDFA-5845-4B50-9F01-052B0FFFD151}" name="product" dataDxfId="6"/>
    <tableColumn id="4" xr3:uid="{7FE9DA39-D62B-447C-A2C8-513244D94779}" name="units" dataDxfId="2"/>
    <tableColumn id="5" xr3:uid="{D3F9731E-042F-4B3A-9DA7-64B0B400B475}" name="Category" dataDxfId="3">
      <calculatedColumnFormula>INDEX(product_master[category],MATCH(sales_orders[[#This Row],[product]],product_master[product],0))</calculatedColumnFormula>
    </tableColumn>
    <tableColumn id="6" xr3:uid="{6CA9D8D9-4C2B-4683-ABB0-B4ADB73AD187}" name="Unit_Price" dataDxfId="1">
      <calculatedColumnFormula>INDEX(product_master[unit_price],MATCH(sales_orders[[#This Row],[product]],product_master[product],0))</calculatedColumnFormula>
    </tableColumn>
    <tableColumn id="7" xr3:uid="{5509067C-6E3A-4138-91D1-7EEA7B743A58}" name="Revenue" dataDxfId="0">
      <calculatedColumnFormula>sales_orders[[#This Row],[units]]*sales_orders[[#This Row],[Unit_Price]]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1AE5BD-8ECC-4D24-8496-A258D608FE6F}" name="product_master" displayName="product_master" ref="A1:C5" totalsRowShown="0">
  <autoFilter ref="A1:C5" xr:uid="{BD1AE5BD-8ECC-4D24-8496-A258D608FE6F}"/>
  <tableColumns count="3">
    <tableColumn id="1" xr3:uid="{17382A33-1F8B-46AD-B312-ECA0D7883AAF}" name="product"/>
    <tableColumn id="2" xr3:uid="{5CC1F4B6-15E1-4241-9CCC-744B42E84D95}" name="category"/>
    <tableColumn id="3" xr3:uid="{F7408432-86DB-4280-A01B-32D7753D867F}" name="unit_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205" zoomScaleNormal="205" workbookViewId="0">
      <selection activeCell="G11" sqref="G11"/>
    </sheetView>
  </sheetViews>
  <sheetFormatPr defaultRowHeight="14.4" x14ac:dyDescent="0.3"/>
  <cols>
    <col min="1" max="1" width="10.33203125" style="1" customWidth="1"/>
    <col min="2" max="2" width="11" style="1" customWidth="1"/>
    <col min="3" max="3" width="9.5546875" style="1" customWidth="1"/>
    <col min="4" max="4" width="8.88671875" style="1"/>
    <col min="5" max="5" width="10.77734375" style="1" bestFit="1" customWidth="1"/>
    <col min="6" max="6" width="14.109375" bestFit="1" customWidth="1"/>
    <col min="7" max="7" width="12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2" t="s">
        <v>19</v>
      </c>
    </row>
    <row r="2" spans="1:7" x14ac:dyDescent="0.3">
      <c r="A2" s="1">
        <v>8001</v>
      </c>
      <c r="B2" s="1" t="s">
        <v>4</v>
      </c>
      <c r="C2" s="1" t="s">
        <v>5</v>
      </c>
      <c r="D2" s="1">
        <v>3</v>
      </c>
      <c r="E2" s="1" t="str">
        <f>INDEX(product_master[category],MATCH(sales_orders[[#This Row],[product]],product_master[product],0))</f>
        <v>Electronics</v>
      </c>
      <c r="F2" s="1">
        <f>INDEX(product_master[unit_price],MATCH(sales_orders[[#This Row],[product]],product_master[product],0))</f>
        <v>75000</v>
      </c>
      <c r="G2" s="2">
        <f>sales_orders[[#This Row],[units]]*sales_orders[[#This Row],[Unit_Price]]</f>
        <v>225000</v>
      </c>
    </row>
    <row r="3" spans="1:7" x14ac:dyDescent="0.3">
      <c r="A3" s="1">
        <v>8002</v>
      </c>
      <c r="B3" s="1" t="s">
        <v>6</v>
      </c>
      <c r="C3" s="1" t="s">
        <v>7</v>
      </c>
      <c r="D3" s="1">
        <v>40</v>
      </c>
      <c r="E3" s="1" t="str">
        <f>INDEX(product_master[category],MATCH(sales_orders[[#This Row],[product]],product_master[product],0))</f>
        <v>Accessories</v>
      </c>
      <c r="F3" s="1">
        <f>INDEX(product_master[unit_price],MATCH(sales_orders[[#This Row],[product]],product_master[product],0))</f>
        <v>800</v>
      </c>
      <c r="G3" s="2">
        <f>sales_orders[[#This Row],[units]]*sales_orders[[#This Row],[Unit_Price]]</f>
        <v>32000</v>
      </c>
    </row>
    <row r="4" spans="1:7" x14ac:dyDescent="0.3">
      <c r="A4" s="1">
        <v>8003</v>
      </c>
      <c r="B4" s="1" t="s">
        <v>8</v>
      </c>
      <c r="C4" s="1" t="s">
        <v>9</v>
      </c>
      <c r="D4" s="1">
        <v>15</v>
      </c>
      <c r="E4" s="1" t="str">
        <f>INDEX(product_master[category],MATCH(sales_orders[[#This Row],[product]],product_master[product],0))</f>
        <v>Accessories</v>
      </c>
      <c r="F4" s="1">
        <f>INDEX(product_master[unit_price],MATCH(sales_orders[[#This Row],[product]],product_master[product],0))</f>
        <v>1500</v>
      </c>
      <c r="G4" s="2">
        <f>sales_orders[[#This Row],[units]]*sales_orders[[#This Row],[Unit_Price]]</f>
        <v>22500</v>
      </c>
    </row>
    <row r="5" spans="1:7" x14ac:dyDescent="0.3">
      <c r="A5" s="1">
        <v>8004</v>
      </c>
      <c r="B5" s="1" t="s">
        <v>10</v>
      </c>
      <c r="C5" s="1" t="s">
        <v>11</v>
      </c>
      <c r="D5" s="1">
        <v>8</v>
      </c>
      <c r="E5" s="1" t="str">
        <f>INDEX(product_master[category],MATCH(sales_orders[[#This Row],[product]],product_master[product],0))</f>
        <v>Electronics</v>
      </c>
      <c r="F5" s="1">
        <f>INDEX(product_master[unit_price],MATCH(sales_orders[[#This Row],[product]],product_master[product],0))</f>
        <v>18000</v>
      </c>
      <c r="G5" s="2">
        <f>sales_orders[[#This Row],[units]]*sales_orders[[#This Row],[Unit_Price]]</f>
        <v>144000</v>
      </c>
    </row>
    <row r="6" spans="1:7" x14ac:dyDescent="0.3">
      <c r="A6" s="1">
        <v>8005</v>
      </c>
      <c r="B6" s="1" t="s">
        <v>4</v>
      </c>
      <c r="C6" s="1" t="s">
        <v>5</v>
      </c>
      <c r="D6" s="1">
        <v>2</v>
      </c>
      <c r="E6" s="1" t="str">
        <f>INDEX(product_master[category],MATCH(sales_orders[[#This Row],[product]],product_master[product],0))</f>
        <v>Electronics</v>
      </c>
      <c r="F6" s="1">
        <f>INDEX(product_master[unit_price],MATCH(sales_orders[[#This Row],[product]],product_master[product],0))</f>
        <v>75000</v>
      </c>
      <c r="G6" s="2">
        <f>sales_orders[[#This Row],[units]]*sales_orders[[#This Row],[Unit_Price]]</f>
        <v>150000</v>
      </c>
    </row>
    <row r="7" spans="1:7" x14ac:dyDescent="0.3">
      <c r="A7" s="1">
        <v>8006</v>
      </c>
      <c r="B7" s="1" t="s">
        <v>12</v>
      </c>
      <c r="C7" s="1" t="s">
        <v>7</v>
      </c>
      <c r="D7" s="1">
        <v>30</v>
      </c>
      <c r="E7" s="1" t="str">
        <f>INDEX(product_master[category],MATCH(sales_orders[[#This Row],[product]],product_master[product],0))</f>
        <v>Accessories</v>
      </c>
      <c r="F7" s="1">
        <f>INDEX(product_master[unit_price],MATCH(sales_orders[[#This Row],[product]],product_master[product],0))</f>
        <v>800</v>
      </c>
      <c r="G7" s="2">
        <f>sales_orders[[#This Row],[units]]*sales_orders[[#This Row],[Unit_Price]]</f>
        <v>24000</v>
      </c>
    </row>
    <row r="8" spans="1:7" x14ac:dyDescent="0.3">
      <c r="A8" s="1">
        <v>8007</v>
      </c>
      <c r="B8" s="1" t="s">
        <v>8</v>
      </c>
      <c r="C8" s="1" t="s">
        <v>9</v>
      </c>
      <c r="D8" s="1">
        <v>20</v>
      </c>
      <c r="E8" s="1" t="str">
        <f>INDEX(product_master[category],MATCH(sales_orders[[#This Row],[product]],product_master[product],0))</f>
        <v>Accessories</v>
      </c>
      <c r="F8" s="1">
        <f>INDEX(product_master[unit_price],MATCH(sales_orders[[#This Row],[product]],product_master[product],0))</f>
        <v>1500</v>
      </c>
      <c r="G8" s="2">
        <f>sales_orders[[#This Row],[units]]*sales_orders[[#This Row],[Unit_Price]]</f>
        <v>30000</v>
      </c>
    </row>
    <row r="9" spans="1:7" x14ac:dyDescent="0.3">
      <c r="A9" s="1">
        <v>8008</v>
      </c>
      <c r="B9" s="1" t="s">
        <v>10</v>
      </c>
      <c r="C9" s="1" t="s">
        <v>11</v>
      </c>
      <c r="D9" s="1">
        <v>6</v>
      </c>
      <c r="E9" s="1" t="str">
        <f>INDEX(product_master[category],MATCH(sales_orders[[#This Row],[product]],product_master[product],0))</f>
        <v>Electronics</v>
      </c>
      <c r="F9" s="1">
        <f>INDEX(product_master[unit_price],MATCH(sales_orders[[#This Row],[product]],product_master[product],0))</f>
        <v>18000</v>
      </c>
      <c r="G9" s="2">
        <f>sales_orders[[#This Row],[units]]*sales_orders[[#This Row],[Unit_Price]]</f>
        <v>108000</v>
      </c>
    </row>
    <row r="10" spans="1:7" x14ac:dyDescent="0.3">
      <c r="A10" s="1">
        <v>8009</v>
      </c>
      <c r="B10" s="1" t="s">
        <v>4</v>
      </c>
      <c r="C10" s="1" t="s">
        <v>5</v>
      </c>
      <c r="D10" s="1">
        <v>4</v>
      </c>
      <c r="E10" s="1" t="str">
        <f>INDEX(product_master[category],MATCH(sales_orders[[#This Row],[product]],product_master[product],0))</f>
        <v>Electronics</v>
      </c>
      <c r="F10" s="1">
        <f>INDEX(product_master[unit_price],MATCH(sales_orders[[#This Row],[product]],product_master[product],0))</f>
        <v>75000</v>
      </c>
      <c r="G10" s="2">
        <f>sales_orders[[#This Row],[units]]*sales_orders[[#This Row],[Unit_Price]]</f>
        <v>300000</v>
      </c>
    </row>
    <row r="11" spans="1:7" x14ac:dyDescent="0.3">
      <c r="A11" s="1">
        <v>8010</v>
      </c>
      <c r="B11" s="1" t="s">
        <v>6</v>
      </c>
      <c r="C11" s="1" t="s">
        <v>7</v>
      </c>
      <c r="D11" s="1">
        <v>50</v>
      </c>
      <c r="E11" s="1" t="str">
        <f>INDEX(product_master[category],MATCH(sales_orders[[#This Row],[product]],product_master[product],0))</f>
        <v>Accessories</v>
      </c>
      <c r="F11" s="1">
        <f>INDEX(product_master[unit_price],MATCH(sales_orders[[#This Row],[product]],product_master[product],0))</f>
        <v>800</v>
      </c>
      <c r="G11" s="2">
        <f>sales_orders[[#This Row],[units]]*sales_orders[[#This Row],[Unit_Price]]</f>
        <v>40000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="250" zoomScaleNormal="250" workbookViewId="0">
      <selection activeCell="E17" sqref="E17"/>
    </sheetView>
  </sheetViews>
  <sheetFormatPr defaultRowHeight="14.4" x14ac:dyDescent="0.3"/>
  <cols>
    <col min="1" max="1" width="9.5546875" customWidth="1"/>
    <col min="2" max="2" width="10.33203125" customWidth="1"/>
    <col min="3" max="3" width="11.6640625" customWidth="1"/>
  </cols>
  <sheetData>
    <row r="1" spans="1:3" x14ac:dyDescent="0.3">
      <c r="A1" t="s">
        <v>2</v>
      </c>
      <c r="B1" t="s">
        <v>13</v>
      </c>
      <c r="C1" t="s">
        <v>14</v>
      </c>
    </row>
    <row r="2" spans="1:3" x14ac:dyDescent="0.3">
      <c r="A2" t="s">
        <v>5</v>
      </c>
      <c r="B2" t="s">
        <v>15</v>
      </c>
      <c r="C2">
        <v>75000</v>
      </c>
    </row>
    <row r="3" spans="1:3" x14ac:dyDescent="0.3">
      <c r="A3" t="s">
        <v>7</v>
      </c>
      <c r="B3" t="s">
        <v>16</v>
      </c>
      <c r="C3">
        <v>800</v>
      </c>
    </row>
    <row r="4" spans="1:3" x14ac:dyDescent="0.3">
      <c r="A4" t="s">
        <v>9</v>
      </c>
      <c r="B4" t="s">
        <v>16</v>
      </c>
      <c r="C4">
        <v>1500</v>
      </c>
    </row>
    <row r="5" spans="1:3" x14ac:dyDescent="0.3">
      <c r="A5" t="s">
        <v>11</v>
      </c>
      <c r="B5" t="s">
        <v>15</v>
      </c>
      <c r="C5">
        <v>18000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Sales_Orders</vt:lpstr>
      <vt:lpstr>Product_Master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saideep pallela</cp:lastModifiedBy>
  <dcterms:created xsi:type="dcterms:W3CDTF">2026-03-10T04:34:48Z</dcterms:created>
  <dcterms:modified xsi:type="dcterms:W3CDTF">2026-03-10T04:59:43Z</dcterms:modified>
</cp:coreProperties>
</file>