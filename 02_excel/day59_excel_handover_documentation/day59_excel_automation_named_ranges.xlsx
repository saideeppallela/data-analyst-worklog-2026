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Github -Excel\day 59\"/>
    </mc:Choice>
  </mc:AlternateContent>
  <xr:revisionPtr revIDLastSave="0" documentId="13_ncr:1_{B89C1EE3-3829-4F66-BF1B-BAD4F84B7139}" xr6:coauthVersionLast="47" xr6:coauthVersionMax="47" xr10:uidLastSave="{00000000-0000-0000-0000-000000000000}"/>
  <bookViews>
    <workbookView xWindow="30600" yWindow="-120" windowWidth="29040" windowHeight="15720" xr2:uid="{00000000-000D-0000-FFFF-FFFF00000000}"/>
  </bookViews>
  <sheets>
    <sheet name="Documentation" sheetId="4" r:id="rId1"/>
    <sheet name="weekly_sales" sheetId="1" r:id="rId2"/>
    <sheet name="auto_dashboard" sheetId="2" r:id="rId3"/>
    <sheet name="pivot_summary" sheetId="3" r:id="rId4"/>
  </sheets>
  <definedNames>
    <definedName name="Slicer_region">#N/A</definedName>
    <definedName name="total_orders">COUNTA(sales_table[order_id])</definedName>
    <definedName name="total_profit">SUM(sales_table[profit])</definedName>
    <definedName name="total_revenue">SUM(sales_table[revenue])</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1" l="1"/>
  <c r="G10" i="1"/>
  <c r="C4" i="2" a="1"/>
  <c r="C4" i="2" s="1"/>
  <c r="C2" i="2" a="1"/>
  <c r="C2" i="2" s="1"/>
  <c r="G3" i="1"/>
  <c r="H3" i="1" s="1"/>
  <c r="G4" i="1"/>
  <c r="H4" i="1" s="1"/>
  <c r="G5" i="1"/>
  <c r="H5" i="1" s="1"/>
  <c r="G6" i="1"/>
  <c r="H6" i="1" s="1"/>
  <c r="G7" i="1"/>
  <c r="H7" i="1" s="1"/>
  <c r="G8" i="1"/>
  <c r="H8" i="1" s="1"/>
  <c r="G9" i="1"/>
  <c r="H9" i="1" s="1"/>
  <c r="G2" i="1"/>
  <c r="C3" i="2" s="1" a="1"/>
  <c r="C3" i="2" s="1"/>
  <c r="H2"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<sst xmlns="http://schemas.openxmlformats.org/spreadsheetml/2006/main" count="70" uniqueCount="49">
  <si>
    <t>order_id</t>
  </si>
  <si>
    <t>order_date</t>
  </si>
  <si>
    <t>region</t>
  </si>
  <si>
    <t>category</t>
  </si>
  <si>
    <t>revenue</t>
  </si>
  <si>
    <t>cost</t>
  </si>
  <si>
    <t>ORD301</t>
  </si>
  <si>
    <t>North</t>
  </si>
  <si>
    <t>Electronics</t>
  </si>
  <si>
    <t>ORD302</t>
  </si>
  <si>
    <t>South</t>
  </si>
  <si>
    <t>Furniture</t>
  </si>
  <si>
    <t>ORD303</t>
  </si>
  <si>
    <t>West</t>
  </si>
  <si>
    <t>ORD304</t>
  </si>
  <si>
    <t>East</t>
  </si>
  <si>
    <t>Clothing</t>
  </si>
  <si>
    <t>ORD305</t>
  </si>
  <si>
    <t>ORD306</t>
  </si>
  <si>
    <t>ORD307</t>
  </si>
  <si>
    <t>ORD308</t>
  </si>
  <si>
    <t>Total Revenue</t>
  </si>
  <si>
    <t>profit</t>
  </si>
  <si>
    <t>profit_margin%</t>
  </si>
  <si>
    <t>Total Profit</t>
  </si>
  <si>
    <t>Total Orders</t>
  </si>
  <si>
    <t>Total revenue</t>
  </si>
  <si>
    <t>Total profit</t>
  </si>
  <si>
    <t>ORD309</t>
  </si>
  <si>
    <t>KPI</t>
  </si>
  <si>
    <t>Sales Report Documentation</t>
  </si>
  <si>
    <t>Purpose:</t>
  </si>
  <si>
    <t>This file is created as part of my learning practice in data analytics to analyze sales performance and generate key insights using Excel.
I have used Excel tables, named ranges, and basic dashboard elements to make the file more structureand easier to use.</t>
  </si>
  <si>
    <t>Sheet Overview:</t>
  </si>
  <si>
    <t xml:space="preserve">Sheet Name        </t>
  </si>
  <si>
    <t>Purpose</t>
  </si>
  <si>
    <t xml:space="preserve">Revenue = Total sales amount  
Profit = Revenue - Cost  
Profit Margin = Profit / Revenue  </t>
  </si>
  <si>
    <t>Key Metrics:</t>
  </si>
  <si>
    <t>Important Logic:</t>
  </si>
  <si>
    <t xml:space="preserve">Profit is calculated as revenue minus cost  
Excel Tables are used so data automatically expands when new rows are added  
Named ranges are used to calculate KPIs in a cleaner way  
Pivot tables are used for summarizing category and region performance  </t>
  </si>
  <si>
    <t>How to Use:</t>
  </si>
  <si>
    <t xml:space="preserve">1. Open the dashboard sheet  
2. View KPIs and charts to understand performance  
3. Use filters if available  
4. Avoid editing formula cells to prevent errors  </t>
  </si>
  <si>
    <t>How to Update Data:</t>
  </si>
  <si>
    <t xml:space="preserve">1. Go to the data sheet  
2. Add new rows inside the existing table  
3. Do not paste data outside the table  
4. Refresh pivot tables after updating data  </t>
  </si>
  <si>
    <t>Assumptions:</t>
  </si>
  <si>
    <t xml:space="preserve"> Each order_id is unique  
- Revenue and cost values are available  
- Data is entered in correct format  </t>
  </si>
  <si>
    <t>Limitations:</t>
  </si>
  <si>
    <t xml:space="preserve"> Pivot tables need manual refresh  
No advanced forecasting or predictive analysis is included</t>
  </si>
  <si>
    <t>Dashboard :-       Shows KPIs and charts for understanding performance
Weekly Sales :-                 Contains raw sales data stored in Excel table format
Documentation  :-    Explains how this file is structured and how to use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</si>
</sst>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b/>
      <sz val="9"/>
      <color theme="1"/>
      <name val="Calibri"/>
      <family val="2"/>
      <scheme val="minor"/>
    </font>
    <font>
      <b/>
      <sz val="10"/>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theme="2"/>
        <bgColor indexed="64"/>
      </patternFill>
    </fill>
    <fill>
      <patternFill patternType="solid">
        <fgColor theme="2"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9" fontId="0" fillId="0" borderId="0" xfId="1" applyFon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14" fontId="0" fillId="2" borderId="0" xfId="0" applyNumberFormat="1" applyFill="1"/>
    <xf numFmtId="9" fontId="0" fillId="2" borderId="0" xfId="1" applyFont="1" applyFill="1"/>
    <xf numFmtId="0" fontId="2" fillId="0" borderId="1" xfId="0" applyFont="1" applyBorder="1"/>
    <xf numFmtId="0" fontId="2" fillId="3" borderId="1" xfId="0" applyFont="1" applyFill="1" applyBorder="1" applyAlignment="1">
      <alignment horizontal="center"/>
    </xf>
    <xf numFmtId="0" fontId="2" fillId="0" borderId="0" xfId="0" applyFont="1"/>
    <xf numFmtId="0" fontId="4" fillId="4" borderId="0" xfId="0" applyFont="1" applyFill="1" applyAlignment="1">
      <alignment horizontal="center" vertical="top" wrapText="1"/>
    </xf>
    <xf numFmtId="0" fontId="4" fillId="4" borderId="0" xfId="0" applyFont="1" applyFill="1" applyAlignment="1">
      <alignment horizontal="center" vertical="top" wrapText="1"/>
    </xf>
    <xf numFmtId="0" fontId="0" fillId="0" borderId="0" xfId="0" applyAlignment="1">
      <alignment vertical="center"/>
    </xf>
    <xf numFmtId="0" fontId="3" fillId="5" borderId="0" xfId="0" applyFont="1" applyFill="1" applyAlignment="1">
      <alignment horizontal="center" wrapText="1"/>
    </xf>
    <xf numFmtId="0" fontId="2" fillId="3" borderId="0" xfId="0" applyFont="1" applyFill="1"/>
    <xf numFmtId="0" fontId="4" fillId="0" borderId="0" xfId="0" applyFont="1" applyAlignment="1">
      <alignment horizontal="left" wrapText="1"/>
    </xf>
    <xf numFmtId="0" fontId="4" fillId="0" borderId="0" xfId="0" applyFont="1" applyAlignment="1">
      <alignment horizontal="left"/>
    </xf>
    <xf numFmtId="0" fontId="4" fillId="0" borderId="0" xfId="0" applyFont="1" applyAlignment="1">
      <alignment horizontal="left" vertical="top" wrapText="1"/>
    </xf>
    <xf numFmtId="0" fontId="4" fillId="0" borderId="0" xfId="0" applyFont="1" applyAlignment="1">
      <alignment horizontal="left" vertical="top"/>
    </xf>
    <xf numFmtId="0" fontId="5" fillId="0" borderId="0" xfId="0" applyFont="1" applyAlignment="1">
      <alignment horizontal="left" vertical="top" wrapText="1"/>
    </xf>
    <xf numFmtId="0" fontId="5" fillId="0" borderId="0" xfId="0" applyFont="1" applyAlignment="1">
      <alignment horizontal="left" vertical="top"/>
    </xf>
    <xf numFmtId="0" fontId="4" fillId="0" borderId="0" xfId="0" applyFont="1" applyAlignment="1">
      <alignment horizontal="center" vertical="top"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79450</xdr:colOff>
      <xdr:row>1</xdr:row>
      <xdr:rowOff>17816</xdr:rowOff>
    </xdr:from>
    <xdr:to>
      <xdr:col>6</xdr:col>
      <xdr:colOff>312696</xdr:colOff>
      <xdr:row>9</xdr:row>
      <xdr:rowOff>16618</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F12C6A50-72CC-4914-94E6-1545A470FBB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136668" y="202908"/>
              <a:ext cx="1451893" cy="1449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150935</xdr:colOff>
      <xdr:row>1</xdr:row>
      <xdr:rowOff>22714</xdr:rowOff>
    </xdr:from>
    <xdr:to>
      <xdr:col>5</xdr:col>
      <xdr:colOff>399757</xdr:colOff>
      <xdr:row>9</xdr:row>
      <xdr:rowOff>32239</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FE58A2AB-527F-EA28-133C-70ACE8BC4A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57450" y="200612"/>
              <a:ext cx="1471832" cy="1465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5.932560648151" createdVersion="8" refreshedVersion="8" minRefreshableVersion="3" recordCount="8" xr:uid="{E74AA1FD-88F8-437A-8BC1-ADC23D7DF132}">
  <cacheSource type="worksheet">
    <worksheetSource name="sales_table"/>
  </cacheSource>
  <cacheFields count="8">
    <cacheField name="order_id" numFmtId="0">
      <sharedItems/>
    </cacheField>
    <cacheField name="order_date" numFmtId="14">
      <sharedItems containsSemiMixedTypes="0" containsNonDate="0" containsDate="1" containsString="0" minDate="2025-04-01T00:00:00" maxDate="2025-04-09T00:00:00"/>
    </cacheField>
    <cacheField name="region" numFmtId="0">
      <sharedItems count="4">
        <s v="North"/>
        <s v="South"/>
        <s v="West"/>
        <s v="East"/>
      </sharedItems>
    </cacheField>
    <cacheField name="category" numFmtId="0">
      <sharedItems count="3">
        <s v="Electronics"/>
        <s v="Furniture"/>
        <s v="Clothing"/>
      </sharedItems>
    </cacheField>
    <cacheField name="revenue" numFmtId="0">
      <sharedItems containsSemiMixedTypes="0" containsString="0" containsNumber="1" containsInteger="1" minValue="7000" maxValue="90000"/>
    </cacheField>
    <cacheField name="cost" numFmtId="0">
      <sharedItems containsSemiMixedTypes="0" containsString="0" containsNumber="1" containsInteger="1" minValue="3500" maxValue="65000"/>
    </cacheField>
    <cacheField name="profit" numFmtId="0">
      <sharedItems containsSemiMixedTypes="0" containsString="0" containsNumber="1" containsInteger="1" minValue="3500" maxValue="25000"/>
    </cacheField>
    <cacheField name="profit_margin%" numFmtId="9">
      <sharedItems containsSemiMixedTypes="0" containsString="0" containsNumber="1" minValue="0.27777777777777779" maxValue="0.5"/>
    </cacheField>
  </cacheFields>
  <extLst>
    <ext xmlns:x14="http://schemas.microsoft.com/office/spreadsheetml/2009/9/main" uri="{725AE2AE-9491-48be-B2B4-4EB974FC3084}">
      <x14:pivotCacheDefinition pivotCacheId="10768947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ORD301"/>
    <d v="2025-04-01T00:00:00"/>
    <x v="0"/>
    <x v="0"/>
    <n v="85000"/>
    <n v="60000"/>
    <n v="25000"/>
    <n v="0.29411764705882354"/>
  </r>
  <r>
    <s v="ORD302"/>
    <d v="2025-04-02T00:00:00"/>
    <x v="1"/>
    <x v="1"/>
    <n v="18000"/>
    <n v="12000"/>
    <n v="6000"/>
    <n v="0.33333333333333331"/>
  </r>
  <r>
    <s v="ORD303"/>
    <d v="2025-04-03T00:00:00"/>
    <x v="2"/>
    <x v="0"/>
    <n v="35000"/>
    <n v="25000"/>
    <n v="10000"/>
    <n v="0.2857142857142857"/>
  </r>
  <r>
    <s v="ORD304"/>
    <d v="2025-04-04T00:00:00"/>
    <x v="3"/>
    <x v="2"/>
    <n v="7000"/>
    <n v="3500"/>
    <n v="3500"/>
    <n v="0.5"/>
  </r>
  <r>
    <s v="ORD305"/>
    <d v="2025-04-05T00:00:00"/>
    <x v="0"/>
    <x v="1"/>
    <n v="27000"/>
    <n v="19000"/>
    <n v="8000"/>
    <n v="0.29629629629629628"/>
  </r>
  <r>
    <s v="ORD306"/>
    <d v="2025-04-06T00:00:00"/>
    <x v="1"/>
    <x v="0"/>
    <n v="90000"/>
    <n v="65000"/>
    <n v="25000"/>
    <n v="0.27777777777777779"/>
  </r>
  <r>
    <s v="ORD307"/>
    <d v="2025-04-07T00:00:00"/>
    <x v="2"/>
    <x v="2"/>
    <n v="10000"/>
    <n v="5000"/>
    <n v="5000"/>
    <n v="0.5"/>
  </r>
  <r>
    <s v="ORD308"/>
    <d v="2025-04-08T00:00:00"/>
    <x v="3"/>
    <x v="0"/>
    <n v="32000"/>
    <n v="22000"/>
    <n v="10000"/>
    <n v="0.3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083CCD-2DD4-44F3-8B62-C70592054802}"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tegory">
  <location ref="B7:D10" firstHeaderRow="0" firstDataRow="1" firstDataCol="1"/>
  <pivotFields count="8">
    <pivotField showAll="0"/>
    <pivotField numFmtId="14" showAll="0"/>
    <pivotField showAll="0">
      <items count="5">
        <item x="3"/>
        <item x="0"/>
        <item x="1"/>
        <item x="2"/>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numFmtId="9" showAll="0"/>
  </pivotFields>
  <rowFields count="1">
    <field x="3"/>
  </rowFields>
  <rowItems count="3">
    <i>
      <x v="1"/>
    </i>
    <i>
      <x v="2"/>
    </i>
    <i>
      <x/>
    </i>
  </rowItems>
  <colFields count="1">
    <field x="-2"/>
  </colFields>
  <colItems count="2">
    <i>
      <x/>
    </i>
    <i i="1">
      <x v="1"/>
    </i>
  </colItems>
  <dataFields count="2">
    <dataField name="Total revenue" fld="4" baseField="3" baseItem="0"/>
    <dataField name="Total profit" fld="6"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7F55FA-2FF5-4A39-B8BD-6BE22EDEDAD6}"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tegory">
  <location ref="A3:C6" firstHeaderRow="0" firstDataRow="1" firstDataCol="1"/>
  <pivotFields count="8">
    <pivotField showAll="0"/>
    <pivotField numFmtId="14" showAll="0"/>
    <pivotField showAll="0">
      <items count="5">
        <item x="3"/>
        <item x="0"/>
        <item x="1"/>
        <item x="2"/>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numFmtId="9" showAll="0"/>
  </pivotFields>
  <rowFields count="1">
    <field x="3"/>
  </rowFields>
  <rowItems count="3">
    <i>
      <x v="1"/>
    </i>
    <i>
      <x v="2"/>
    </i>
    <i>
      <x/>
    </i>
  </rowItems>
  <colFields count="1">
    <field x="-2"/>
  </colFields>
  <colItems count="2">
    <i>
      <x/>
    </i>
    <i i="1">
      <x v="1"/>
    </i>
  </colItems>
  <dataFields count="2">
    <dataField name="Total revenue" fld="4" baseField="3" baseItem="0"/>
    <dataField name="Total profit" fld="6"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8F892B-4EBF-4AE9-8BE0-EA2D2DFDFA73}" sourceName="region">
  <pivotTables>
    <pivotTable tabId="3" name="PivotTable1"/>
    <pivotTable tabId="2" name="PivotTable2"/>
  </pivotTables>
  <data>
    <tabular pivotCacheId="1076894797">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453F4A7-65F7-422A-B839-BD2B3A892827}"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AA10C56-5369-4303-8160-40256D19CE14}"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_table" displayName="sales_table" ref="A1:H10">
  <autoFilter ref="A1:H10" xr:uid="{00000000-0009-0000-0100-000001000000}"/>
  <tableColumns count="8">
    <tableColumn id="1" xr3:uid="{00000000-0010-0000-0000-000001000000}" name="order_id"/>
    <tableColumn id="2" xr3:uid="{00000000-0010-0000-0000-000002000000}" name="order_date"/>
    <tableColumn id="3" xr3:uid="{00000000-0010-0000-0000-000003000000}" name="region"/>
    <tableColumn id="4" xr3:uid="{00000000-0010-0000-0000-000004000000}" name="category"/>
    <tableColumn id="5" xr3:uid="{00000000-0010-0000-0000-000005000000}" name="revenue"/>
    <tableColumn id="6" xr3:uid="{00000000-0010-0000-0000-000006000000}" name="cost"/>
    <tableColumn id="7" xr3:uid="{3A3D1324-BBA0-4989-881D-5B680856E5CD}" name="profit">
      <calculatedColumnFormula>sales_table[[#This Row],[revenue]]-sales_table[[#This Row],[cost]]</calculatedColumnFormula>
    </tableColumn>
    <tableColumn id="8" xr3:uid="{D68230E4-147B-4DF8-B6F7-23829828C73B}" name="profit_margin%">
      <calculatedColumnFormula>sales_table[[#This Row],[profit]]/sales_table[[#This Row],[revenue]]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A3409-5ADF-4542-B6D4-FA6D50F1C762}">
  <dimension ref="B1:P39"/>
  <sheetViews>
    <sheetView showGridLines="0" tabSelected="1" topLeftCell="A9" zoomScale="190" zoomScaleNormal="190" workbookViewId="0">
      <selection activeCell="N29" sqref="N29"/>
    </sheetView>
  </sheetViews>
  <sheetFormatPr defaultRowHeight="14.4" x14ac:dyDescent="0.3"/>
  <cols>
    <col min="2" max="2" width="24.5546875" bestFit="1" customWidth="1"/>
  </cols>
  <sheetData>
    <row r="1" spans="2:16" ht="21" customHeight="1" x14ac:dyDescent="0.4">
      <c r="B1" s="14" t="s">
        <v>30</v>
      </c>
      <c r="C1" s="14"/>
      <c r="D1" s="14"/>
      <c r="E1" s="14"/>
      <c r="F1" s="14"/>
      <c r="G1" s="14"/>
      <c r="H1" s="14"/>
      <c r="I1" s="14"/>
      <c r="J1" s="14"/>
    </row>
    <row r="3" spans="2:16" x14ac:dyDescent="0.3">
      <c r="B3" s="15" t="s">
        <v>31</v>
      </c>
    </row>
    <row r="4" spans="2:16" ht="14.4" customHeight="1" x14ac:dyDescent="0.3">
      <c r="B4" s="18" t="s">
        <v>32</v>
      </c>
      <c r="C4" s="18"/>
      <c r="D4" s="18"/>
      <c r="E4" s="18"/>
      <c r="F4" s="18"/>
      <c r="G4" s="18"/>
      <c r="H4" s="18"/>
      <c r="I4" s="18"/>
      <c r="J4" s="18"/>
    </row>
    <row r="5" spans="2:16" x14ac:dyDescent="0.3">
      <c r="B5" s="18"/>
      <c r="C5" s="18"/>
      <c r="D5" s="18"/>
      <c r="E5" s="18"/>
      <c r="F5" s="18"/>
      <c r="G5" s="18"/>
      <c r="H5" s="18"/>
      <c r="I5" s="18"/>
      <c r="J5" s="18"/>
    </row>
    <row r="6" spans="2:16" x14ac:dyDescent="0.3">
      <c r="B6" s="15" t="s">
        <v>33</v>
      </c>
      <c r="C6" s="22"/>
      <c r="D6" s="22"/>
      <c r="E6" s="22"/>
      <c r="F6" s="22"/>
      <c r="G6" s="22"/>
      <c r="H6" s="22"/>
      <c r="I6" s="22"/>
      <c r="J6" s="22"/>
    </row>
    <row r="7" spans="2:16" x14ac:dyDescent="0.3">
      <c r="B7" s="11" t="s">
        <v>34</v>
      </c>
      <c r="C7" s="12" t="s">
        <v>35</v>
      </c>
      <c r="D7" s="12"/>
      <c r="E7" s="12"/>
      <c r="F7" s="12"/>
      <c r="G7" s="12"/>
      <c r="H7" s="22"/>
      <c r="I7" s="22"/>
      <c r="J7" s="22"/>
    </row>
    <row r="8" spans="2:16" x14ac:dyDescent="0.3">
      <c r="B8" s="18" t="s">
        <v>48</v>
      </c>
      <c r="C8" s="19"/>
      <c r="D8" s="19"/>
      <c r="E8" s="19"/>
      <c r="F8" s="19"/>
      <c r="G8" s="19"/>
      <c r="H8" s="19"/>
      <c r="I8" s="10"/>
      <c r="J8" s="10"/>
    </row>
    <row r="9" spans="2:16" x14ac:dyDescent="0.3">
      <c r="B9" s="19"/>
      <c r="C9" s="19"/>
      <c r="D9" s="19"/>
      <c r="E9" s="19"/>
      <c r="F9" s="19"/>
      <c r="G9" s="19"/>
      <c r="H9" s="19"/>
      <c r="I9" s="10"/>
      <c r="J9" s="10"/>
    </row>
    <row r="10" spans="2:16" x14ac:dyDescent="0.3">
      <c r="B10" s="19"/>
      <c r="C10" s="19"/>
      <c r="D10" s="19"/>
      <c r="E10" s="19"/>
      <c r="F10" s="19"/>
      <c r="G10" s="19"/>
      <c r="H10" s="19"/>
      <c r="I10" s="10"/>
      <c r="J10" s="10"/>
    </row>
    <row r="11" spans="2:16" x14ac:dyDescent="0.3">
      <c r="B11" s="15" t="s">
        <v>37</v>
      </c>
      <c r="C11" s="10"/>
      <c r="D11" s="10"/>
      <c r="E11" s="10"/>
      <c r="F11" s="10"/>
      <c r="G11" s="10"/>
      <c r="H11" s="10"/>
      <c r="I11" s="10"/>
      <c r="J11" s="10"/>
    </row>
    <row r="12" spans="2:16" x14ac:dyDescent="0.3">
      <c r="B12" s="18" t="s">
        <v>36</v>
      </c>
      <c r="C12" s="19"/>
      <c r="D12" s="19"/>
      <c r="E12" s="10"/>
      <c r="F12" s="10"/>
      <c r="G12" s="10"/>
      <c r="H12" s="10"/>
      <c r="I12" s="10"/>
      <c r="J12" s="10"/>
    </row>
    <row r="13" spans="2:16" x14ac:dyDescent="0.3">
      <c r="B13" s="19"/>
      <c r="C13" s="19"/>
      <c r="D13" s="19"/>
      <c r="E13" s="10"/>
      <c r="F13" s="10"/>
      <c r="G13" s="10"/>
      <c r="H13" s="10"/>
      <c r="I13" s="10"/>
      <c r="J13" s="10"/>
    </row>
    <row r="14" spans="2:16" x14ac:dyDescent="0.3">
      <c r="B14" s="19"/>
      <c r="C14" s="19"/>
      <c r="D14" s="19"/>
      <c r="E14" s="10"/>
      <c r="F14" s="10"/>
      <c r="G14" s="10"/>
      <c r="H14" s="10"/>
      <c r="I14" s="10"/>
      <c r="J14" s="10"/>
      <c r="P14" s="13"/>
    </row>
    <row r="15" spans="2:16" x14ac:dyDescent="0.3">
      <c r="B15" s="10"/>
    </row>
    <row r="16" spans="2:16" x14ac:dyDescent="0.3">
      <c r="B16" s="15" t="s">
        <v>38</v>
      </c>
      <c r="C16" s="10"/>
      <c r="D16" s="10"/>
      <c r="E16" s="10"/>
      <c r="F16" s="10"/>
      <c r="G16" s="10"/>
      <c r="H16" s="10"/>
      <c r="I16" s="10"/>
      <c r="J16" s="10"/>
    </row>
    <row r="17" spans="2:10" x14ac:dyDescent="0.3">
      <c r="B17" s="16" t="s">
        <v>39</v>
      </c>
      <c r="C17" s="17"/>
      <c r="D17" s="17"/>
      <c r="E17" s="17"/>
      <c r="F17" s="17"/>
      <c r="G17" s="17"/>
      <c r="H17" s="17"/>
      <c r="I17" s="17"/>
      <c r="J17" s="17"/>
    </row>
    <row r="18" spans="2:10" x14ac:dyDescent="0.3">
      <c r="B18" s="17"/>
      <c r="C18" s="17"/>
      <c r="D18" s="17"/>
      <c r="E18" s="17"/>
      <c r="F18" s="17"/>
      <c r="G18" s="17"/>
      <c r="H18" s="17"/>
      <c r="I18" s="17"/>
      <c r="J18" s="17"/>
    </row>
    <row r="19" spans="2:10" x14ac:dyDescent="0.3">
      <c r="B19" s="17"/>
      <c r="C19" s="17"/>
      <c r="D19" s="17"/>
      <c r="E19" s="17"/>
      <c r="F19" s="17"/>
      <c r="G19" s="17"/>
      <c r="H19" s="17"/>
      <c r="I19" s="17"/>
      <c r="J19" s="17"/>
    </row>
    <row r="20" spans="2:10" x14ac:dyDescent="0.3">
      <c r="B20" s="17"/>
      <c r="C20" s="17"/>
      <c r="D20" s="17"/>
      <c r="E20" s="17"/>
      <c r="F20" s="17"/>
      <c r="G20" s="17"/>
      <c r="H20" s="17"/>
      <c r="I20" s="17"/>
      <c r="J20" s="17"/>
    </row>
    <row r="21" spans="2:10" x14ac:dyDescent="0.3">
      <c r="B21" s="15" t="s">
        <v>40</v>
      </c>
      <c r="C21" s="10"/>
      <c r="D21" s="10"/>
      <c r="E21" s="10"/>
      <c r="F21" s="10"/>
      <c r="G21" s="10"/>
      <c r="H21" s="10"/>
      <c r="I21" s="10"/>
      <c r="J21" s="10"/>
    </row>
    <row r="22" spans="2:10" x14ac:dyDescent="0.3">
      <c r="B22" s="18" t="s">
        <v>41</v>
      </c>
      <c r="C22" s="19"/>
      <c r="D22" s="19"/>
      <c r="E22" s="19"/>
      <c r="F22" s="19"/>
      <c r="G22" s="19"/>
      <c r="H22" s="19"/>
      <c r="I22" s="19"/>
      <c r="J22" s="19"/>
    </row>
    <row r="23" spans="2:10" x14ac:dyDescent="0.3">
      <c r="B23" s="19"/>
      <c r="C23" s="19"/>
      <c r="D23" s="19"/>
      <c r="E23" s="19"/>
      <c r="F23" s="19"/>
      <c r="G23" s="19"/>
      <c r="H23" s="19"/>
      <c r="I23" s="19"/>
      <c r="J23" s="19"/>
    </row>
    <row r="24" spans="2:10" x14ac:dyDescent="0.3">
      <c r="B24" s="19"/>
      <c r="C24" s="19"/>
      <c r="D24" s="19"/>
      <c r="E24" s="19"/>
      <c r="F24" s="19"/>
      <c r="G24" s="19"/>
      <c r="H24" s="19"/>
      <c r="I24" s="19"/>
      <c r="J24" s="19"/>
    </row>
    <row r="25" spans="2:10" x14ac:dyDescent="0.3">
      <c r="B25" s="19"/>
      <c r="C25" s="19"/>
      <c r="D25" s="19"/>
      <c r="E25" s="19"/>
      <c r="F25" s="19"/>
      <c r="G25" s="19"/>
      <c r="H25" s="19"/>
      <c r="I25" s="19"/>
      <c r="J25" s="19"/>
    </row>
    <row r="26" spans="2:10" x14ac:dyDescent="0.3">
      <c r="B26" s="19"/>
      <c r="C26" s="19"/>
      <c r="D26" s="19"/>
      <c r="E26" s="19"/>
      <c r="F26" s="19"/>
      <c r="G26" s="19"/>
      <c r="H26" s="19"/>
      <c r="I26" s="19"/>
      <c r="J26" s="19"/>
    </row>
    <row r="27" spans="2:10" x14ac:dyDescent="0.3">
      <c r="B27" s="15" t="s">
        <v>42</v>
      </c>
      <c r="C27" s="10"/>
      <c r="D27" s="10"/>
      <c r="E27" s="10"/>
      <c r="F27" s="10"/>
      <c r="G27" s="10"/>
      <c r="H27" s="10"/>
      <c r="I27" s="10"/>
      <c r="J27" s="10"/>
    </row>
    <row r="28" spans="2:10" x14ac:dyDescent="0.3">
      <c r="B28" s="18" t="s">
        <v>43</v>
      </c>
      <c r="C28" s="19"/>
      <c r="D28" s="19"/>
      <c r="E28" s="19"/>
      <c r="F28" s="19"/>
      <c r="G28" s="19"/>
      <c r="H28" s="19"/>
      <c r="I28" s="19"/>
      <c r="J28" s="19"/>
    </row>
    <row r="29" spans="2:10" x14ac:dyDescent="0.3">
      <c r="B29" s="19"/>
      <c r="C29" s="19"/>
      <c r="D29" s="19"/>
      <c r="E29" s="19"/>
      <c r="F29" s="19"/>
      <c r="G29" s="19"/>
      <c r="H29" s="19"/>
      <c r="I29" s="19"/>
      <c r="J29" s="19"/>
    </row>
    <row r="30" spans="2:10" x14ac:dyDescent="0.3">
      <c r="B30" s="19"/>
      <c r="C30" s="19"/>
      <c r="D30" s="19"/>
      <c r="E30" s="19"/>
      <c r="F30" s="19"/>
      <c r="G30" s="19"/>
      <c r="H30" s="19"/>
      <c r="I30" s="19"/>
      <c r="J30" s="19"/>
    </row>
    <row r="31" spans="2:10" x14ac:dyDescent="0.3">
      <c r="B31" s="19"/>
      <c r="C31" s="19"/>
      <c r="D31" s="19"/>
      <c r="E31" s="19"/>
      <c r="F31" s="19"/>
      <c r="G31" s="19"/>
      <c r="H31" s="19"/>
      <c r="I31" s="19"/>
      <c r="J31" s="19"/>
    </row>
    <row r="32" spans="2:10" x14ac:dyDescent="0.3">
      <c r="B32" s="15" t="s">
        <v>44</v>
      </c>
      <c r="C32" s="10"/>
      <c r="D32" s="10"/>
      <c r="E32" s="10"/>
      <c r="F32" s="10"/>
      <c r="G32" s="10"/>
      <c r="H32" s="10"/>
      <c r="I32" s="10"/>
      <c r="J32" s="10"/>
    </row>
    <row r="33" spans="2:10" x14ac:dyDescent="0.3">
      <c r="B33" s="20" t="s">
        <v>45</v>
      </c>
      <c r="C33" s="21"/>
      <c r="D33" s="21"/>
      <c r="E33" s="21"/>
      <c r="F33" s="21"/>
      <c r="G33" s="10"/>
      <c r="H33" s="10"/>
      <c r="I33" s="10"/>
      <c r="J33" s="10"/>
    </row>
    <row r="34" spans="2:10" x14ac:dyDescent="0.3">
      <c r="B34" s="21"/>
      <c r="C34" s="21"/>
      <c r="D34" s="21"/>
      <c r="E34" s="21"/>
      <c r="F34" s="21"/>
      <c r="G34" s="10"/>
      <c r="H34" s="10"/>
      <c r="I34" s="10"/>
      <c r="J34" s="10"/>
    </row>
    <row r="35" spans="2:10" x14ac:dyDescent="0.3">
      <c r="B35" s="21"/>
      <c r="C35" s="21"/>
      <c r="D35" s="21"/>
      <c r="E35" s="21"/>
      <c r="F35" s="21"/>
      <c r="G35" s="10"/>
      <c r="H35" s="10"/>
      <c r="I35" s="10"/>
      <c r="J35" s="10"/>
    </row>
    <row r="36" spans="2:10" x14ac:dyDescent="0.3">
      <c r="B36" s="21"/>
      <c r="C36" s="21"/>
      <c r="D36" s="21"/>
      <c r="E36" s="21"/>
      <c r="F36" s="21"/>
      <c r="G36" s="10"/>
      <c r="H36" s="10"/>
      <c r="I36" s="10"/>
      <c r="J36" s="10"/>
    </row>
    <row r="37" spans="2:10" x14ac:dyDescent="0.3">
      <c r="B37" s="15" t="s">
        <v>46</v>
      </c>
      <c r="C37" s="10"/>
      <c r="D37" s="10"/>
      <c r="E37" s="10"/>
      <c r="F37" s="10"/>
      <c r="G37" s="10"/>
      <c r="H37" s="10"/>
      <c r="I37" s="10"/>
      <c r="J37" s="10"/>
    </row>
    <row r="38" spans="2:10" x14ac:dyDescent="0.3">
      <c r="B38" s="18" t="s">
        <v>47</v>
      </c>
      <c r="C38" s="19"/>
      <c r="D38" s="19"/>
      <c r="E38" s="19"/>
      <c r="F38" s="19"/>
      <c r="G38" s="10"/>
      <c r="H38" s="10"/>
      <c r="I38" s="10"/>
      <c r="J38" s="10"/>
    </row>
    <row r="39" spans="2:10" x14ac:dyDescent="0.3">
      <c r="B39" s="19"/>
      <c r="C39" s="19"/>
      <c r="D39" s="19"/>
      <c r="E39" s="19"/>
      <c r="F39" s="19"/>
      <c r="G39" s="10"/>
      <c r="H39" s="10"/>
      <c r="I39" s="10"/>
      <c r="J39" s="10"/>
    </row>
  </sheetData>
  <mergeCells count="10">
    <mergeCell ref="B33:F36"/>
    <mergeCell ref="B38:F39"/>
    <mergeCell ref="B8:H10"/>
    <mergeCell ref="C7:G7"/>
    <mergeCell ref="B12:D14"/>
    <mergeCell ref="B17:J20"/>
    <mergeCell ref="B22:J26"/>
    <mergeCell ref="B28:J31"/>
    <mergeCell ref="B4:J5"/>
    <mergeCell ref="B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zoomScale="280" zoomScaleNormal="280" workbookViewId="0">
      <selection activeCell="C12" sqref="C12"/>
    </sheetView>
  </sheetViews>
  <sheetFormatPr defaultRowHeight="14.4" x14ac:dyDescent="0.3"/>
  <cols>
    <col min="2" max="2" width="12.5546875" bestFit="1" customWidth="1"/>
    <col min="4" max="4" width="10.5546875" bestFit="1" customWidth="1"/>
    <col min="8" max="8" width="16.33203125" bestFit="1" customWidth="1"/>
  </cols>
  <sheetData>
    <row r="1" spans="1:8" x14ac:dyDescent="0.3">
      <c r="A1" t="s">
        <v>0</v>
      </c>
      <c r="B1" t="s">
        <v>1</v>
      </c>
      <c r="C1" t="s">
        <v>2</v>
      </c>
      <c r="D1" t="s">
        <v>3</v>
      </c>
      <c r="E1" t="s">
        <v>4</v>
      </c>
      <c r="F1" t="s">
        <v>5</v>
      </c>
      <c r="G1" t="s">
        <v>22</v>
      </c>
      <c r="H1" t="s">
        <v>23</v>
      </c>
    </row>
    <row r="2" spans="1:8" x14ac:dyDescent="0.3">
      <c r="A2" t="s">
        <v>6</v>
      </c>
      <c r="B2" s="2">
        <v>45748</v>
      </c>
      <c r="C2" t="s">
        <v>7</v>
      </c>
      <c r="D2" t="s">
        <v>8</v>
      </c>
      <c r="E2">
        <v>85000</v>
      </c>
      <c r="F2">
        <v>60000</v>
      </c>
      <c r="G2">
        <f>sales_table[[#This Row],[revenue]]-sales_table[[#This Row],[cost]]</f>
        <v>25000</v>
      </c>
      <c r="H2" s="1">
        <f>sales_table[[#This Row],[profit]]/sales_table[[#This Row],[revenue]]</f>
        <v>0.29411764705882354</v>
      </c>
    </row>
    <row r="3" spans="1:8" x14ac:dyDescent="0.3">
      <c r="A3" t="s">
        <v>9</v>
      </c>
      <c r="B3" s="2">
        <v>45749</v>
      </c>
      <c r="C3" t="s">
        <v>10</v>
      </c>
      <c r="D3" t="s">
        <v>11</v>
      </c>
      <c r="E3">
        <v>18000</v>
      </c>
      <c r="F3">
        <v>12000</v>
      </c>
      <c r="G3">
        <f>sales_table[[#This Row],[revenue]]-sales_table[[#This Row],[cost]]</f>
        <v>6000</v>
      </c>
      <c r="H3" s="1">
        <f>sales_table[[#This Row],[profit]]/sales_table[[#This Row],[revenue]]</f>
        <v>0.33333333333333331</v>
      </c>
    </row>
    <row r="4" spans="1:8" x14ac:dyDescent="0.3">
      <c r="A4" t="s">
        <v>12</v>
      </c>
      <c r="B4" s="2">
        <v>45750</v>
      </c>
      <c r="C4" t="s">
        <v>13</v>
      </c>
      <c r="D4" t="s">
        <v>8</v>
      </c>
      <c r="E4">
        <v>35000</v>
      </c>
      <c r="F4">
        <v>25000</v>
      </c>
      <c r="G4">
        <f>sales_table[[#This Row],[revenue]]-sales_table[[#This Row],[cost]]</f>
        <v>10000</v>
      </c>
      <c r="H4" s="1">
        <f>sales_table[[#This Row],[profit]]/sales_table[[#This Row],[revenue]]</f>
        <v>0.2857142857142857</v>
      </c>
    </row>
    <row r="5" spans="1:8" x14ac:dyDescent="0.3">
      <c r="A5" t="s">
        <v>14</v>
      </c>
      <c r="B5" s="2">
        <v>45751</v>
      </c>
      <c r="C5" t="s">
        <v>15</v>
      </c>
      <c r="D5" t="s">
        <v>16</v>
      </c>
      <c r="E5">
        <v>7000</v>
      </c>
      <c r="F5">
        <v>3500</v>
      </c>
      <c r="G5">
        <f>sales_table[[#This Row],[revenue]]-sales_table[[#This Row],[cost]]</f>
        <v>3500</v>
      </c>
      <c r="H5" s="1">
        <f>sales_table[[#This Row],[profit]]/sales_table[[#This Row],[revenue]]</f>
        <v>0.5</v>
      </c>
    </row>
    <row r="6" spans="1:8" x14ac:dyDescent="0.3">
      <c r="A6" t="s">
        <v>17</v>
      </c>
      <c r="B6" s="2">
        <v>45752</v>
      </c>
      <c r="C6" t="s">
        <v>7</v>
      </c>
      <c r="D6" t="s">
        <v>11</v>
      </c>
      <c r="E6">
        <v>27000</v>
      </c>
      <c r="F6">
        <v>19000</v>
      </c>
      <c r="G6">
        <f>sales_table[[#This Row],[revenue]]-sales_table[[#This Row],[cost]]</f>
        <v>8000</v>
      </c>
      <c r="H6" s="1">
        <f>sales_table[[#This Row],[profit]]/sales_table[[#This Row],[revenue]]</f>
        <v>0.29629629629629628</v>
      </c>
    </row>
    <row r="7" spans="1:8" x14ac:dyDescent="0.3">
      <c r="A7" t="s">
        <v>18</v>
      </c>
      <c r="B7" s="2">
        <v>45753</v>
      </c>
      <c r="C7" t="s">
        <v>10</v>
      </c>
      <c r="D7" t="s">
        <v>8</v>
      </c>
      <c r="E7">
        <v>90000</v>
      </c>
      <c r="F7">
        <v>65000</v>
      </c>
      <c r="G7">
        <f>sales_table[[#This Row],[revenue]]-sales_table[[#This Row],[cost]]</f>
        <v>25000</v>
      </c>
      <c r="H7" s="1">
        <f>sales_table[[#This Row],[profit]]/sales_table[[#This Row],[revenue]]</f>
        <v>0.27777777777777779</v>
      </c>
    </row>
    <row r="8" spans="1:8" x14ac:dyDescent="0.3">
      <c r="A8" t="s">
        <v>19</v>
      </c>
      <c r="B8" s="2">
        <v>45754</v>
      </c>
      <c r="C8" t="s">
        <v>13</v>
      </c>
      <c r="D8" t="s">
        <v>16</v>
      </c>
      <c r="E8">
        <v>10000</v>
      </c>
      <c r="F8">
        <v>5000</v>
      </c>
      <c r="G8">
        <f>sales_table[[#This Row],[revenue]]-sales_table[[#This Row],[cost]]</f>
        <v>5000</v>
      </c>
      <c r="H8" s="1">
        <f>sales_table[[#This Row],[profit]]/sales_table[[#This Row],[revenue]]</f>
        <v>0.5</v>
      </c>
    </row>
    <row r="9" spans="1:8" x14ac:dyDescent="0.3">
      <c r="A9" t="s">
        <v>20</v>
      </c>
      <c r="B9" s="2">
        <v>45755</v>
      </c>
      <c r="C9" t="s">
        <v>15</v>
      </c>
      <c r="D9" t="s">
        <v>8</v>
      </c>
      <c r="E9">
        <v>32000</v>
      </c>
      <c r="F9">
        <v>22000</v>
      </c>
      <c r="G9">
        <f>sales_table[[#This Row],[revenue]]-sales_table[[#This Row],[cost]]</f>
        <v>10000</v>
      </c>
      <c r="H9" s="1">
        <f>sales_table[[#This Row],[profit]]/sales_table[[#This Row],[revenue]]</f>
        <v>0.3125</v>
      </c>
    </row>
    <row r="10" spans="1:8" x14ac:dyDescent="0.3">
      <c r="A10" s="5" t="s">
        <v>28</v>
      </c>
      <c r="B10" s="6">
        <v>45756</v>
      </c>
      <c r="C10" s="5" t="s">
        <v>7</v>
      </c>
      <c r="D10" s="5" t="s">
        <v>8</v>
      </c>
      <c r="E10" s="5">
        <v>95000</v>
      </c>
      <c r="F10" s="5">
        <v>70000</v>
      </c>
      <c r="G10" s="5">
        <f>sales_table[[#This Row],[revenue]]-sales_table[[#This Row],[cost]]</f>
        <v>25000</v>
      </c>
      <c r="H10" s="7">
        <f>sales_table[[#This Row],[profit]]/sales_table[[#This Row],[revenue]]</f>
        <v>0.26315789473684209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10"/>
  <sheetViews>
    <sheetView showGridLines="0" zoomScale="310" zoomScaleNormal="310" workbookViewId="0">
      <selection activeCell="E10" sqref="E10"/>
    </sheetView>
  </sheetViews>
  <sheetFormatPr defaultRowHeight="14.4" x14ac:dyDescent="0.3"/>
  <cols>
    <col min="2" max="2" width="12.77734375" bestFit="1" customWidth="1"/>
    <col min="3" max="3" width="12.5546875" bestFit="1" customWidth="1"/>
    <col min="4" max="4" width="10.44140625" bestFit="1" customWidth="1"/>
  </cols>
  <sheetData>
    <row r="1" spans="2:4" x14ac:dyDescent="0.3">
      <c r="B1" s="9" t="s">
        <v>29</v>
      </c>
      <c r="C1" s="9"/>
    </row>
    <row r="2" spans="2:4" x14ac:dyDescent="0.3">
      <c r="B2" s="8" t="s">
        <v>21</v>
      </c>
      <c r="C2" s="8" cm="1">
        <f t="array" ref="C2">total_revenue</f>
        <v>399000</v>
      </c>
    </row>
    <row r="3" spans="2:4" x14ac:dyDescent="0.3">
      <c r="B3" s="8" t="s">
        <v>24</v>
      </c>
      <c r="C3" s="8" cm="1">
        <f t="array" ref="C3">total_profit</f>
        <v>117500</v>
      </c>
    </row>
    <row r="4" spans="2:4" x14ac:dyDescent="0.3">
      <c r="B4" s="8" t="s">
        <v>25</v>
      </c>
      <c r="C4" s="8" cm="1">
        <f t="array" ref="C4">total_orders</f>
        <v>9</v>
      </c>
    </row>
    <row r="7" spans="2:4" x14ac:dyDescent="0.3">
      <c r="B7" s="3" t="s">
        <v>3</v>
      </c>
      <c r="C7" s="3" t="s">
        <v>26</v>
      </c>
      <c r="D7" t="s">
        <v>27</v>
      </c>
    </row>
    <row r="8" spans="2:4" x14ac:dyDescent="0.3">
      <c r="B8" s="4" t="s">
        <v>8</v>
      </c>
      <c r="C8">
        <v>242000</v>
      </c>
      <c r="D8">
        <v>70000</v>
      </c>
    </row>
    <row r="9" spans="2:4" x14ac:dyDescent="0.3">
      <c r="B9" s="4" t="s">
        <v>11</v>
      </c>
      <c r="C9">
        <v>45000</v>
      </c>
      <c r="D9">
        <v>14000</v>
      </c>
    </row>
    <row r="10" spans="2:4" x14ac:dyDescent="0.3">
      <c r="B10" s="4" t="s">
        <v>16</v>
      </c>
      <c r="C10">
        <v>17000</v>
      </c>
      <c r="D10">
        <v>8500</v>
      </c>
    </row>
  </sheetData>
  <mergeCells count="1">
    <mergeCell ref="B1:C1"/>
  </mergeCells>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F3731-541A-4AE4-92A2-B681F9BF2F0D}">
  <dimension ref="A3:C6"/>
  <sheetViews>
    <sheetView showGridLines="0" zoomScale="325" zoomScaleNormal="325" workbookViewId="0">
      <selection activeCell="A2" sqref="A2:D7"/>
    </sheetView>
  </sheetViews>
  <sheetFormatPr defaultRowHeight="14.4" x14ac:dyDescent="0.3"/>
  <cols>
    <col min="1" max="1" width="10.5546875" bestFit="1" customWidth="1"/>
    <col min="2" max="2" width="12.6640625" bestFit="1" customWidth="1"/>
    <col min="3" max="3" width="10.44140625" bestFit="1" customWidth="1"/>
  </cols>
  <sheetData>
    <row r="3" spans="1:3" x14ac:dyDescent="0.3">
      <c r="A3" s="3" t="s">
        <v>3</v>
      </c>
      <c r="B3" t="s">
        <v>26</v>
      </c>
      <c r="C3" t="s">
        <v>27</v>
      </c>
    </row>
    <row r="4" spans="1:3" x14ac:dyDescent="0.3">
      <c r="A4" s="4" t="s">
        <v>8</v>
      </c>
      <c r="B4">
        <v>242000</v>
      </c>
      <c r="C4">
        <v>70000</v>
      </c>
    </row>
    <row r="5" spans="1:3" x14ac:dyDescent="0.3">
      <c r="A5" s="4" t="s">
        <v>11</v>
      </c>
      <c r="B5">
        <v>45000</v>
      </c>
      <c r="C5">
        <v>14000</v>
      </c>
    </row>
    <row r="6" spans="1:3" x14ac:dyDescent="0.3">
      <c r="A6" s="4" t="s">
        <v>16</v>
      </c>
      <c r="B6">
        <v>17000</v>
      </c>
      <c r="C6">
        <v>8500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Documentation</vt:lpstr>
      <vt:lpstr>weekly_sales</vt:lpstr>
      <vt:lpstr>auto_dashboard</vt:lpstr>
      <vt:lpstr>pivot_summary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saideep pallela</cp:lastModifiedBy>
  <dcterms:created xsi:type="dcterms:W3CDTF">2026-03-24T16:38:57Z</dcterms:created>
  <dcterms:modified xsi:type="dcterms:W3CDTF">2026-03-27T03:29:47Z</dcterms:modified>
</cp:coreProperties>
</file>