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Github -Excel\day60\"/>
    </mc:Choice>
  </mc:AlternateContent>
  <xr:revisionPtr revIDLastSave="0" documentId="13_ncr:1_{37ACEC87-15F0-4A92-838E-754612BFDA62}" xr6:coauthVersionLast="47" xr6:coauthVersionMax="47" xr10:uidLastSave="{00000000-0000-0000-0000-000000000000}"/>
  <bookViews>
    <workbookView xWindow="30600" yWindow="-120" windowWidth="29040" windowHeight="15720" activeTab="3" xr2:uid="{00000000-000D-0000-FFFF-FFFF00000000}"/>
  </bookViews>
  <sheets>
    <sheet name="sales_data" sheetId="1" r:id="rId1"/>
    <sheet name="documentation" sheetId="4" r:id="rId2"/>
    <sheet name="pivot summary" sheetId="2" r:id="rId3"/>
    <sheet name="Dashboard" sheetId="3" r:id="rId4"/>
  </sheets>
  <definedNames>
    <definedName name="Slicer_category">#N/A</definedName>
    <definedName name="Slicer_customer_type">#N/A</definedName>
    <definedName name="Slicer_region">#N/A</definedName>
  </definedNames>
  <calcPr calcId="191029"/>
  <pivotCaches>
    <pivotCache cacheId="3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c r="J18" i="1" s="1"/>
  <c r="K20" i="1"/>
  <c r="K21" i="1"/>
  <c r="I23" i="1"/>
  <c r="J23" i="1" s="1"/>
  <c r="I24" i="1"/>
  <c r="J24" i="1" s="1"/>
  <c r="I25" i="1"/>
  <c r="J25" i="1" s="1"/>
  <c r="I26" i="1"/>
  <c r="J26" i="1" s="1"/>
  <c r="K30" i="1"/>
  <c r="K31" i="1"/>
  <c r="K32" i="1"/>
  <c r="K33" i="1"/>
  <c r="I42" i="1"/>
  <c r="J42" i="1" s="1"/>
  <c r="K48" i="1"/>
  <c r="I52" i="1"/>
  <c r="J52" i="1" s="1"/>
  <c r="I53" i="1"/>
  <c r="J53" i="1" s="1"/>
  <c r="I54" i="1"/>
  <c r="J54" i="1" s="1"/>
  <c r="I56" i="1"/>
  <c r="J56" i="1" s="1"/>
  <c r="I67" i="1"/>
  <c r="J67" i="1" s="1"/>
  <c r="I68" i="1"/>
  <c r="J68" i="1" s="1"/>
  <c r="K69" i="1"/>
  <c r="K70" i="1"/>
  <c r="I78" i="1"/>
  <c r="J78" i="1" s="1"/>
  <c r="I83" i="1"/>
  <c r="J83" i="1" s="1"/>
  <c r="I84" i="1"/>
  <c r="J84" i="1" s="1"/>
  <c r="K85" i="1"/>
  <c r="K97" i="1"/>
  <c r="I98" i="1"/>
  <c r="J98" i="1" s="1"/>
  <c r="I99" i="1"/>
  <c r="J99" i="1" s="1"/>
  <c r="I100" i="1"/>
  <c r="J100" i="1" s="1"/>
  <c r="I109" i="1"/>
  <c r="J109" i="1" s="1"/>
  <c r="K111" i="1"/>
  <c r="K112" i="1"/>
  <c r="I113" i="1"/>
  <c r="J113" i="1" s="1"/>
  <c r="K117" i="1"/>
  <c r="K118" i="1"/>
  <c r="K119" i="1"/>
  <c r="K120" i="1"/>
  <c r="K121" i="1"/>
  <c r="I122" i="1"/>
  <c r="J122" i="1" s="1"/>
  <c r="I133" i="1"/>
  <c r="J133" i="1" s="1"/>
  <c r="I137" i="1"/>
  <c r="J137" i="1" s="1"/>
  <c r="K138" i="1"/>
  <c r="K144" i="1"/>
  <c r="I150" i="1"/>
  <c r="J150" i="1" s="1"/>
  <c r="I151" i="1"/>
  <c r="J151" i="1" s="1"/>
  <c r="I152" i="1"/>
  <c r="J152" i="1" s="1"/>
  <c r="I156" i="1"/>
  <c r="J156" i="1" s="1"/>
  <c r="I157" i="1"/>
  <c r="J157" i="1" s="1"/>
  <c r="I158" i="1"/>
  <c r="J158" i="1" s="1"/>
  <c r="I159" i="1"/>
  <c r="J159" i="1" s="1"/>
  <c r="I160" i="1"/>
  <c r="J160" i="1" s="1"/>
  <c r="I161" i="1"/>
  <c r="J161" i="1" s="1"/>
  <c r="I162" i="1"/>
  <c r="J162" i="1" s="1"/>
  <c r="I166" i="1"/>
  <c r="J166" i="1" s="1"/>
  <c r="K173" i="1"/>
  <c r="K174" i="1"/>
  <c r="I175" i="1"/>
  <c r="J175" i="1" s="1"/>
  <c r="K180" i="1"/>
  <c r="K181" i="1"/>
  <c r="I182" i="1"/>
  <c r="J182" i="1" s="1"/>
  <c r="I183" i="1"/>
  <c r="J183" i="1" s="1"/>
  <c r="I184" i="1"/>
  <c r="J184" i="1" s="1"/>
  <c r="I185" i="1"/>
  <c r="J185" i="1" s="1"/>
  <c r="I186" i="1"/>
  <c r="J186" i="1" s="1"/>
  <c r="K187" i="1"/>
  <c r="K188" i="1"/>
  <c r="K189" i="1"/>
  <c r="K196" i="1"/>
  <c r="I201" i="1"/>
  <c r="J201" i="1" s="1"/>
  <c r="I202" i="1"/>
  <c r="J202" i="1" s="1"/>
  <c r="I203" i="1"/>
  <c r="J203" i="1" s="1"/>
  <c r="K206" i="1"/>
  <c r="K207" i="1"/>
  <c r="K208" i="1"/>
  <c r="K209" i="1"/>
  <c r="I210" i="1"/>
  <c r="J210" i="1" s="1"/>
  <c r="I213" i="1"/>
  <c r="J213" i="1" s="1"/>
  <c r="K217" i="1"/>
  <c r="I227" i="1"/>
  <c r="J227" i="1" s="1"/>
  <c r="I232" i="1"/>
  <c r="J232" i="1" s="1"/>
  <c r="I238" i="1"/>
  <c r="J238" i="1" s="1"/>
  <c r="I241" i="1"/>
  <c r="J241" i="1" s="1"/>
  <c r="K248" i="1"/>
  <c r="K249" i="1"/>
  <c r="I254" i="1"/>
  <c r="J254" i="1" s="1"/>
  <c r="K259" i="1"/>
  <c r="K260" i="1"/>
  <c r="K261" i="1"/>
  <c r="K262" i="1"/>
  <c r="I263" i="1"/>
  <c r="J263" i="1" s="1"/>
  <c r="I264" i="1"/>
  <c r="J264" i="1" s="1"/>
  <c r="I265" i="1"/>
  <c r="J265" i="1" s="1"/>
  <c r="K266" i="1"/>
  <c r="I267" i="1"/>
  <c r="J267" i="1" s="1"/>
  <c r="I270" i="1"/>
  <c r="J270" i="1" s="1"/>
  <c r="I273" i="1"/>
  <c r="J273" i="1" s="1"/>
  <c r="K276" i="1"/>
  <c r="I294" i="1"/>
  <c r="J294" i="1" s="1"/>
  <c r="I295" i="1"/>
  <c r="J295" i="1" s="1"/>
  <c r="K296" i="1"/>
  <c r="I298" i="1"/>
  <c r="J298" i="1" s="1"/>
  <c r="K302" i="1"/>
  <c r="K303" i="1"/>
  <c r="I304" i="1"/>
  <c r="J304" i="1" s="1"/>
  <c r="K305" i="1"/>
  <c r="I319" i="1"/>
  <c r="J319" i="1" s="1"/>
  <c r="K321" i="1"/>
  <c r="K334" i="1"/>
  <c r="K335" i="1"/>
  <c r="I336" i="1"/>
  <c r="J336" i="1" s="1"/>
  <c r="I339" i="1"/>
  <c r="J339" i="1" s="1"/>
  <c r="I340" i="1"/>
  <c r="J340" i="1" s="1"/>
  <c r="I342" i="1"/>
  <c r="J342" i="1" s="1"/>
  <c r="I348" i="1"/>
  <c r="J348" i="1" s="1"/>
  <c r="I351" i="1"/>
  <c r="J351" i="1" s="1"/>
  <c r="K355" i="1"/>
  <c r="I359" i="1"/>
  <c r="J359" i="1" s="1"/>
  <c r="K361" i="1"/>
  <c r="K362" i="1"/>
  <c r="K363" i="1"/>
  <c r="K371" i="1"/>
  <c r="I372" i="1"/>
  <c r="J372" i="1" s="1"/>
  <c r="K381" i="1"/>
  <c r="K386" i="1"/>
  <c r="K387" i="1"/>
  <c r="I392" i="1"/>
  <c r="J392" i="1" s="1"/>
  <c r="I393" i="1"/>
  <c r="J393" i="1" s="1"/>
  <c r="I394" i="1"/>
  <c r="J394" i="1" s="1"/>
  <c r="I395" i="1"/>
  <c r="J395" i="1" s="1"/>
  <c r="I396" i="1"/>
  <c r="J396" i="1" s="1"/>
  <c r="I399" i="1"/>
  <c r="J399" i="1" s="1"/>
  <c r="I400" i="1"/>
  <c r="J400" i="1" s="1"/>
  <c r="I401" i="1"/>
  <c r="J401" i="1" s="1"/>
  <c r="I402" i="1"/>
  <c r="J402" i="1" s="1"/>
  <c r="K405" i="1"/>
  <c r="K406" i="1"/>
  <c r="K407" i="1"/>
  <c r="K408" i="1"/>
  <c r="I416" i="1"/>
  <c r="J416" i="1" s="1"/>
  <c r="I425" i="1"/>
  <c r="J425" i="1" s="1"/>
  <c r="I426" i="1"/>
  <c r="J426" i="1" s="1"/>
  <c r="I427" i="1"/>
  <c r="J427" i="1" s="1"/>
  <c r="I428" i="1"/>
  <c r="J428" i="1" s="1"/>
  <c r="I431" i="1"/>
  <c r="J431" i="1" s="1"/>
  <c r="I437" i="1"/>
  <c r="J437" i="1" s="1"/>
  <c r="I439" i="1"/>
  <c r="J439" i="1" s="1"/>
  <c r="I444" i="1"/>
  <c r="J444" i="1" s="1"/>
  <c r="I445" i="1"/>
  <c r="J445" i="1" s="1"/>
  <c r="I446" i="1"/>
  <c r="J446" i="1" s="1"/>
  <c r="I447" i="1"/>
  <c r="J447" i="1" s="1"/>
  <c r="I448" i="1"/>
  <c r="J448" i="1" s="1"/>
  <c r="I449" i="1"/>
  <c r="J449" i="1" s="1"/>
  <c r="I456" i="1"/>
  <c r="J456" i="1" s="1"/>
  <c r="I457" i="1"/>
  <c r="J457" i="1" s="1"/>
  <c r="I458" i="1"/>
  <c r="J458" i="1" s="1"/>
  <c r="K459" i="1"/>
  <c r="I460" i="1"/>
  <c r="J460" i="1" s="1"/>
  <c r="I462" i="1"/>
  <c r="J462" i="1" s="1"/>
  <c r="I463" i="1"/>
  <c r="J463" i="1" s="1"/>
  <c r="K464" i="1"/>
  <c r="K465" i="1"/>
  <c r="K466" i="1"/>
  <c r="K467" i="1"/>
  <c r="K468" i="1"/>
  <c r="K469" i="1"/>
  <c r="K470" i="1"/>
  <c r="K471" i="1"/>
  <c r="K472" i="1"/>
  <c r="K473" i="1"/>
  <c r="K474" i="1"/>
  <c r="I482" i="1"/>
  <c r="J482" i="1" s="1"/>
  <c r="I483" i="1"/>
  <c r="J483" i="1" s="1"/>
  <c r="I484" i="1"/>
  <c r="J484" i="1" s="1"/>
  <c r="I485" i="1"/>
  <c r="J485" i="1" s="1"/>
  <c r="I486" i="1"/>
  <c r="J486" i="1" s="1"/>
  <c r="I492" i="1"/>
  <c r="J492" i="1" s="1"/>
  <c r="I493" i="1"/>
  <c r="J493" i="1" s="1"/>
  <c r="I496" i="1"/>
  <c r="J496" i="1" s="1"/>
  <c r="K3" i="1"/>
  <c r="K4" i="1"/>
  <c r="K5" i="1"/>
  <c r="K6" i="1"/>
  <c r="I8" i="1"/>
  <c r="J8" i="1" s="1"/>
  <c r="I9" i="1"/>
  <c r="J9" i="1" s="1"/>
  <c r="I2" i="1"/>
  <c r="J2" i="1" s="1"/>
  <c r="K16" i="1"/>
  <c r="K18" i="1"/>
  <c r="K19" i="1"/>
  <c r="I20" i="1"/>
  <c r="J20" i="1" s="1"/>
  <c r="I21" i="1"/>
  <c r="J21" i="1" s="1"/>
  <c r="I22" i="1"/>
  <c r="J22" i="1" s="1"/>
  <c r="K40" i="1"/>
  <c r="I60" i="1"/>
  <c r="I61" i="1"/>
  <c r="J61" i="1" s="1"/>
  <c r="K63" i="1"/>
  <c r="I65" i="1"/>
  <c r="J65" i="1" s="1"/>
  <c r="I66" i="1"/>
  <c r="J66" i="1" s="1"/>
  <c r="K67" i="1"/>
  <c r="K68" i="1"/>
  <c r="K82" i="1"/>
  <c r="K83" i="1"/>
  <c r="K84" i="1"/>
  <c r="I104" i="1"/>
  <c r="J104" i="1" s="1"/>
  <c r="K105" i="1"/>
  <c r="K106" i="1"/>
  <c r="K108" i="1"/>
  <c r="K128" i="1"/>
  <c r="I129" i="1"/>
  <c r="J129" i="1" s="1"/>
  <c r="I132" i="1"/>
  <c r="J132" i="1" s="1"/>
  <c r="K150" i="1"/>
  <c r="K151" i="1"/>
  <c r="K152" i="1"/>
  <c r="K155" i="1"/>
  <c r="K156" i="1"/>
  <c r="K157" i="1"/>
  <c r="K158" i="1"/>
  <c r="I163" i="1"/>
  <c r="J163" i="1" s="1"/>
  <c r="I164" i="1"/>
  <c r="J164" i="1" s="1"/>
  <c r="I170" i="1"/>
  <c r="J170" i="1" s="1"/>
  <c r="I171" i="1"/>
  <c r="J171" i="1" s="1"/>
  <c r="K172" i="1"/>
  <c r="K192" i="1"/>
  <c r="K193" i="1"/>
  <c r="I214" i="1"/>
  <c r="J214" i="1" s="1"/>
  <c r="I215" i="1"/>
  <c r="J215" i="1" s="1"/>
  <c r="I217" i="1"/>
  <c r="J217" i="1" s="1"/>
  <c r="K227" i="1"/>
  <c r="I228" i="1"/>
  <c r="J228" i="1" s="1"/>
  <c r="I229" i="1"/>
  <c r="J229" i="1" s="1"/>
  <c r="I230" i="1"/>
  <c r="J230" i="1" s="1"/>
  <c r="I231" i="1"/>
  <c r="J231" i="1" s="1"/>
  <c r="K238" i="1"/>
  <c r="I266" i="1"/>
  <c r="J266" i="1" s="1"/>
  <c r="I280" i="1"/>
  <c r="J280" i="1" s="1"/>
  <c r="I281" i="1"/>
  <c r="J281" i="1" s="1"/>
  <c r="K282" i="1"/>
  <c r="I283" i="1"/>
  <c r="J283" i="1" s="1"/>
  <c r="I284" i="1"/>
  <c r="J284" i="1" s="1"/>
  <c r="I285" i="1"/>
  <c r="J285" i="1" s="1"/>
  <c r="I286" i="1"/>
  <c r="J286" i="1" s="1"/>
  <c r="I287" i="1"/>
  <c r="J287" i="1" s="1"/>
  <c r="I288" i="1"/>
  <c r="J288" i="1" s="1"/>
  <c r="I289" i="1"/>
  <c r="J289" i="1" s="1"/>
  <c r="I290" i="1"/>
  <c r="J290" i="1" s="1"/>
  <c r="K291" i="1"/>
  <c r="I293" i="1"/>
  <c r="J293" i="1" s="1"/>
  <c r="I324" i="1"/>
  <c r="J324" i="1" s="1"/>
  <c r="I325" i="1"/>
  <c r="J325" i="1" s="1"/>
  <c r="K326" i="1"/>
  <c r="K331" i="1"/>
  <c r="K332" i="1"/>
  <c r="K333" i="1"/>
  <c r="K346" i="1"/>
  <c r="K347" i="1"/>
  <c r="K348" i="1"/>
  <c r="I349" i="1"/>
  <c r="J349" i="1" s="1"/>
  <c r="I350" i="1"/>
  <c r="J350" i="1" s="1"/>
  <c r="I368" i="1"/>
  <c r="J368" i="1" s="1"/>
  <c r="I369" i="1"/>
  <c r="J369" i="1" s="1"/>
  <c r="K370" i="1"/>
  <c r="I371" i="1"/>
  <c r="J371" i="1" s="1"/>
  <c r="K372" i="1"/>
  <c r="I374" i="1"/>
  <c r="J374" i="1" s="1"/>
  <c r="K375" i="1"/>
  <c r="I376" i="1"/>
  <c r="J376" i="1" s="1"/>
  <c r="K379" i="1"/>
  <c r="K380" i="1"/>
  <c r="K392" i="1"/>
  <c r="I412" i="1"/>
  <c r="J412" i="1" s="1"/>
  <c r="I413" i="1"/>
  <c r="J413" i="1" s="1"/>
  <c r="K414" i="1"/>
  <c r="K415" i="1"/>
  <c r="K416" i="1"/>
  <c r="K441" i="1"/>
  <c r="K442" i="1"/>
  <c r="K443" i="1"/>
  <c r="K444" i="1"/>
  <c r="K446" i="1"/>
  <c r="K447" i="1"/>
  <c r="I478" i="1"/>
  <c r="J478" i="1" s="1"/>
  <c r="I479" i="1"/>
  <c r="J479" i="1" s="1"/>
  <c r="K480" i="1"/>
  <c r="I481" i="1"/>
  <c r="J481" i="1" s="1"/>
  <c r="K484" i="1"/>
  <c r="K485" i="1"/>
  <c r="K486" i="1"/>
  <c r="I488" i="1"/>
  <c r="J488" i="1" s="1"/>
  <c r="K500" i="1"/>
  <c r="K7" i="1"/>
  <c r="K8" i="1"/>
  <c r="I497" i="1"/>
  <c r="J497" i="1" s="1"/>
  <c r="I498" i="1"/>
  <c r="J498" i="1" s="1"/>
  <c r="I499" i="1"/>
  <c r="J499" i="1" s="1"/>
  <c r="I500" i="1"/>
  <c r="J500" i="1" s="1"/>
  <c r="K482" i="1"/>
  <c r="K483" i="1"/>
  <c r="K497" i="1"/>
  <c r="K498" i="1"/>
  <c r="K499" i="1"/>
  <c r="I14" i="1"/>
  <c r="I15" i="1"/>
  <c r="J15" i="1" s="1"/>
  <c r="I16" i="1"/>
  <c r="J16" i="1" s="1"/>
  <c r="I17" i="1"/>
  <c r="J17" i="1" s="1"/>
  <c r="I36" i="1"/>
  <c r="J36" i="1" s="1"/>
  <c r="I37" i="1"/>
  <c r="J37" i="1" s="1"/>
  <c r="I38" i="1"/>
  <c r="J38" i="1" s="1"/>
  <c r="I39" i="1"/>
  <c r="J39" i="1" s="1"/>
  <c r="I57" i="1"/>
  <c r="J57" i="1" s="1"/>
  <c r="I58" i="1"/>
  <c r="I59" i="1"/>
  <c r="I63" i="1"/>
  <c r="J63" i="1" s="1"/>
  <c r="I64" i="1"/>
  <c r="J64" i="1" s="1"/>
  <c r="I79" i="1"/>
  <c r="J79" i="1" s="1"/>
  <c r="I80" i="1"/>
  <c r="J80" i="1" s="1"/>
  <c r="I81" i="1"/>
  <c r="J81" i="1" s="1"/>
  <c r="I82" i="1"/>
  <c r="J82" i="1" s="1"/>
  <c r="I101" i="1"/>
  <c r="J101" i="1" s="1"/>
  <c r="I102" i="1"/>
  <c r="I103" i="1"/>
  <c r="J103" i="1" s="1"/>
  <c r="I108" i="1"/>
  <c r="J108" i="1" s="1"/>
  <c r="I111" i="1"/>
  <c r="J111" i="1" s="1"/>
  <c r="I112" i="1"/>
  <c r="J112" i="1" s="1"/>
  <c r="I123" i="1"/>
  <c r="J123" i="1" s="1"/>
  <c r="I124" i="1"/>
  <c r="J124" i="1" s="1"/>
  <c r="I125" i="1"/>
  <c r="J125" i="1" s="1"/>
  <c r="I126" i="1"/>
  <c r="J126" i="1" s="1"/>
  <c r="I127" i="1"/>
  <c r="J127" i="1" s="1"/>
  <c r="I128" i="1"/>
  <c r="J128" i="1" s="1"/>
  <c r="I145" i="1"/>
  <c r="J145" i="1" s="1"/>
  <c r="I146" i="1"/>
  <c r="J146" i="1" s="1"/>
  <c r="I147" i="1"/>
  <c r="J147" i="1" s="1"/>
  <c r="I148" i="1"/>
  <c r="J148" i="1" s="1"/>
  <c r="I149" i="1"/>
  <c r="J149" i="1" s="1"/>
  <c r="I155" i="1"/>
  <c r="J155" i="1" s="1"/>
  <c r="I167" i="1"/>
  <c r="J167" i="1" s="1"/>
  <c r="I168" i="1"/>
  <c r="J168" i="1" s="1"/>
  <c r="I169" i="1"/>
  <c r="J169" i="1" s="1"/>
  <c r="I172" i="1"/>
  <c r="J172" i="1" s="1"/>
  <c r="I180" i="1"/>
  <c r="J180" i="1" s="1"/>
  <c r="I189" i="1"/>
  <c r="J189" i="1" s="1"/>
  <c r="I190" i="1"/>
  <c r="J190" i="1" s="1"/>
  <c r="I191" i="1"/>
  <c r="J191" i="1" s="1"/>
  <c r="I192" i="1"/>
  <c r="J192" i="1" s="1"/>
  <c r="I193" i="1"/>
  <c r="J193" i="1" s="1"/>
  <c r="I211" i="1"/>
  <c r="J211" i="1" s="1"/>
  <c r="I212" i="1"/>
  <c r="J212" i="1" s="1"/>
  <c r="I233" i="1"/>
  <c r="J233" i="1" s="1"/>
  <c r="I234" i="1"/>
  <c r="J234" i="1" s="1"/>
  <c r="I235" i="1"/>
  <c r="J235" i="1" s="1"/>
  <c r="I236" i="1"/>
  <c r="J236" i="1" s="1"/>
  <c r="I237" i="1"/>
  <c r="J237" i="1" s="1"/>
  <c r="I255" i="1"/>
  <c r="J255" i="1" s="1"/>
  <c r="I256" i="1"/>
  <c r="J256" i="1" s="1"/>
  <c r="I257" i="1"/>
  <c r="J257" i="1" s="1"/>
  <c r="I258" i="1"/>
  <c r="J258" i="1" s="1"/>
  <c r="I259" i="1"/>
  <c r="J259" i="1" s="1"/>
  <c r="I260" i="1"/>
  <c r="J260" i="1" s="1"/>
  <c r="I261" i="1"/>
  <c r="J261" i="1" s="1"/>
  <c r="I262" i="1"/>
  <c r="J262" i="1" s="1"/>
  <c r="I277" i="1"/>
  <c r="J277" i="1" s="1"/>
  <c r="I278" i="1"/>
  <c r="J278" i="1" s="1"/>
  <c r="I279" i="1"/>
  <c r="J279" i="1" s="1"/>
  <c r="I299" i="1"/>
  <c r="J299" i="1" s="1"/>
  <c r="I300" i="1"/>
  <c r="J300" i="1" s="1"/>
  <c r="I301" i="1"/>
  <c r="J301" i="1" s="1"/>
  <c r="I302" i="1"/>
  <c r="J302" i="1" s="1"/>
  <c r="I303" i="1"/>
  <c r="J303" i="1" s="1"/>
  <c r="I321" i="1"/>
  <c r="J321" i="1" s="1"/>
  <c r="I322" i="1"/>
  <c r="J322" i="1" s="1"/>
  <c r="I323" i="1"/>
  <c r="J323" i="1" s="1"/>
  <c r="I326" i="1"/>
  <c r="J326" i="1" s="1"/>
  <c r="I327" i="1"/>
  <c r="J327" i="1" s="1"/>
  <c r="I328" i="1"/>
  <c r="J328" i="1" s="1"/>
  <c r="I343" i="1"/>
  <c r="J343" i="1" s="1"/>
  <c r="I344" i="1"/>
  <c r="J344" i="1" s="1"/>
  <c r="I345" i="1"/>
  <c r="J345" i="1" s="1"/>
  <c r="I346" i="1"/>
  <c r="J346" i="1" s="1"/>
  <c r="I347" i="1"/>
  <c r="J347" i="1" s="1"/>
  <c r="I361" i="1"/>
  <c r="J361" i="1" s="1"/>
  <c r="I362" i="1"/>
  <c r="J362" i="1" s="1"/>
  <c r="I365" i="1"/>
  <c r="J365" i="1" s="1"/>
  <c r="I366" i="1"/>
  <c r="J366" i="1" s="1"/>
  <c r="I367" i="1"/>
  <c r="J367" i="1" s="1"/>
  <c r="I387" i="1"/>
  <c r="J387" i="1" s="1"/>
  <c r="I388" i="1"/>
  <c r="J388" i="1" s="1"/>
  <c r="I389" i="1"/>
  <c r="J389" i="1" s="1"/>
  <c r="I390" i="1"/>
  <c r="J390" i="1" s="1"/>
  <c r="I391" i="1"/>
  <c r="J391" i="1" s="1"/>
  <c r="I409" i="1"/>
  <c r="J409" i="1" s="1"/>
  <c r="I410" i="1"/>
  <c r="J410" i="1" s="1"/>
  <c r="I411" i="1"/>
  <c r="J411" i="1" s="1"/>
  <c r="I414" i="1"/>
  <c r="J414" i="1" s="1"/>
  <c r="I415" i="1"/>
  <c r="J415" i="1" s="1"/>
  <c r="I432" i="1"/>
  <c r="J432" i="1" s="1"/>
  <c r="I433" i="1"/>
  <c r="J433" i="1" s="1"/>
  <c r="I434" i="1"/>
  <c r="J434" i="1" s="1"/>
  <c r="I435" i="1"/>
  <c r="J435" i="1" s="1"/>
  <c r="I438" i="1"/>
  <c r="J438" i="1" s="1"/>
  <c r="I441" i="1"/>
  <c r="J441" i="1" s="1"/>
  <c r="I442" i="1"/>
  <c r="J442" i="1" s="1"/>
  <c r="I443" i="1"/>
  <c r="J443" i="1" s="1"/>
  <c r="I453" i="1"/>
  <c r="J453" i="1" s="1"/>
  <c r="I454" i="1"/>
  <c r="I455" i="1"/>
  <c r="I459" i="1"/>
  <c r="J459" i="1" s="1"/>
  <c r="I475" i="1"/>
  <c r="J475" i="1" s="1"/>
  <c r="I476" i="1"/>
  <c r="J476" i="1" s="1"/>
  <c r="I477" i="1"/>
  <c r="J477" i="1" s="1"/>
  <c r="I480" i="1"/>
  <c r="J480" i="1" s="1"/>
  <c r="J14" i="1"/>
  <c r="J58" i="1"/>
  <c r="J59" i="1"/>
  <c r="J60" i="1"/>
  <c r="J102" i="1"/>
  <c r="J454" i="1"/>
  <c r="J455" i="1"/>
  <c r="K14" i="1"/>
  <c r="K15" i="1"/>
  <c r="K17" i="1"/>
  <c r="K36" i="1"/>
  <c r="K37" i="1"/>
  <c r="K38" i="1"/>
  <c r="K39" i="1"/>
  <c r="K57" i="1"/>
  <c r="K58" i="1"/>
  <c r="K59" i="1"/>
  <c r="K60" i="1"/>
  <c r="K61" i="1"/>
  <c r="K64" i="1"/>
  <c r="K65" i="1"/>
  <c r="K79" i="1"/>
  <c r="K80" i="1"/>
  <c r="K81" i="1"/>
  <c r="K98" i="1"/>
  <c r="K99" i="1"/>
  <c r="K101" i="1"/>
  <c r="K102" i="1"/>
  <c r="K103" i="1"/>
  <c r="K104" i="1"/>
  <c r="K123" i="1"/>
  <c r="K124" i="1"/>
  <c r="K125" i="1"/>
  <c r="K126" i="1"/>
  <c r="K127" i="1"/>
  <c r="K129" i="1"/>
  <c r="K132" i="1"/>
  <c r="K133" i="1"/>
  <c r="K137" i="1"/>
  <c r="K145" i="1"/>
  <c r="K146" i="1"/>
  <c r="K147" i="1"/>
  <c r="K148" i="1"/>
  <c r="K149" i="1"/>
  <c r="K166" i="1"/>
  <c r="K167" i="1"/>
  <c r="K168" i="1"/>
  <c r="K169" i="1"/>
  <c r="K170" i="1"/>
  <c r="K171" i="1"/>
  <c r="K190" i="1"/>
  <c r="K191" i="1"/>
  <c r="K211" i="1"/>
  <c r="K212" i="1"/>
  <c r="K213" i="1"/>
  <c r="K214" i="1"/>
  <c r="K215" i="1"/>
  <c r="K233" i="1"/>
  <c r="K234" i="1"/>
  <c r="K235" i="1"/>
  <c r="K236" i="1"/>
  <c r="K237" i="1"/>
  <c r="K255" i="1"/>
  <c r="K256" i="1"/>
  <c r="K257" i="1"/>
  <c r="K258" i="1"/>
  <c r="K277" i="1"/>
  <c r="K278" i="1"/>
  <c r="K279" i="1"/>
  <c r="K280" i="1"/>
  <c r="K281" i="1"/>
  <c r="K283" i="1"/>
  <c r="K284" i="1"/>
  <c r="K285" i="1"/>
  <c r="K298" i="1"/>
  <c r="K299" i="1"/>
  <c r="K300" i="1"/>
  <c r="K301" i="1"/>
  <c r="K322" i="1"/>
  <c r="K323" i="1"/>
  <c r="K324" i="1"/>
  <c r="K325" i="1"/>
  <c r="K327" i="1"/>
  <c r="K328" i="1"/>
  <c r="K343" i="1"/>
  <c r="K344" i="1"/>
  <c r="K345" i="1"/>
  <c r="K365" i="1"/>
  <c r="K366" i="1"/>
  <c r="K367" i="1"/>
  <c r="K368" i="1"/>
  <c r="K369" i="1"/>
  <c r="K388" i="1"/>
  <c r="K389" i="1"/>
  <c r="K390" i="1"/>
  <c r="K391" i="1"/>
  <c r="K393" i="1"/>
  <c r="K409" i="1"/>
  <c r="K410" i="1"/>
  <c r="K411" i="1"/>
  <c r="K431" i="1"/>
  <c r="K432" i="1"/>
  <c r="K433" i="1"/>
  <c r="K434" i="1"/>
  <c r="K435" i="1"/>
  <c r="K437" i="1"/>
  <c r="K438" i="1"/>
  <c r="K439" i="1"/>
  <c r="K445" i="1"/>
  <c r="K453" i="1"/>
  <c r="K454" i="1"/>
  <c r="K455" i="1"/>
  <c r="K456" i="1"/>
  <c r="K457" i="1"/>
  <c r="K475" i="1"/>
  <c r="K476" i="1"/>
  <c r="K477" i="1"/>
  <c r="K478" i="1"/>
  <c r="K479" i="1"/>
  <c r="I4" i="1"/>
  <c r="J4" i="1" s="1"/>
  <c r="L13" i="3"/>
  <c r="C7" i="2"/>
  <c r="K430" i="1" l="1"/>
  <c r="I430" i="1"/>
  <c r="J430" i="1" s="1"/>
  <c r="I188" i="1"/>
  <c r="J188" i="1" s="1"/>
  <c r="K450" i="1"/>
  <c r="I450" i="1"/>
  <c r="J450" i="1" s="1"/>
  <c r="K232" i="1"/>
  <c r="I404" i="1"/>
  <c r="J404" i="1" s="1"/>
  <c r="K404" i="1"/>
  <c r="K96" i="1"/>
  <c r="I96" i="1"/>
  <c r="J96" i="1" s="1"/>
  <c r="I97" i="1"/>
  <c r="J97" i="1" s="1"/>
  <c r="I403" i="1"/>
  <c r="J403" i="1" s="1"/>
  <c r="K403" i="1"/>
  <c r="K95" i="1"/>
  <c r="I95" i="1"/>
  <c r="J95" i="1" s="1"/>
  <c r="K94" i="1"/>
  <c r="I94" i="1"/>
  <c r="J94" i="1" s="1"/>
  <c r="I354" i="1"/>
  <c r="J354" i="1" s="1"/>
  <c r="K354" i="1"/>
  <c r="K90" i="1"/>
  <c r="I90" i="1"/>
  <c r="J90" i="1" s="1"/>
  <c r="K342" i="1"/>
  <c r="I408" i="1"/>
  <c r="J408" i="1" s="1"/>
  <c r="K264" i="1"/>
  <c r="I474" i="1"/>
  <c r="J474" i="1" s="1"/>
  <c r="I144" i="1"/>
  <c r="J144" i="1" s="1"/>
  <c r="K461" i="1"/>
  <c r="I461" i="1"/>
  <c r="J461" i="1" s="1"/>
  <c r="K402" i="1"/>
  <c r="K263" i="1"/>
  <c r="K184" i="1"/>
  <c r="K53" i="1"/>
  <c r="K452" i="1"/>
  <c r="I452" i="1"/>
  <c r="J452" i="1" s="1"/>
  <c r="I364" i="1"/>
  <c r="J364" i="1" s="1"/>
  <c r="K364" i="1"/>
  <c r="K320" i="1"/>
  <c r="I320" i="1"/>
  <c r="J320" i="1" s="1"/>
  <c r="I34" i="1"/>
  <c r="J34" i="1" s="1"/>
  <c r="K34" i="1"/>
  <c r="I276" i="1"/>
  <c r="J276" i="1" s="1"/>
  <c r="K78" i="1"/>
  <c r="I360" i="1"/>
  <c r="J360" i="1" s="1"/>
  <c r="K360" i="1"/>
  <c r="I29" i="1"/>
  <c r="J29" i="1" s="1"/>
  <c r="K29" i="1"/>
  <c r="K136" i="1"/>
  <c r="I136" i="1"/>
  <c r="J136" i="1" s="1"/>
  <c r="K270" i="1"/>
  <c r="K210" i="1"/>
  <c r="K496" i="1"/>
  <c r="K359" i="1"/>
  <c r="K135" i="1"/>
  <c r="I135" i="1"/>
  <c r="J135" i="1" s="1"/>
  <c r="K91" i="1"/>
  <c r="I91" i="1"/>
  <c r="J91" i="1" s="1"/>
  <c r="K267" i="1"/>
  <c r="I70" i="1"/>
  <c r="J70" i="1" s="1"/>
  <c r="I355" i="1"/>
  <c r="J355" i="1" s="1"/>
  <c r="K134" i="1"/>
  <c r="I134" i="1"/>
  <c r="J134" i="1" s="1"/>
  <c r="I69" i="1"/>
  <c r="J69" i="1" s="1"/>
  <c r="I138" i="1"/>
  <c r="J138" i="1" s="1"/>
  <c r="I353" i="1"/>
  <c r="J353" i="1" s="1"/>
  <c r="K353" i="1"/>
  <c r="K265" i="1"/>
  <c r="K186" i="1"/>
  <c r="K56" i="1"/>
  <c r="K185" i="1"/>
  <c r="K54" i="1"/>
  <c r="K240" i="1"/>
  <c r="I240" i="1"/>
  <c r="J240" i="1" s="1"/>
  <c r="K401" i="1"/>
  <c r="K183" i="1"/>
  <c r="K122" i="1"/>
  <c r="K52" i="1"/>
  <c r="K239" i="1"/>
  <c r="I239" i="1"/>
  <c r="J239" i="1" s="1"/>
  <c r="K400" i="1"/>
  <c r="K182" i="1"/>
  <c r="K460" i="1"/>
  <c r="K399" i="1"/>
  <c r="K113" i="1"/>
  <c r="K396" i="1"/>
  <c r="I386" i="1"/>
  <c r="J386" i="1" s="1"/>
  <c r="K395" i="1"/>
  <c r="K254" i="1"/>
  <c r="K449" i="1"/>
  <c r="K394" i="1"/>
  <c r="K100" i="1"/>
  <c r="K9" i="1"/>
  <c r="K448" i="1"/>
  <c r="K458" i="1"/>
  <c r="K304" i="1"/>
  <c r="I35" i="1"/>
  <c r="J35" i="1" s="1"/>
  <c r="K35" i="1"/>
  <c r="I3" i="1"/>
  <c r="J3" i="1" s="1"/>
  <c r="K495" i="1"/>
  <c r="I495" i="1"/>
  <c r="J495" i="1" s="1"/>
  <c r="I451" i="1"/>
  <c r="J451" i="1" s="1"/>
  <c r="K451" i="1"/>
  <c r="K429" i="1"/>
  <c r="I429" i="1"/>
  <c r="J429" i="1" s="1"/>
  <c r="K385" i="1"/>
  <c r="I385" i="1"/>
  <c r="J385" i="1" s="1"/>
  <c r="I341" i="1"/>
  <c r="J341" i="1" s="1"/>
  <c r="K341" i="1"/>
  <c r="I297" i="1"/>
  <c r="J297" i="1" s="1"/>
  <c r="K297" i="1"/>
  <c r="K275" i="1"/>
  <c r="I275" i="1"/>
  <c r="J275" i="1" s="1"/>
  <c r="I253" i="1"/>
  <c r="J253" i="1" s="1"/>
  <c r="K253" i="1"/>
  <c r="I165" i="1"/>
  <c r="J165" i="1" s="1"/>
  <c r="K165" i="1"/>
  <c r="K143" i="1"/>
  <c r="I143" i="1"/>
  <c r="J143" i="1" s="1"/>
  <c r="I77" i="1"/>
  <c r="J77" i="1" s="1"/>
  <c r="K77" i="1"/>
  <c r="K55" i="1"/>
  <c r="I55" i="1"/>
  <c r="J55" i="1" s="1"/>
  <c r="I407" i="1"/>
  <c r="J407" i="1" s="1"/>
  <c r="K494" i="1"/>
  <c r="I494" i="1"/>
  <c r="J494" i="1" s="1"/>
  <c r="K384" i="1"/>
  <c r="I384" i="1"/>
  <c r="J384" i="1" s="1"/>
  <c r="I318" i="1"/>
  <c r="J318" i="1" s="1"/>
  <c r="K318" i="1"/>
  <c r="K274" i="1"/>
  <c r="I274" i="1"/>
  <c r="J274" i="1" s="1"/>
  <c r="I252" i="1"/>
  <c r="J252" i="1" s="1"/>
  <c r="K252" i="1"/>
  <c r="K142" i="1"/>
  <c r="I142" i="1"/>
  <c r="J142" i="1" s="1"/>
  <c r="I76" i="1"/>
  <c r="J76" i="1" s="1"/>
  <c r="K76" i="1"/>
  <c r="K319" i="1"/>
  <c r="K231" i="1"/>
  <c r="I406" i="1"/>
  <c r="J406" i="1" s="1"/>
  <c r="I121" i="1"/>
  <c r="J121" i="1" s="1"/>
  <c r="K383" i="1"/>
  <c r="I383" i="1"/>
  <c r="J383" i="1" s="1"/>
  <c r="I317" i="1"/>
  <c r="J317" i="1" s="1"/>
  <c r="K317" i="1"/>
  <c r="I251" i="1"/>
  <c r="J251" i="1" s="1"/>
  <c r="K251" i="1"/>
  <c r="I141" i="1"/>
  <c r="J141" i="1" s="1"/>
  <c r="K141" i="1"/>
  <c r="I75" i="1"/>
  <c r="J75" i="1" s="1"/>
  <c r="K75" i="1"/>
  <c r="K273" i="1"/>
  <c r="K230" i="1"/>
  <c r="I473" i="1"/>
  <c r="J473" i="1" s="1"/>
  <c r="I405" i="1"/>
  <c r="J405" i="1" s="1"/>
  <c r="I120" i="1"/>
  <c r="J120" i="1" s="1"/>
  <c r="I382" i="1"/>
  <c r="J382" i="1" s="1"/>
  <c r="K382" i="1"/>
  <c r="K338" i="1"/>
  <c r="I338" i="1"/>
  <c r="J338" i="1" s="1"/>
  <c r="I316" i="1"/>
  <c r="J316" i="1" s="1"/>
  <c r="K316" i="1"/>
  <c r="I272" i="1"/>
  <c r="J272" i="1" s="1"/>
  <c r="K272" i="1"/>
  <c r="I250" i="1"/>
  <c r="J250" i="1" s="1"/>
  <c r="K250" i="1"/>
  <c r="I140" i="1"/>
  <c r="J140" i="1" s="1"/>
  <c r="K140" i="1"/>
  <c r="I74" i="1"/>
  <c r="J74" i="1" s="1"/>
  <c r="K74" i="1"/>
  <c r="K229" i="1"/>
  <c r="I472" i="1"/>
  <c r="J472" i="1" s="1"/>
  <c r="I209" i="1"/>
  <c r="J209" i="1" s="1"/>
  <c r="I119" i="1"/>
  <c r="J119" i="1" s="1"/>
  <c r="I491" i="1"/>
  <c r="J491" i="1" s="1"/>
  <c r="K491" i="1"/>
  <c r="K337" i="1"/>
  <c r="I337" i="1"/>
  <c r="J337" i="1" s="1"/>
  <c r="K315" i="1"/>
  <c r="I315" i="1"/>
  <c r="J315" i="1" s="1"/>
  <c r="I271" i="1"/>
  <c r="J271" i="1" s="1"/>
  <c r="K271" i="1"/>
  <c r="K205" i="1"/>
  <c r="I205" i="1"/>
  <c r="J205" i="1" s="1"/>
  <c r="I139" i="1"/>
  <c r="J139" i="1" s="1"/>
  <c r="K139" i="1"/>
  <c r="I73" i="1"/>
  <c r="J73" i="1" s="1"/>
  <c r="K73" i="1"/>
  <c r="I51" i="1"/>
  <c r="J51" i="1" s="1"/>
  <c r="K51" i="1"/>
  <c r="K228" i="1"/>
  <c r="I471" i="1"/>
  <c r="J471" i="1" s="1"/>
  <c r="I208" i="1"/>
  <c r="J208" i="1" s="1"/>
  <c r="I118" i="1"/>
  <c r="J118" i="1" s="1"/>
  <c r="I490" i="1"/>
  <c r="J490" i="1" s="1"/>
  <c r="K490" i="1"/>
  <c r="I424" i="1"/>
  <c r="J424" i="1" s="1"/>
  <c r="K424" i="1"/>
  <c r="K358" i="1"/>
  <c r="I358" i="1"/>
  <c r="J358" i="1" s="1"/>
  <c r="K314" i="1"/>
  <c r="I314" i="1"/>
  <c r="J314" i="1" s="1"/>
  <c r="I292" i="1"/>
  <c r="J292" i="1" s="1"/>
  <c r="K292" i="1"/>
  <c r="K226" i="1"/>
  <c r="I226" i="1"/>
  <c r="J226" i="1" s="1"/>
  <c r="K204" i="1"/>
  <c r="I204" i="1"/>
  <c r="J204" i="1" s="1"/>
  <c r="I116" i="1"/>
  <c r="J116" i="1" s="1"/>
  <c r="K116" i="1"/>
  <c r="I72" i="1"/>
  <c r="J72" i="1" s="1"/>
  <c r="K72" i="1"/>
  <c r="I50" i="1"/>
  <c r="J50" i="1" s="1"/>
  <c r="K50" i="1"/>
  <c r="I28" i="1"/>
  <c r="J28" i="1" s="1"/>
  <c r="K28" i="1"/>
  <c r="I470" i="1"/>
  <c r="J470" i="1" s="1"/>
  <c r="I207" i="1"/>
  <c r="J207" i="1" s="1"/>
  <c r="I117" i="1"/>
  <c r="J117" i="1" s="1"/>
  <c r="K13" i="1"/>
  <c r="I13" i="1"/>
  <c r="J13" i="1" s="1"/>
  <c r="I489" i="1"/>
  <c r="J489" i="1" s="1"/>
  <c r="K489" i="1"/>
  <c r="K423" i="1"/>
  <c r="I423" i="1"/>
  <c r="J423" i="1" s="1"/>
  <c r="K357" i="1"/>
  <c r="I357" i="1"/>
  <c r="J357" i="1" s="1"/>
  <c r="I313" i="1"/>
  <c r="J313" i="1" s="1"/>
  <c r="K313" i="1"/>
  <c r="I269" i="1"/>
  <c r="J269" i="1" s="1"/>
  <c r="K269" i="1"/>
  <c r="K247" i="1"/>
  <c r="I247" i="1"/>
  <c r="J247" i="1" s="1"/>
  <c r="K225" i="1"/>
  <c r="I225" i="1"/>
  <c r="J225" i="1" s="1"/>
  <c r="I115" i="1"/>
  <c r="J115" i="1" s="1"/>
  <c r="K115" i="1"/>
  <c r="K93" i="1"/>
  <c r="I93" i="1"/>
  <c r="J93" i="1" s="1"/>
  <c r="I71" i="1"/>
  <c r="J71" i="1" s="1"/>
  <c r="K71" i="1"/>
  <c r="I49" i="1"/>
  <c r="J49" i="1" s="1"/>
  <c r="K49" i="1"/>
  <c r="I27" i="1"/>
  <c r="J27" i="1" s="1"/>
  <c r="K27" i="1"/>
  <c r="I469" i="1"/>
  <c r="J469" i="1" s="1"/>
  <c r="I296" i="1"/>
  <c r="J296" i="1" s="1"/>
  <c r="I249" i="1"/>
  <c r="J249" i="1" s="1"/>
  <c r="I206" i="1"/>
  <c r="J206" i="1" s="1"/>
  <c r="K12" i="1"/>
  <c r="I12" i="1"/>
  <c r="J12" i="1" s="1"/>
  <c r="K422" i="1"/>
  <c r="I422" i="1"/>
  <c r="J422" i="1" s="1"/>
  <c r="I378" i="1"/>
  <c r="J378" i="1" s="1"/>
  <c r="K378" i="1"/>
  <c r="K356" i="1"/>
  <c r="I356" i="1"/>
  <c r="J356" i="1" s="1"/>
  <c r="I312" i="1"/>
  <c r="J312" i="1" s="1"/>
  <c r="K312" i="1"/>
  <c r="I268" i="1"/>
  <c r="J268" i="1" s="1"/>
  <c r="K268" i="1"/>
  <c r="K246" i="1"/>
  <c r="I246" i="1"/>
  <c r="J246" i="1" s="1"/>
  <c r="K224" i="1"/>
  <c r="I224" i="1"/>
  <c r="J224" i="1" s="1"/>
  <c r="I114" i="1"/>
  <c r="J114" i="1" s="1"/>
  <c r="K114" i="1"/>
  <c r="K92" i="1"/>
  <c r="I92" i="1"/>
  <c r="J92" i="1" s="1"/>
  <c r="K295" i="1"/>
  <c r="K26" i="1"/>
  <c r="I468" i="1"/>
  <c r="J468" i="1" s="1"/>
  <c r="I248" i="1"/>
  <c r="J248" i="1" s="1"/>
  <c r="K11" i="1"/>
  <c r="I11" i="1"/>
  <c r="J11" i="1" s="1"/>
  <c r="K487" i="1"/>
  <c r="I487" i="1"/>
  <c r="J487" i="1" s="1"/>
  <c r="I421" i="1"/>
  <c r="J421" i="1" s="1"/>
  <c r="K421" i="1"/>
  <c r="I377" i="1"/>
  <c r="J377" i="1" s="1"/>
  <c r="K377" i="1"/>
  <c r="I311" i="1"/>
  <c r="J311" i="1" s="1"/>
  <c r="K311" i="1"/>
  <c r="K245" i="1"/>
  <c r="I245" i="1"/>
  <c r="J245" i="1" s="1"/>
  <c r="K223" i="1"/>
  <c r="I223" i="1"/>
  <c r="J223" i="1" s="1"/>
  <c r="I179" i="1"/>
  <c r="J179" i="1" s="1"/>
  <c r="K179" i="1"/>
  <c r="I47" i="1"/>
  <c r="J47" i="1" s="1"/>
  <c r="K47" i="1"/>
  <c r="K294" i="1"/>
  <c r="K25" i="1"/>
  <c r="I467" i="1"/>
  <c r="J467" i="1" s="1"/>
  <c r="K493" i="1"/>
  <c r="K10" i="1"/>
  <c r="I10" i="1"/>
  <c r="J10" i="1" s="1"/>
  <c r="I420" i="1"/>
  <c r="J420" i="1" s="1"/>
  <c r="K420" i="1"/>
  <c r="K398" i="1"/>
  <c r="I398" i="1"/>
  <c r="J398" i="1" s="1"/>
  <c r="I310" i="1"/>
  <c r="J310" i="1" s="1"/>
  <c r="K310" i="1"/>
  <c r="I244" i="1"/>
  <c r="J244" i="1" s="1"/>
  <c r="K244" i="1"/>
  <c r="K222" i="1"/>
  <c r="I222" i="1"/>
  <c r="J222" i="1" s="1"/>
  <c r="K200" i="1"/>
  <c r="I200" i="1"/>
  <c r="J200" i="1" s="1"/>
  <c r="K178" i="1"/>
  <c r="I178" i="1"/>
  <c r="J178" i="1" s="1"/>
  <c r="I46" i="1"/>
  <c r="J46" i="1" s="1"/>
  <c r="K46" i="1"/>
  <c r="K293" i="1"/>
  <c r="K164" i="1"/>
  <c r="K24" i="1"/>
  <c r="I466" i="1"/>
  <c r="J466" i="1" s="1"/>
  <c r="I335" i="1"/>
  <c r="J335" i="1" s="1"/>
  <c r="I291" i="1"/>
  <c r="J291" i="1" s="1"/>
  <c r="I48" i="1"/>
  <c r="J48" i="1" s="1"/>
  <c r="K492" i="1"/>
  <c r="I419" i="1"/>
  <c r="J419" i="1" s="1"/>
  <c r="K419" i="1"/>
  <c r="K397" i="1"/>
  <c r="I397" i="1"/>
  <c r="J397" i="1" s="1"/>
  <c r="I309" i="1"/>
  <c r="J309" i="1" s="1"/>
  <c r="K309" i="1"/>
  <c r="I243" i="1"/>
  <c r="J243" i="1" s="1"/>
  <c r="K243" i="1"/>
  <c r="I221" i="1"/>
  <c r="J221" i="1" s="1"/>
  <c r="K221" i="1"/>
  <c r="K199" i="1"/>
  <c r="I199" i="1"/>
  <c r="J199" i="1" s="1"/>
  <c r="K177" i="1"/>
  <c r="I177" i="1"/>
  <c r="J177" i="1" s="1"/>
  <c r="I89" i="1"/>
  <c r="J89" i="1" s="1"/>
  <c r="K89" i="1"/>
  <c r="I45" i="1"/>
  <c r="J45" i="1" s="1"/>
  <c r="K45" i="1"/>
  <c r="K290" i="1"/>
  <c r="K163" i="1"/>
  <c r="K23" i="1"/>
  <c r="I465" i="1"/>
  <c r="J465" i="1" s="1"/>
  <c r="I334" i="1"/>
  <c r="J334" i="1" s="1"/>
  <c r="K488" i="1"/>
  <c r="I440" i="1"/>
  <c r="J440" i="1" s="1"/>
  <c r="K440" i="1"/>
  <c r="I418" i="1"/>
  <c r="J418" i="1" s="1"/>
  <c r="K418" i="1"/>
  <c r="I352" i="1"/>
  <c r="J352" i="1" s="1"/>
  <c r="K352" i="1"/>
  <c r="I330" i="1"/>
  <c r="J330" i="1" s="1"/>
  <c r="K330" i="1"/>
  <c r="I308" i="1"/>
  <c r="J308" i="1" s="1"/>
  <c r="K308" i="1"/>
  <c r="I242" i="1"/>
  <c r="J242" i="1" s="1"/>
  <c r="K242" i="1"/>
  <c r="I220" i="1"/>
  <c r="J220" i="1" s="1"/>
  <c r="K220" i="1"/>
  <c r="I198" i="1"/>
  <c r="J198" i="1" s="1"/>
  <c r="K198" i="1"/>
  <c r="I176" i="1"/>
  <c r="J176" i="1" s="1"/>
  <c r="K176" i="1"/>
  <c r="I154" i="1"/>
  <c r="J154" i="1" s="1"/>
  <c r="K154" i="1"/>
  <c r="I110" i="1"/>
  <c r="J110" i="1" s="1"/>
  <c r="K110" i="1"/>
  <c r="I88" i="1"/>
  <c r="J88" i="1" s="1"/>
  <c r="K88" i="1"/>
  <c r="I44" i="1"/>
  <c r="J44" i="1" s="1"/>
  <c r="K44" i="1"/>
  <c r="K340" i="1"/>
  <c r="K289" i="1"/>
  <c r="K162" i="1"/>
  <c r="K22" i="1"/>
  <c r="I464" i="1"/>
  <c r="J464" i="1" s="1"/>
  <c r="I381" i="1"/>
  <c r="J381" i="1" s="1"/>
  <c r="I333" i="1"/>
  <c r="J333" i="1" s="1"/>
  <c r="K339" i="1"/>
  <c r="K288" i="1"/>
  <c r="K203" i="1"/>
  <c r="K161" i="1"/>
  <c r="K66" i="1"/>
  <c r="I380" i="1"/>
  <c r="J380" i="1" s="1"/>
  <c r="I332" i="1"/>
  <c r="J332" i="1" s="1"/>
  <c r="K336" i="1"/>
  <c r="K287" i="1"/>
  <c r="K202" i="1"/>
  <c r="K160" i="1"/>
  <c r="I379" i="1"/>
  <c r="J379" i="1" s="1"/>
  <c r="I331" i="1"/>
  <c r="J331" i="1" s="1"/>
  <c r="I187" i="1"/>
  <c r="J187" i="1" s="1"/>
  <c r="K428" i="1"/>
  <c r="K286" i="1"/>
  <c r="K201" i="1"/>
  <c r="K159" i="1"/>
  <c r="I375" i="1"/>
  <c r="J375" i="1" s="1"/>
  <c r="K427" i="1"/>
  <c r="K426" i="1"/>
  <c r="K376" i="1"/>
  <c r="I33" i="1"/>
  <c r="J33" i="1" s="1"/>
  <c r="K463" i="1"/>
  <c r="K425" i="1"/>
  <c r="I32" i="1"/>
  <c r="J32" i="1" s="1"/>
  <c r="K462" i="1"/>
  <c r="K374" i="1"/>
  <c r="I31" i="1"/>
  <c r="J31" i="1" s="1"/>
  <c r="I363" i="1"/>
  <c r="J363" i="1" s="1"/>
  <c r="I181" i="1"/>
  <c r="J181" i="1" s="1"/>
  <c r="I30" i="1"/>
  <c r="J30" i="1" s="1"/>
  <c r="I417" i="1"/>
  <c r="J417" i="1" s="1"/>
  <c r="K417" i="1"/>
  <c r="I307" i="1"/>
  <c r="J307" i="1" s="1"/>
  <c r="K307" i="1"/>
  <c r="I219" i="1"/>
  <c r="J219" i="1" s="1"/>
  <c r="K219" i="1"/>
  <c r="I153" i="1"/>
  <c r="J153" i="1" s="1"/>
  <c r="K153" i="1"/>
  <c r="I131" i="1"/>
  <c r="J131" i="1" s="1"/>
  <c r="K131" i="1"/>
  <c r="I87" i="1"/>
  <c r="J87" i="1" s="1"/>
  <c r="K87" i="1"/>
  <c r="I7" i="1"/>
  <c r="J7" i="1" s="1"/>
  <c r="I306" i="1"/>
  <c r="J306" i="1" s="1"/>
  <c r="K306" i="1"/>
  <c r="I218" i="1"/>
  <c r="J218" i="1" s="1"/>
  <c r="K218" i="1"/>
  <c r="K130" i="1"/>
  <c r="I130" i="1"/>
  <c r="J130" i="1" s="1"/>
  <c r="I86" i="1"/>
  <c r="J86" i="1" s="1"/>
  <c r="K86" i="1"/>
  <c r="I6" i="1"/>
  <c r="J6" i="1" s="1"/>
  <c r="K351" i="1"/>
  <c r="I195" i="1"/>
  <c r="J195" i="1" s="1"/>
  <c r="K195" i="1"/>
  <c r="K107" i="1"/>
  <c r="I107" i="1"/>
  <c r="J107" i="1" s="1"/>
  <c r="K41" i="1"/>
  <c r="I41" i="1"/>
  <c r="J41" i="1" s="1"/>
  <c r="I5" i="1"/>
  <c r="J5" i="1" s="1"/>
  <c r="K350" i="1"/>
  <c r="I174" i="1"/>
  <c r="J174" i="1" s="1"/>
  <c r="K349" i="1"/>
  <c r="I173" i="1"/>
  <c r="J173" i="1" s="1"/>
  <c r="I19" i="1"/>
  <c r="J19" i="1" s="1"/>
  <c r="K175" i="1"/>
  <c r="K241" i="1"/>
  <c r="K109" i="1"/>
  <c r="I305" i="1"/>
  <c r="J305" i="1" s="1"/>
  <c r="I196" i="1"/>
  <c r="J196" i="1" s="1"/>
  <c r="K481" i="1"/>
  <c r="K42" i="1"/>
  <c r="I85" i="1"/>
  <c r="J85" i="1" s="1"/>
  <c r="I373" i="1"/>
  <c r="J373" i="1" s="1"/>
  <c r="K373" i="1"/>
  <c r="I329" i="1"/>
  <c r="J329" i="1" s="1"/>
  <c r="K329" i="1"/>
  <c r="I197" i="1"/>
  <c r="J197" i="1" s="1"/>
  <c r="K197" i="1"/>
  <c r="I43" i="1"/>
  <c r="J43" i="1" s="1"/>
  <c r="K43" i="1"/>
  <c r="K436" i="1"/>
  <c r="I436" i="1"/>
  <c r="J436" i="1" s="1"/>
  <c r="K216" i="1"/>
  <c r="I216" i="1"/>
  <c r="J216" i="1" s="1"/>
  <c r="K194" i="1"/>
  <c r="I194" i="1"/>
  <c r="J194" i="1" s="1"/>
  <c r="K62" i="1"/>
  <c r="I62" i="1"/>
  <c r="J62" i="1" s="1"/>
  <c r="I370" i="1"/>
  <c r="J370" i="1" s="1"/>
  <c r="I106" i="1"/>
  <c r="J106" i="1" s="1"/>
  <c r="I282" i="1"/>
  <c r="J282" i="1" s="1"/>
  <c r="I105" i="1"/>
  <c r="J105" i="1" s="1"/>
  <c r="K413" i="1"/>
  <c r="K412" i="1"/>
  <c r="I40" i="1"/>
  <c r="J40" i="1" s="1"/>
  <c r="K2" i="1"/>
</calcChain>
</file>

<file path=xl/sharedStrings.xml><?xml version="1.0" encoding="utf-8"?>
<sst xmlns="http://schemas.openxmlformats.org/spreadsheetml/2006/main" count="2573" uniqueCount="562">
  <si>
    <t>order_id</t>
  </si>
  <si>
    <t>order_date</t>
  </si>
  <si>
    <t>region</t>
  </si>
  <si>
    <t>category</t>
  </si>
  <si>
    <t>product</t>
  </si>
  <si>
    <t>customer_type</t>
  </si>
  <si>
    <t>revenue</t>
  </si>
  <si>
    <t>cost</t>
  </si>
  <si>
    <t>ORD101</t>
  </si>
  <si>
    <t>North</t>
  </si>
  <si>
    <t>Electronics</t>
  </si>
  <si>
    <t>Laptop</t>
  </si>
  <si>
    <t>New</t>
  </si>
  <si>
    <t>ORD102</t>
  </si>
  <si>
    <t>South</t>
  </si>
  <si>
    <t>Furniture</t>
  </si>
  <si>
    <t>Chair</t>
  </si>
  <si>
    <t>Returning</t>
  </si>
  <si>
    <t>ORD103</t>
  </si>
  <si>
    <t>West</t>
  </si>
  <si>
    <t>Mobile</t>
  </si>
  <si>
    <t>ORD104</t>
  </si>
  <si>
    <t>East</t>
  </si>
  <si>
    <t>Clothing</t>
  </si>
  <si>
    <t>Shirt</t>
  </si>
  <si>
    <t>ORD105</t>
  </si>
  <si>
    <t>Table</t>
  </si>
  <si>
    <t>ORD106</t>
  </si>
  <si>
    <t>ORD107</t>
  </si>
  <si>
    <t>Jeans</t>
  </si>
  <si>
    <t>ORD108</t>
  </si>
  <si>
    <t>ORD109</t>
  </si>
  <si>
    <t>Jacket</t>
  </si>
  <si>
    <t>ORD110</t>
  </si>
  <si>
    <t>Sofa</t>
  </si>
  <si>
    <t>ORD111</t>
  </si>
  <si>
    <t>Tablet</t>
  </si>
  <si>
    <t>ORD112</t>
  </si>
  <si>
    <t>Bed</t>
  </si>
  <si>
    <t>profit</t>
  </si>
  <si>
    <t>profit_margin</t>
  </si>
  <si>
    <t>Total Revenue</t>
  </si>
  <si>
    <t>Total Profit</t>
  </si>
  <si>
    <t>Total Orders</t>
  </si>
  <si>
    <t>KPI</t>
  </si>
  <si>
    <t>Category Performance</t>
  </si>
  <si>
    <t>Region</t>
  </si>
  <si>
    <t>Region Performance</t>
  </si>
  <si>
    <t>Trend Analysis</t>
  </si>
  <si>
    <t>Data_check</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</si>
  <si>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</si>
  <si>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</si>
  <si>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</si>
  <si>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</si>
  <si>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</si>
  <si>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</si>
  <si>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</si>
  <si>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</si>
  <si>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</si>
  <si>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</si>
  <si>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</si>
  <si>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</si>
  <si>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</si>
  <si>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</si>
  <si>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</si>
  <si>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</si>
  <si>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</si>
  <si>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</si>
  <si>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</si>
  <si>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</si>
  <si>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</si>
  <si>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</si>
  <si>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</si>
  <si>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</si>
  <si>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</si>
  <si>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</si>
  <si>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</si>
  <si>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</si>
  <si>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</si>
  <si>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</si>
  <si>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</si>
  <si>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</si>
  <si>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</si>
  <si>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</si>
  <si>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</si>
  <si>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</si>
  <si>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</si>
  <si>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</si>
  <si>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</si>
  <si>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</si>
  <si>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</si>
  <si>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</si>
  <si>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</si>
  <si>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</si>
  <si>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</si>
  <si>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</si>
  <si>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</si>
  <si>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</si>
  <si>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</si>
  <si>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</si>
  <si>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</si>
  <si>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</si>
  <si>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</si>
  <si>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</si>
  <si>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</si>
  <si>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</si>
  <si>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</si>
  <si>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</si>
  <si>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</si>
  <si>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</si>
  <si>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</si>
  <si>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</si>
  <si>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</si>
  <si>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</si>
  <si>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</si>
  <si>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</si>
  <si>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</si>
  <si>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</si>
  <si>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</si>
  <si>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</si>
  <si>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</si>
  <si>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</si>
  <si>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</si>
  <si>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</si>
  <si>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</si>
  <si>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</si>
  <si>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</si>
  <si>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</si>
  <si>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</si>
  <si>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</si>
  <si>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</si>
  <si>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</si>
  <si>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</si>
  <si>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</si>
  <si>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</si>
  <si>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</si>
  <si>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</si>
  <si>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</si>
  <si>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</si>
  <si>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</si>
  <si>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</si>
  <si>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</si>
  <si>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</si>
  <si>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</si>
  <si>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</si>
  <si>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</si>
  <si>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</si>
  <si>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</si>
  <si>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</si>
  <si>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</si>
  <si>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</si>
  <si>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</si>
  <si>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</si>
  <si>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</si>
  <si>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</si>
  <si>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</si>
  <si>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</si>
  <si>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</si>
  <si>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</si>
  <si>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</si>
  <si>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</si>
  <si>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</si>
  <si>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</si>
  <si>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</si>
  <si>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</si>
  <si>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</si>
  <si>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</si>
  <si>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</si>
  <si>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</si>
  <si>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</si>
  <si>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</si>
  <si>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</si>
  <si>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</si>
  <si>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</si>
  <si>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</si>
  <si>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</si>
  <si>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</si>
  <si>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</si>
  <si>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</si>
  <si>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</si>
  <si>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</si>
  <si>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</si>
  <si>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</si>
  <si>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</si>
  <si>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</si>
  <si>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</si>
  <si>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</si>
  <si>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</si>
  <si>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</si>
  <si>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</si>
  <si>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</si>
  <si>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</si>
  <si>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</si>
  <si>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</si>
  <si>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</si>
  <si>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</si>
  <si>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</si>
  <si>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</si>
  <si>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</si>
  <si>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</si>
  <si>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</si>
  <si>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</si>
  <si>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</si>
  <si>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</si>
  <si>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</si>
  <si>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</si>
  <si>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</si>
  <si>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</si>
  <si>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</si>
  <si>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</si>
  <si>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</si>
  <si>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</si>
  <si>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</si>
  <si>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</si>
  <si>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</si>
  <si>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</si>
  <si>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</si>
  <si>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</si>
  <si>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</si>
  <si>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</si>
  <si>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</si>
  <si>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</si>
  <si>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</si>
  <si>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</si>
  <si>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</si>
  <si>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</si>
  <si>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</si>
  <si>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</si>
  <si>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</si>
  <si>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</si>
  <si>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</si>
  <si>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</si>
  <si>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</si>
  <si>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</si>
  <si>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</si>
  <si>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</si>
  <si>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</si>
  <si>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</si>
  <si>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</si>
  <si>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</si>
  <si>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</si>
  <si>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</si>
  <si>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</si>
  <si>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</si>
  <si>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</si>
  <si>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</si>
  <si>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</si>
  <si>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</si>
  <si>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</si>
  <si>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</si>
  <si>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</si>
  <si>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</si>
  <si>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</si>
  <si>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</si>
  <si>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</si>
  <si>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</si>
  <si>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</si>
  <si>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</si>
  <si>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</si>
  <si>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</si>
  <si>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</si>
  <si>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</si>
  <si>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</si>
  <si>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</si>
  <si>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</si>
  <si>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</si>
  <si>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</si>
  <si>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</si>
  <si>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</si>
  <si>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</si>
  <si>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</si>
  <si>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</si>
  <si>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</si>
  <si>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</si>
  <si>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</si>
  <si>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</si>
  <si>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</si>
  <si>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</si>
  <si>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</si>
  <si>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</si>
  <si>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</si>
  <si>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</si>
  <si>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</si>
  <si>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</si>
  <si>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</si>
  <si>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</si>
  <si>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</si>
  <si>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</si>
  <si>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</si>
  <si>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</si>
  <si>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</si>
  <si>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</si>
  <si>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</si>
  <si>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</si>
  <si>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</si>
  <si>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</si>
  <si>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</si>
  <si>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</si>
  <si>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</si>
  <si>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</si>
  <si>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</si>
  <si>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</si>
  <si>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</si>
  <si>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</si>
  <si>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</si>
  <si>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</si>
  <si>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</si>
  <si>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</si>
  <si>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</si>
  <si>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</si>
  <si>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</si>
  <si>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</si>
  <si>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</si>
  <si>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</si>
  <si>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</si>
  <si>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</si>
  <si>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</si>
  <si>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</si>
  <si>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</si>
  <si>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</si>
  <si>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</si>
  <si>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</si>
  <si>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</si>
  <si>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</si>
  <si>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</si>
  <si>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</si>
  <si>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</si>
  <si>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</si>
  <si>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</si>
  <si>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</si>
  <si>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</si>
  <si>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</si>
  <si>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</si>
  <si>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</si>
  <si>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</si>
  <si>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</si>
  <si>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</si>
  <si>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</si>
  <si>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</si>
  <si>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</si>
  <si>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</si>
  <si>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</si>
  <si>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</si>
  <si>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</si>
  <si>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</si>
  <si>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</si>
  <si>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</si>
  <si>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</si>
  <si>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</si>
  <si>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</si>
  <si>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</si>
  <si>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</si>
  <si>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</si>
  <si>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</si>
  <si>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</si>
  <si>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</si>
  <si>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</si>
  <si>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</si>
  <si>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</si>
  <si>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</si>
  <si>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</si>
  <si>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</si>
  <si>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</si>
  <si>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</si>
  <si>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</si>
  <si>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</si>
  <si>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</si>
  <si>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</si>
  <si>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</si>
  <si>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</si>
  <si>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</si>
  <si>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</si>
  <si>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</si>
  <si>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</si>
  <si>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</si>
  <si>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</si>
  <si>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</si>
  <si>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</si>
  <si>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</si>
  <si>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</si>
  <si>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</si>
  <si>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</si>
  <si>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</si>
  <si>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</si>
  <si>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</si>
  <si>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</si>
  <si>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</si>
  <si>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</si>
  <si>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</si>
  <si>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</si>
  <si>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</si>
  <si>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</si>
  <si>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</si>
  <si>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</si>
  <si>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</si>
  <si>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</si>
  <si>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</si>
  <si>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</si>
  <si>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</si>
  <si>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</si>
  <si>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</si>
  <si>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</si>
  <si>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</si>
  <si>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</si>
  <si>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</si>
  <si>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</si>
  <si>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</si>
  <si>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</si>
  <si>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</si>
  <si>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</si>
  <si>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</si>
  <si>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</si>
  <si>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</si>
  <si>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</si>
  <si>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</si>
  <si>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</si>
  <si>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</si>
  <si>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</si>
  <si>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</si>
  <si>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</si>
  <si>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</si>
  <si>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</si>
  <si>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</si>
  <si>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</si>
  <si>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</si>
  <si>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</si>
  <si>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</si>
  <si>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</si>
  <si>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</si>
  <si>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</si>
  <si>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</si>
  <si>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</si>
  <si>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</si>
  <si>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</si>
  <si>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</si>
  <si>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</si>
  <si>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</si>
  <si>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</si>
  <si>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</si>
  <si>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</si>
  <si>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</si>
  <si>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</si>
  <si>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</si>
  <si>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</si>
  <si>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</si>
  <si>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</si>
  <si>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</si>
  <si>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</si>
  <si>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</si>
  <si>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</si>
  <si>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</si>
  <si>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</si>
  <si>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</si>
  <si>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</si>
  <si>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</si>
  <si>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</si>
  <si>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</si>
  <si>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</si>
  <si>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</si>
  <si>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</si>
  <si>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</si>
  <si>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</si>
  <si>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</si>
  <si>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</si>
  <si>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</si>
  <si>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</si>
  <si>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</si>
  <si>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</si>
  <si>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</si>
  <si>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</si>
  <si>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</si>
  <si>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</si>
  <si>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</si>
  <si>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</si>
  <si>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</si>
  <si>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</si>
  <si>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</si>
  <si>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</si>
  <si>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</si>
  <si>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</si>
  <si>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</si>
  <si>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</si>
  <si>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</si>
  <si>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</si>
  <si>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</si>
  <si>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</si>
  <si>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</si>
  <si>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</si>
  <si>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</si>
  <si>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</si>
  <si>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</si>
  <si>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</si>
  <si>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</si>
  <si>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</si>
  <si>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</si>
  <si>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</si>
  <si>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</si>
  <si>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</si>
  <si>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</si>
  <si>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</si>
  <si>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</si>
  <si>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</si>
  <si>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</si>
  <si>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</si>
  <si>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</si>
  <si>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</si>
  <si>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</si>
  <si>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</si>
  <si>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</si>
  <si>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</si>
  <si>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</si>
  <si>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</si>
  <si>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</si>
  <si>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</si>
  <si>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</si>
  <si>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</si>
  <si>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</si>
  <si>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</si>
  <si>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</si>
  <si>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</si>
  <si>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</si>
  <si>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</si>
  <si>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</si>
  <si>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</si>
  <si>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</si>
  <si>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</si>
  <si>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</si>
  <si>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</si>
  <si>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</si>
  <si>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</si>
  <si>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</si>
  <si>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</si>
  <si>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</si>
  <si>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</si>
  <si>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</si>
  <si>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</si>
  <si>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</si>
  <si>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Profit Margin (%)</t>
  </si>
  <si>
    <t>Product Performance</t>
  </si>
  <si>
    <t>Top 5 Products by Revenue</t>
  </si>
  <si>
    <t>Purpose:</t>
  </si>
  <si>
    <t>Sheet Overview:</t>
  </si>
  <si>
    <t>Key Metrics:</t>
  </si>
  <si>
    <t xml:space="preserve">Profit is calculated as revenue minus cost  
Excel Tables are used so data automatically expands when new rows are added  
Named ranges are used to calculate KPIs in a cleaner way  
Pivot tables are used for summarizing category and region performance  </t>
  </si>
  <si>
    <t>How to Use:</t>
  </si>
  <si>
    <t>E-Commerce Sales &amp; Profitability Dashboard Documentation</t>
  </si>
  <si>
    <t>This project is created as part of my data analytics learning journey to analyze e-commerce sales performance and profitability using Microsoft Excel.
The objective is to transform raw sales data into an interactive dashboard to support business decision-making.</t>
  </si>
  <si>
    <t xml:space="preserve">    </t>
  </si>
  <si>
    <t>Total Revenue: Total sales generated
Total Profit: Revenue minus cost
Total Orders: Number of transactions
Profit Margin (%): Profit divided by revenue</t>
  </si>
  <si>
    <r>
      <t>Dashboard:</t>
    </r>
    <r>
      <rPr>
        <sz val="12"/>
        <color theme="1"/>
        <rFont val="Calibri"/>
        <family val="2"/>
        <scheme val="minor"/>
      </rPr>
      <t xml:space="preserve"> Displays KPIs, charts, and insights for performance analysis</t>
    </r>
  </si>
  <si>
    <r>
      <t>Sales_Data:</t>
    </r>
    <r>
      <rPr>
        <sz val="12"/>
        <color theme="1"/>
        <rFont val="Calibri"/>
        <family val="2"/>
        <scheme val="minor"/>
      </rPr>
      <t xml:space="preserve"> Contains raw sales data in structured Excel table format</t>
    </r>
  </si>
  <si>
    <r>
      <t>Analysis:</t>
    </r>
    <r>
      <rPr>
        <sz val="12"/>
        <color theme="1"/>
        <rFont val="Calibri"/>
        <family val="2"/>
        <scheme val="minor"/>
      </rPr>
      <t xml:space="preserve"> Includes pivot tables for category, region, and product-level analysis</t>
    </r>
  </si>
  <si>
    <r>
      <t>Documentation:</t>
    </r>
    <r>
      <rPr>
        <sz val="12"/>
        <color theme="1"/>
        <rFont val="Calibri"/>
        <family val="2"/>
        <scheme val="minor"/>
      </rPr>
      <t xml:space="preserve"> Explains the structure, logic, and usage of the project</t>
    </r>
  </si>
  <si>
    <t>Logic Used:</t>
  </si>
  <si>
    <t xml:space="preserve">Excel Tables for dynamic data
Pivot Tables for analysis
GETPIVOTDATA for KPIs
Slicers for filtering </t>
  </si>
  <si>
    <t>Key Insights:</t>
  </si>
  <si>
    <t xml:space="preserve">  Electronics drives highest revenue
* Tablet &amp; Laptop are top products
* West is top region
* Sales peak mid-month</t>
  </si>
  <si>
    <t>Recommendations:</t>
  </si>
  <si>
    <t>* Focus on top products
* Improve margins
* Expand strong regions
* Use peak periods</t>
  </si>
  <si>
    <t>1. Open dashboard
2. Use slicers
3. View charts &amp; KPIs
4. Avoid editing formulas</t>
  </si>
  <si>
    <t>Note:</t>
  </si>
  <si>
    <t>Built as part of my data analytics learning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</si>
</sst>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8"/>
      <color theme="1"/>
      <name val="Calibri"/>
      <family val="2"/>
      <scheme val="minor"/>
    </font>
    <font>
      <sz val="8"/>
      <name val="Calibri"/>
      <family val="2"/>
      <scheme val="minor"/>
    </font>
    <font>
      <b/>
      <sz val="18"/>
      <color theme="1"/>
      <name val="Calibri"/>
      <family val="2"/>
      <scheme val="minor"/>
    </font>
    <font>
      <b/>
      <sz val="16"/>
      <color theme="1"/>
      <name val="Calibri"/>
      <family val="2"/>
      <scheme val="minor"/>
    </font>
    <font>
      <b/>
      <sz val="9"/>
      <color theme="1"/>
      <name val="Calibri"/>
      <family val="2"/>
      <scheme val="minor"/>
    </font>
    <font>
      <b/>
      <sz val="12"/>
      <color theme="1"/>
      <name val="Calibri"/>
      <family val="2"/>
      <scheme val="minor"/>
    </font>
    <font>
      <sz val="12"/>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5" tint="0.79998168889431442"/>
        <bgColor theme="5" tint="0.79998168889431442"/>
      </patternFill>
    </fill>
    <fill>
      <patternFill patternType="solid">
        <fgColor theme="2" tint="-0.499984740745262"/>
        <bgColor indexed="64"/>
      </patternFill>
    </fill>
    <fill>
      <patternFill patternType="solid">
        <fgColor theme="2" tint="-0.249977111117893"/>
        <bgColor indexed="64"/>
      </patternFill>
    </fill>
  </fills>
  <borders count="2">
    <border>
      <left/>
      <right/>
      <top/>
      <bottom/>
      <diagonal/>
    </border>
    <border>
      <left/>
      <right/>
      <top/>
      <bottom style="thin">
        <color theme="5" tint="0.39997558519241921"/>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3" fontId="3" fillId="0" borderId="0" xfId="0" applyNumberFormat="1" applyFont="1"/>
    <xf numFmtId="16" fontId="0" fillId="0" borderId="0" xfId="0" applyNumberFormat="1" applyAlignment="1">
      <alignment horizontal="left"/>
    </xf>
    <xf numFmtId="0" fontId="0" fillId="3" borderId="0" xfId="0" applyFill="1"/>
    <xf numFmtId="0" fontId="4" fillId="3" borderId="0" xfId="0" applyFont="1" applyFill="1"/>
    <xf numFmtId="0" fontId="2" fillId="2" borderId="0" xfId="0" applyFont="1" applyFill="1" applyAlignment="1">
      <alignment horizontal="center"/>
    </xf>
    <xf numFmtId="0" fontId="0" fillId="2" borderId="0" xfId="0" applyFill="1" applyAlignment="1">
      <alignment horizontal="center"/>
    </xf>
    <xf numFmtId="0" fontId="3" fillId="0" borderId="0" xfId="0" applyNumberFormat="1" applyFont="1"/>
    <xf numFmtId="9" fontId="3" fillId="0" borderId="0" xfId="1" applyFont="1"/>
    <xf numFmtId="0" fontId="6" fillId="0" borderId="0" xfId="0" pivotButton="1" applyFont="1"/>
    <xf numFmtId="0" fontId="6" fillId="0" borderId="0" xfId="0" applyFont="1"/>
    <xf numFmtId="0" fontId="6" fillId="0" borderId="0" xfId="0" applyFont="1" applyAlignment="1">
      <alignment horizontal="left"/>
    </xf>
    <xf numFmtId="3" fontId="6" fillId="0" borderId="0" xfId="0" applyNumberFormat="1" applyFont="1"/>
    <xf numFmtId="9" fontId="6" fillId="0" borderId="0" xfId="1" applyFont="1"/>
    <xf numFmtId="0" fontId="6" fillId="4" borderId="1" xfId="0" applyFont="1" applyFill="1" applyBorder="1"/>
    <xf numFmtId="0" fontId="7" fillId="5" borderId="0" xfId="0" applyFont="1" applyFill="1" applyAlignment="1">
      <alignment horizontal="center" wrapText="1"/>
    </xf>
    <xf numFmtId="0" fontId="2" fillId="6" borderId="0" xfId="0" applyFont="1" applyFill="1"/>
    <xf numFmtId="0" fontId="8" fillId="0" borderId="0" xfId="0" applyFont="1" applyAlignment="1">
      <alignment horizontal="center" vertical="top" wrapText="1"/>
    </xf>
    <xf numFmtId="0" fontId="2" fillId="0" borderId="0" xfId="0" applyFont="1"/>
    <xf numFmtId="0" fontId="8" fillId="3" borderId="0" xfId="0" applyFont="1" applyFill="1" applyAlignment="1">
      <alignmen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xf numFmtId="0" fontId="9" fillId="3" borderId="0" xfId="0" applyFont="1" applyFill="1" applyAlignment="1">
      <alignment vertical="top" wrapText="1"/>
    </xf>
    <xf numFmtId="0" fontId="2" fillId="0" borderId="0" xfId="0" applyFont="1" applyAlignment="1">
      <alignment horizontal="left" wrapText="1"/>
    </xf>
    <xf numFmtId="0" fontId="2" fillId="0" borderId="0" xfId="0" applyFont="1" applyAlignment="1">
      <alignment horizontal="left"/>
    </xf>
  </cellXfs>
  <cellStyles count="2">
    <cellStyle name="Normal" xfId="0" builtinId="0"/>
    <cellStyle name="Percent" xfId="1" builtinId="5"/>
  </cellStyles>
  <dxfs count="49">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font>
    </dxf>
    <dxf>
      <font>
        <b/>
      </font>
    </dxf>
    <dxf>
      <font>
        <b/>
      </font>
    </dxf>
    <dxf>
      <font>
        <b/>
      </font>
    </dxf>
    <dxf>
      <font>
        <b/>
      </font>
    </dxf>
    <dxf>
      <font>
        <sz val="18"/>
      </font>
    </dxf>
    <dxf>
      <font>
        <sz val="18"/>
      </font>
    </dxf>
    <dxf>
      <font>
        <sz val="18"/>
      </font>
    </dxf>
    <dxf>
      <font>
        <sz val="18"/>
      </font>
    </dxf>
    <dxf>
      <font>
        <sz val="18"/>
      </font>
    </dxf>
    <dxf>
      <numFmt numFmtId="3" formatCode="#,##0"/>
    </dxf>
    <dxf>
      <font>
        <sz val="18"/>
      </font>
    </dxf>
    <dxf>
      <font>
        <sz val="18"/>
      </font>
    </dxf>
    <dxf>
      <font>
        <sz val="18"/>
      </font>
    </dxf>
    <dxf>
      <font>
        <sz val="18"/>
      </font>
    </dxf>
    <dxf>
      <font>
        <sz val="18"/>
      </font>
    </dxf>
    <dxf>
      <font>
        <sz val="14"/>
      </font>
    </dxf>
    <dxf>
      <font>
        <b val="0"/>
      </font>
    </dxf>
    <dxf>
      <numFmt numFmtId="3" formatCode="#,##0"/>
    </dxf>
    <dxf>
      <font>
        <b/>
      </font>
    </dxf>
    <dxf>
      <font>
        <b/>
      </font>
    </dxf>
    <dxf>
      <font>
        <b/>
      </font>
    </dxf>
    <dxf>
      <font>
        <b/>
      </font>
    </dxf>
    <dxf>
      <font>
        <b/>
      </font>
    </dxf>
    <dxf>
      <font>
        <sz val="14"/>
      </font>
    </dxf>
    <dxf>
      <font>
        <b val="0"/>
      </font>
    </dxf>
    <dxf>
      <numFmt numFmtId="3" formatCode="#,##0"/>
    </dxf>
    <dxf>
      <numFmt numFmtId="3" formatCode="#,##0"/>
    </dxf>
    <dxf>
      <numFmt numFmtId="3" formatCode="#,##0"/>
    </dxf>
    <dxf>
      <numFmt numFmtId="3" formatCode="#,##0"/>
    </dxf>
    <dxf>
      <numFmt numFmtId="3" formatCode="#,##0"/>
    </dxf>
    <dxf>
      <numFmt numFmtId="3" formatCode="#,##0"/>
    </dxf>
    <dxf>
      <font>
        <b val="0"/>
      </font>
    </dxf>
    <dxf>
      <font>
        <sz val="14"/>
      </font>
    </dxf>
    <dxf>
      <numFmt numFmtId="21" formatCode="dd/mmm"/>
    </dxf>
    <dxf>
      <numFmt numFmtId="3" formatCode="#,##0"/>
    </dxf>
    <dxf>
      <font>
        <b val="0"/>
      </font>
    </dxf>
    <dxf>
      <font>
        <sz val="14"/>
      </font>
    </dxf>
    <dxf>
      <numFmt numFmtId="3" formatCode="#,##0"/>
    </dxf>
    <dxf>
      <numFmt numFmtId="3" formatCode="#,##0"/>
    </dxf>
    <dxf>
      <numFmt numFmtId="3" formatCode="#,##0"/>
    </dxf>
    <dxf>
      <font>
        <b val="0"/>
      </font>
    </dxf>
    <dxf>
      <font>
        <sz val="14"/>
      </font>
    </dxf>
    <dxf>
      <numFmt numFmtId="3" formatCode="#,##0"/>
    </dxf>
    <dxf>
      <numFmt numFmtId="3" formatCode="#,##0"/>
    </dxf>
    <dxf>
      <font>
        <b val="0"/>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[day60_ecommerce_profit_analysis.xlsx]pivot 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Trend (Feb 2025)</a:t>
            </a:r>
            <a:endParaRPr lang="en-US"/>
          </a:p>
        </c:rich>
      </c:tx>
      <c:layout>
        <c:manualLayout>
          <c:xMode val="edge"/>
          <c:yMode val="edge"/>
          <c:x val="0.24323967747337227"/>
          <c:y val="1.8512606793689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summary'!$C$23</c:f>
              <c:strCache>
                <c:ptCount val="1"/>
                <c:pt idx="0">
                  <c:v>Total</c:v>
                </c:pt>
              </c:strCache>
            </c:strRef>
          </c:tx>
          <c:spPr>
            <a:ln w="34925" cap="rnd">
              <a:solidFill>
                <a:schemeClr val="accent1"/>
              </a:solidFill>
              <a:round/>
            </a:ln>
            <a:effectLst/>
          </c:spPr>
          <c:marker>
            <c:symbol val="none"/>
          </c:marker>
          <c:cat>
            <c:strRef>
              <c:f>'pivot summary'!$B$24:$B$51</c:f>
              <c:strCache>
                <c:ptCount val="28"/>
                <c:pt idx="0">
                  <c:v>01-02-2025</c:v>
                </c:pt>
                <c:pt idx="1">
                  <c:v>02-02-2025</c:v>
                </c:pt>
                <c:pt idx="2">
                  <c:v>03-02-2025</c:v>
                </c:pt>
                <c:pt idx="3">
                  <c:v>04-02-2025</c:v>
                </c:pt>
                <c:pt idx="4">
                  <c:v>05-02-2025</c:v>
                </c:pt>
                <c:pt idx="5">
                  <c:v>06-02-2025</c:v>
                </c:pt>
                <c:pt idx="6">
                  <c:v>07-02-2025</c:v>
                </c:pt>
                <c:pt idx="7">
                  <c:v>08-02-2025</c:v>
                </c:pt>
                <c:pt idx="8">
                  <c:v>09-02-2025</c:v>
                </c:pt>
                <c:pt idx="9">
                  <c:v>10-02-2025</c:v>
                </c:pt>
                <c:pt idx="10">
                  <c:v>11-02-2025</c:v>
                </c:pt>
                <c:pt idx="11">
                  <c:v>12-02-2025</c:v>
                </c:pt>
                <c:pt idx="12">
                  <c:v>13-02-2025</c:v>
                </c:pt>
                <c:pt idx="13">
                  <c:v>14-02-2025</c:v>
                </c:pt>
                <c:pt idx="14">
                  <c:v>15-02-2025</c:v>
                </c:pt>
                <c:pt idx="15">
                  <c:v>16-02-2025</c:v>
                </c:pt>
                <c:pt idx="16">
                  <c:v>17-02-2025</c:v>
                </c:pt>
                <c:pt idx="17">
                  <c:v>18-02-2025</c:v>
                </c:pt>
                <c:pt idx="18">
                  <c:v>19-02-2025</c:v>
                </c:pt>
                <c:pt idx="19">
                  <c:v>20-02-2025</c:v>
                </c:pt>
                <c:pt idx="20">
                  <c:v>21-02-2025</c:v>
                </c:pt>
                <c:pt idx="21">
                  <c:v>22-02-2025</c:v>
                </c:pt>
                <c:pt idx="22">
                  <c:v>23-02-2025</c:v>
                </c:pt>
                <c:pt idx="23">
                  <c:v>24-02-2025</c:v>
                </c:pt>
                <c:pt idx="24">
                  <c:v>25-02-2025</c:v>
                </c:pt>
                <c:pt idx="25">
                  <c:v>26-02-2025</c:v>
                </c:pt>
                <c:pt idx="26">
                  <c:v>27-02-2025</c:v>
                </c:pt>
                <c:pt idx="27">
                  <c:v>28-02-2025</c:v>
                </c:pt>
              </c:strCache>
            </c:strRef>
          </c:cat>
          <c:val>
            <c:numRef>
              <c:f>'pivot summary'!$C$24:$C$51</c:f>
              <c:numCache>
                <c:formatCode>#,##0</c:formatCode>
                <c:ptCount val="28"/>
                <c:pt idx="0">
                  <c:v>860427</c:v>
                </c:pt>
                <c:pt idx="1">
                  <c:v>1008982</c:v>
                </c:pt>
                <c:pt idx="2">
                  <c:v>735337</c:v>
                </c:pt>
                <c:pt idx="3">
                  <c:v>902668</c:v>
                </c:pt>
                <c:pt idx="4">
                  <c:v>991604</c:v>
                </c:pt>
                <c:pt idx="5">
                  <c:v>1060362</c:v>
                </c:pt>
                <c:pt idx="6">
                  <c:v>732812</c:v>
                </c:pt>
                <c:pt idx="7">
                  <c:v>890522</c:v>
                </c:pt>
                <c:pt idx="8">
                  <c:v>995581</c:v>
                </c:pt>
                <c:pt idx="9">
                  <c:v>762562</c:v>
                </c:pt>
                <c:pt idx="10">
                  <c:v>1340525</c:v>
                </c:pt>
                <c:pt idx="11">
                  <c:v>947067</c:v>
                </c:pt>
                <c:pt idx="12">
                  <c:v>1064446</c:v>
                </c:pt>
                <c:pt idx="13">
                  <c:v>937639</c:v>
                </c:pt>
                <c:pt idx="14">
                  <c:v>999781</c:v>
                </c:pt>
                <c:pt idx="15">
                  <c:v>1380116</c:v>
                </c:pt>
                <c:pt idx="16">
                  <c:v>714044</c:v>
                </c:pt>
                <c:pt idx="17">
                  <c:v>1443790</c:v>
                </c:pt>
                <c:pt idx="18">
                  <c:v>976472</c:v>
                </c:pt>
                <c:pt idx="19">
                  <c:v>853152</c:v>
                </c:pt>
                <c:pt idx="20">
                  <c:v>665275</c:v>
                </c:pt>
                <c:pt idx="21">
                  <c:v>784553</c:v>
                </c:pt>
                <c:pt idx="22">
                  <c:v>883278</c:v>
                </c:pt>
                <c:pt idx="23">
                  <c:v>816580</c:v>
                </c:pt>
                <c:pt idx="24">
                  <c:v>907202</c:v>
                </c:pt>
                <c:pt idx="25">
                  <c:v>751168</c:v>
                </c:pt>
                <c:pt idx="26">
                  <c:v>777774</c:v>
                </c:pt>
                <c:pt idx="27">
                  <c:v>1021406</c:v>
                </c:pt>
              </c:numCache>
            </c:numRef>
          </c:val>
          <c:smooth val="0"/>
          <c:extLst>
            <c:ext xmlns:c16="http://schemas.microsoft.com/office/drawing/2014/chart" uri="{C3380CC4-5D6E-409C-BE32-E72D297353CC}">
              <c16:uniqueId val="{00000000-3CCA-4A20-BF59-AF8D21900F4B}"/>
            </c:ext>
          </c:extLst>
        </c:ser>
        <c:dLbls>
          <c:showLegendKey val="0"/>
          <c:showVal val="0"/>
          <c:showCatName val="0"/>
          <c:showSerName val="0"/>
          <c:showPercent val="0"/>
          <c:showBubbleSize val="0"/>
        </c:dLbls>
        <c:smooth val="0"/>
        <c:axId val="896461871"/>
        <c:axId val="896461391"/>
      </c:lineChart>
      <c:dateAx>
        <c:axId val="896461871"/>
        <c:scaling>
          <c:orientation val="minMax"/>
        </c:scaling>
        <c:delete val="0"/>
        <c:axPos val="b"/>
        <c:numFmt formatCode="[$-14009]dd\ m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61391"/>
        <c:crosses val="autoZero"/>
        <c:auto val="0"/>
        <c:lblOffset val="100"/>
        <c:baseTimeUnit val="days"/>
        <c:majorUnit val="2"/>
      </c:dateAx>
      <c:valAx>
        <c:axId val="896461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[day60_ecommerce_profit_analysis.xlsx]pivot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vs Profit by Category</a:t>
            </a:r>
            <a:endParaRPr lang="en-IN"/>
          </a:p>
        </c:rich>
      </c:tx>
      <c:layout>
        <c:manualLayout>
          <c:xMode val="edge"/>
          <c:yMode val="edge"/>
          <c:x val="0.165310777006582"/>
          <c:y val="5.6505428451298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summary'!$C$10</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summary'!$B$11:$B$13</c:f>
              <c:strCache>
                <c:ptCount val="3"/>
                <c:pt idx="0">
                  <c:v>Electronics</c:v>
                </c:pt>
                <c:pt idx="1">
                  <c:v>Clothing</c:v>
                </c:pt>
                <c:pt idx="2">
                  <c:v>Furniture</c:v>
                </c:pt>
              </c:strCache>
            </c:strRef>
          </c:cat>
          <c:val>
            <c:numRef>
              <c:f>'pivot summary'!$C$11:$C$13</c:f>
              <c:numCache>
                <c:formatCode>#,##0</c:formatCode>
                <c:ptCount val="3"/>
                <c:pt idx="0">
                  <c:v>9370634</c:v>
                </c:pt>
                <c:pt idx="1">
                  <c:v>8436384</c:v>
                </c:pt>
                <c:pt idx="2">
                  <c:v>8398107</c:v>
                </c:pt>
              </c:numCache>
            </c:numRef>
          </c:val>
          <c:extLst>
            <c:ext xmlns:c16="http://schemas.microsoft.com/office/drawing/2014/chart" uri="{C3380CC4-5D6E-409C-BE32-E72D297353CC}">
              <c16:uniqueId val="{00000000-53CB-4E25-ABC6-6A084FF484A4}"/>
            </c:ext>
          </c:extLst>
        </c:ser>
        <c:ser>
          <c:idx val="1"/>
          <c:order val="1"/>
          <c:tx>
            <c:strRef>
              <c:f>'pivot summary'!$D$10</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summary'!$B$11:$B$13</c:f>
              <c:strCache>
                <c:ptCount val="3"/>
                <c:pt idx="0">
                  <c:v>Electronics</c:v>
                </c:pt>
                <c:pt idx="1">
                  <c:v>Clothing</c:v>
                </c:pt>
                <c:pt idx="2">
                  <c:v>Furniture</c:v>
                </c:pt>
              </c:strCache>
            </c:strRef>
          </c:cat>
          <c:val>
            <c:numRef>
              <c:f>'pivot summary'!$D$11:$D$13</c:f>
              <c:numCache>
                <c:formatCode>#,##0</c:formatCode>
                <c:ptCount val="3"/>
                <c:pt idx="0">
                  <c:v>2888695</c:v>
                </c:pt>
                <c:pt idx="1">
                  <c:v>2567568</c:v>
                </c:pt>
                <c:pt idx="2">
                  <c:v>2518662</c:v>
                </c:pt>
              </c:numCache>
            </c:numRef>
          </c:val>
          <c:extLst>
            <c:ext xmlns:c16="http://schemas.microsoft.com/office/drawing/2014/chart" uri="{C3380CC4-5D6E-409C-BE32-E72D297353CC}">
              <c16:uniqueId val="{00000001-53CB-4E25-ABC6-6A084FF484A4}"/>
            </c:ext>
          </c:extLst>
        </c:ser>
        <c:dLbls>
          <c:showLegendKey val="0"/>
          <c:showVal val="0"/>
          <c:showCatName val="0"/>
          <c:showSerName val="0"/>
          <c:showPercent val="0"/>
          <c:showBubbleSize val="0"/>
        </c:dLbls>
        <c:gapWidth val="182"/>
        <c:axId val="896398031"/>
        <c:axId val="896400911"/>
      </c:barChart>
      <c:catAx>
        <c:axId val="896398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00911"/>
        <c:crosses val="autoZero"/>
        <c:auto val="1"/>
        <c:lblAlgn val="ctr"/>
        <c:lblOffset val="100"/>
        <c:noMultiLvlLbl val="0"/>
      </c:catAx>
      <c:valAx>
        <c:axId val="8964009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[day60_ecommerce_profit_analysis.xlsx]pivot summary!PivotTable3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vs Profit by Region</a:t>
            </a:r>
          </a:p>
          <a:p>
            <a:pPr>
              <a:defRPr/>
            </a:pP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3952531214671"/>
          <c:y val="0.31483105562560393"/>
          <c:w val="0.50272313494402587"/>
          <c:h val="0.53313373500043237"/>
        </c:manualLayout>
      </c:layout>
      <c:barChart>
        <c:barDir val="col"/>
        <c:grouping val="clustered"/>
        <c:varyColors val="0"/>
        <c:ser>
          <c:idx val="0"/>
          <c:order val="0"/>
          <c:tx>
            <c:strRef>
              <c:f>'pivot summary'!$C$16</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summary'!$B$17:$B$20</c:f>
              <c:strCache>
                <c:ptCount val="4"/>
                <c:pt idx="0">
                  <c:v>West</c:v>
                </c:pt>
                <c:pt idx="1">
                  <c:v>North</c:v>
                </c:pt>
                <c:pt idx="2">
                  <c:v>East</c:v>
                </c:pt>
                <c:pt idx="3">
                  <c:v>South</c:v>
                </c:pt>
              </c:strCache>
            </c:strRef>
          </c:cat>
          <c:val>
            <c:numRef>
              <c:f>'pivot summary'!$C$17:$C$20</c:f>
              <c:numCache>
                <c:formatCode>#,##0</c:formatCode>
                <c:ptCount val="4"/>
                <c:pt idx="0">
                  <c:v>7211864</c:v>
                </c:pt>
                <c:pt idx="1">
                  <c:v>6874364</c:v>
                </c:pt>
                <c:pt idx="2">
                  <c:v>6119972</c:v>
                </c:pt>
                <c:pt idx="3">
                  <c:v>5998925</c:v>
                </c:pt>
              </c:numCache>
            </c:numRef>
          </c:val>
          <c:extLst>
            <c:ext xmlns:c16="http://schemas.microsoft.com/office/drawing/2014/chart" uri="{C3380CC4-5D6E-409C-BE32-E72D297353CC}">
              <c16:uniqueId val="{00000000-EC93-4082-BEB5-ED3F468FBFFA}"/>
            </c:ext>
          </c:extLst>
        </c:ser>
        <c:ser>
          <c:idx val="1"/>
          <c:order val="1"/>
          <c:tx>
            <c:strRef>
              <c:f>'pivot summary'!$D$16</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summary'!$B$17:$B$20</c:f>
              <c:strCache>
                <c:ptCount val="4"/>
                <c:pt idx="0">
                  <c:v>West</c:v>
                </c:pt>
                <c:pt idx="1">
                  <c:v>North</c:v>
                </c:pt>
                <c:pt idx="2">
                  <c:v>East</c:v>
                </c:pt>
                <c:pt idx="3">
                  <c:v>South</c:v>
                </c:pt>
              </c:strCache>
            </c:strRef>
          </c:cat>
          <c:val>
            <c:numRef>
              <c:f>'pivot summary'!$D$17:$D$20</c:f>
              <c:numCache>
                <c:formatCode>General</c:formatCode>
                <c:ptCount val="4"/>
                <c:pt idx="0">
                  <c:v>2128383</c:v>
                </c:pt>
                <c:pt idx="1">
                  <c:v>2072495</c:v>
                </c:pt>
                <c:pt idx="2">
                  <c:v>1889872</c:v>
                </c:pt>
                <c:pt idx="3">
                  <c:v>1884175</c:v>
                </c:pt>
              </c:numCache>
            </c:numRef>
          </c:val>
          <c:extLst>
            <c:ext xmlns:c16="http://schemas.microsoft.com/office/drawing/2014/chart" uri="{C3380CC4-5D6E-409C-BE32-E72D297353CC}">
              <c16:uniqueId val="{00000001-EC93-4082-BEB5-ED3F468FBFFA}"/>
            </c:ext>
          </c:extLst>
        </c:ser>
        <c:dLbls>
          <c:dLblPos val="outEnd"/>
          <c:showLegendKey val="0"/>
          <c:showVal val="1"/>
          <c:showCatName val="0"/>
          <c:showSerName val="0"/>
          <c:showPercent val="0"/>
          <c:showBubbleSize val="0"/>
        </c:dLbls>
        <c:gapWidth val="219"/>
        <c:overlap val="-27"/>
        <c:axId val="896418191"/>
        <c:axId val="896434991"/>
      </c:barChart>
      <c:catAx>
        <c:axId val="89641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34991"/>
        <c:crosses val="autoZero"/>
        <c:auto val="1"/>
        <c:lblAlgn val="ctr"/>
        <c:lblOffset val="100"/>
        <c:noMultiLvlLbl val="0"/>
      </c:catAx>
      <c:valAx>
        <c:axId val="896434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[day60_ecommerce_profit_analysis.xlsx]pivot summary!PivotTable4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Trend (Feb 2025)</a:t>
            </a:r>
            <a:endParaRPr lang="en-US"/>
          </a:p>
        </c:rich>
      </c:tx>
      <c:layout>
        <c:manualLayout>
          <c:xMode val="edge"/>
          <c:yMode val="edge"/>
          <c:x val="0.42126092078271116"/>
          <c:y val="1.85124341471704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7834035031762E-2"/>
          <c:y val="0.14630387323119975"/>
          <c:w val="0.95488247890738687"/>
          <c:h val="0.76563667575732286"/>
        </c:manualLayout>
      </c:layout>
      <c:lineChart>
        <c:grouping val="standard"/>
        <c:varyColors val="0"/>
        <c:ser>
          <c:idx val="0"/>
          <c:order val="0"/>
          <c:tx>
            <c:strRef>
              <c:f>'pivot summary'!$C$23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summary'!$B$24:$B$51</c:f>
              <c:strCache>
                <c:ptCount val="28"/>
                <c:pt idx="0">
                  <c:v>01-02-2025</c:v>
                </c:pt>
                <c:pt idx="1">
                  <c:v>02-02-2025</c:v>
                </c:pt>
                <c:pt idx="2">
                  <c:v>03-02-2025</c:v>
                </c:pt>
                <c:pt idx="3">
                  <c:v>04-02-2025</c:v>
                </c:pt>
                <c:pt idx="4">
                  <c:v>05-02-2025</c:v>
                </c:pt>
                <c:pt idx="5">
                  <c:v>06-02-2025</c:v>
                </c:pt>
                <c:pt idx="6">
                  <c:v>07-02-2025</c:v>
                </c:pt>
                <c:pt idx="7">
                  <c:v>08-02-2025</c:v>
                </c:pt>
                <c:pt idx="8">
                  <c:v>09-02-2025</c:v>
                </c:pt>
                <c:pt idx="9">
                  <c:v>10-02-2025</c:v>
                </c:pt>
                <c:pt idx="10">
                  <c:v>11-02-2025</c:v>
                </c:pt>
                <c:pt idx="11">
                  <c:v>12-02-2025</c:v>
                </c:pt>
                <c:pt idx="12">
                  <c:v>13-02-2025</c:v>
                </c:pt>
                <c:pt idx="13">
                  <c:v>14-02-2025</c:v>
                </c:pt>
                <c:pt idx="14">
                  <c:v>15-02-2025</c:v>
                </c:pt>
                <c:pt idx="15">
                  <c:v>16-02-2025</c:v>
                </c:pt>
                <c:pt idx="16">
                  <c:v>17-02-2025</c:v>
                </c:pt>
                <c:pt idx="17">
                  <c:v>18-02-2025</c:v>
                </c:pt>
                <c:pt idx="18">
                  <c:v>19-02-2025</c:v>
                </c:pt>
                <c:pt idx="19">
                  <c:v>20-02-2025</c:v>
                </c:pt>
                <c:pt idx="20">
                  <c:v>21-02-2025</c:v>
                </c:pt>
                <c:pt idx="21">
                  <c:v>22-02-2025</c:v>
                </c:pt>
                <c:pt idx="22">
                  <c:v>23-02-2025</c:v>
                </c:pt>
                <c:pt idx="23">
                  <c:v>24-02-2025</c:v>
                </c:pt>
                <c:pt idx="24">
                  <c:v>25-02-2025</c:v>
                </c:pt>
                <c:pt idx="25">
                  <c:v>26-02-2025</c:v>
                </c:pt>
                <c:pt idx="26">
                  <c:v>27-02-2025</c:v>
                </c:pt>
                <c:pt idx="27">
                  <c:v>28-02-2025</c:v>
                </c:pt>
              </c:strCache>
            </c:strRef>
          </c:cat>
          <c:val>
            <c:numRef>
              <c:f>'pivot summary'!$C$24:$C$51</c:f>
              <c:numCache>
                <c:formatCode>#,##0</c:formatCode>
                <c:ptCount val="28"/>
                <c:pt idx="0">
                  <c:v>860427</c:v>
                </c:pt>
                <c:pt idx="1">
                  <c:v>1008982</c:v>
                </c:pt>
                <c:pt idx="2">
                  <c:v>735337</c:v>
                </c:pt>
                <c:pt idx="3">
                  <c:v>902668</c:v>
                </c:pt>
                <c:pt idx="4">
                  <c:v>991604</c:v>
                </c:pt>
                <c:pt idx="5">
                  <c:v>1060362</c:v>
                </c:pt>
                <c:pt idx="6">
                  <c:v>732812</c:v>
                </c:pt>
                <c:pt idx="7">
                  <c:v>890522</c:v>
                </c:pt>
                <c:pt idx="8">
                  <c:v>995581</c:v>
                </c:pt>
                <c:pt idx="9">
                  <c:v>762562</c:v>
                </c:pt>
                <c:pt idx="10">
                  <c:v>1340525</c:v>
                </c:pt>
                <c:pt idx="11">
                  <c:v>947067</c:v>
                </c:pt>
                <c:pt idx="12">
                  <c:v>1064446</c:v>
                </c:pt>
                <c:pt idx="13">
                  <c:v>937639</c:v>
                </c:pt>
                <c:pt idx="14">
                  <c:v>999781</c:v>
                </c:pt>
                <c:pt idx="15">
                  <c:v>1380116</c:v>
                </c:pt>
                <c:pt idx="16">
                  <c:v>714044</c:v>
                </c:pt>
                <c:pt idx="17">
                  <c:v>1443790</c:v>
                </c:pt>
                <c:pt idx="18">
                  <c:v>976472</c:v>
                </c:pt>
                <c:pt idx="19">
                  <c:v>853152</c:v>
                </c:pt>
                <c:pt idx="20">
                  <c:v>665275</c:v>
                </c:pt>
                <c:pt idx="21">
                  <c:v>784553</c:v>
                </c:pt>
                <c:pt idx="22">
                  <c:v>883278</c:v>
                </c:pt>
                <c:pt idx="23">
                  <c:v>816580</c:v>
                </c:pt>
                <c:pt idx="24">
                  <c:v>907202</c:v>
                </c:pt>
                <c:pt idx="25">
                  <c:v>751168</c:v>
                </c:pt>
                <c:pt idx="26">
                  <c:v>777774</c:v>
                </c:pt>
                <c:pt idx="27">
                  <c:v>1021406</c:v>
                </c:pt>
              </c:numCache>
            </c:numRef>
          </c:val>
          <c:smooth val="0"/>
          <c:extLst>
            <c:ext xmlns:c16="http://schemas.microsoft.com/office/drawing/2014/chart" uri="{C3380CC4-5D6E-409C-BE32-E72D297353CC}">
              <c16:uniqueId val="{00000000-5439-44A7-A2F9-D18AFC18E638}"/>
            </c:ext>
          </c:extLst>
        </c:ser>
        <c:dLbls>
          <c:dLblPos val="ctr"/>
          <c:showLegendKey val="0"/>
          <c:showVal val="1"/>
          <c:showCatName val="0"/>
          <c:showSerName val="0"/>
          <c:showPercent val="0"/>
          <c:showBubbleSize val="0"/>
        </c:dLbls>
        <c:marker val="1"/>
        <c:smooth val="0"/>
        <c:axId val="896461871"/>
        <c:axId val="896461391"/>
      </c:lineChart>
      <c:dateAx>
        <c:axId val="896461871"/>
        <c:scaling>
          <c:orientation val="minMax"/>
        </c:scaling>
        <c:delete val="0"/>
        <c:axPos val="b"/>
        <c:numFmt formatCode="[$-14009]dd\ mmmm\ yyyy;@"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896461391"/>
        <c:crosses val="autoZero"/>
        <c:auto val="0"/>
        <c:lblOffset val="100"/>
        <c:baseTimeUnit val="days"/>
        <c:majorUnit val="2"/>
      </c:dateAx>
      <c:valAx>
        <c:axId val="8964613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8964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[day60_ecommerce_profit_analysis.xlsx]pivot summary!PivotTable2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vs 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summary'!$C$10</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summary'!$B$11:$B$13</c:f>
              <c:strCache>
                <c:ptCount val="3"/>
                <c:pt idx="0">
                  <c:v>Electronics</c:v>
                </c:pt>
                <c:pt idx="1">
                  <c:v>Clothing</c:v>
                </c:pt>
                <c:pt idx="2">
                  <c:v>Furniture</c:v>
                </c:pt>
              </c:strCache>
            </c:strRef>
          </c:cat>
          <c:val>
            <c:numRef>
              <c:f>'pivot summary'!$C$11:$C$13</c:f>
              <c:numCache>
                <c:formatCode>#,##0</c:formatCode>
                <c:ptCount val="3"/>
                <c:pt idx="0">
                  <c:v>9370634</c:v>
                </c:pt>
                <c:pt idx="1">
                  <c:v>8436384</c:v>
                </c:pt>
                <c:pt idx="2">
                  <c:v>8398107</c:v>
                </c:pt>
              </c:numCache>
            </c:numRef>
          </c:val>
          <c:extLst>
            <c:ext xmlns:c16="http://schemas.microsoft.com/office/drawing/2014/chart" uri="{C3380CC4-5D6E-409C-BE32-E72D297353CC}">
              <c16:uniqueId val="{00000000-8422-460D-944E-F5F8C5CC5903}"/>
            </c:ext>
          </c:extLst>
        </c:ser>
        <c:ser>
          <c:idx val="1"/>
          <c:order val="1"/>
          <c:tx>
            <c:strRef>
              <c:f>'pivot summary'!$D$10</c:f>
              <c:strCache>
                <c:ptCount val="1"/>
                <c:pt idx="0">
                  <c:v>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summary'!$B$11:$B$13</c:f>
              <c:strCache>
                <c:ptCount val="3"/>
                <c:pt idx="0">
                  <c:v>Electronics</c:v>
                </c:pt>
                <c:pt idx="1">
                  <c:v>Clothing</c:v>
                </c:pt>
                <c:pt idx="2">
                  <c:v>Furniture</c:v>
                </c:pt>
              </c:strCache>
            </c:strRef>
          </c:cat>
          <c:val>
            <c:numRef>
              <c:f>'pivot summary'!$D$11:$D$13</c:f>
              <c:numCache>
                <c:formatCode>#,##0</c:formatCode>
                <c:ptCount val="3"/>
                <c:pt idx="0">
                  <c:v>2888695</c:v>
                </c:pt>
                <c:pt idx="1">
                  <c:v>2567568</c:v>
                </c:pt>
                <c:pt idx="2">
                  <c:v>2518662</c:v>
                </c:pt>
              </c:numCache>
            </c:numRef>
          </c:val>
          <c:extLst>
            <c:ext xmlns:c16="http://schemas.microsoft.com/office/drawing/2014/chart" uri="{C3380CC4-5D6E-409C-BE32-E72D297353CC}">
              <c16:uniqueId val="{00000001-8422-460D-944E-F5F8C5CC5903}"/>
            </c:ext>
          </c:extLst>
        </c:ser>
        <c:dLbls>
          <c:dLblPos val="inEnd"/>
          <c:showLegendKey val="0"/>
          <c:showVal val="1"/>
          <c:showCatName val="0"/>
          <c:showSerName val="0"/>
          <c:showPercent val="0"/>
          <c:showBubbleSize val="0"/>
        </c:dLbls>
        <c:gapWidth val="115"/>
        <c:overlap val="-20"/>
        <c:axId val="896398031"/>
        <c:axId val="896400911"/>
      </c:barChart>
      <c:catAx>
        <c:axId val="896398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896400911"/>
        <c:crosses val="autoZero"/>
        <c:auto val="1"/>
        <c:lblAlgn val="ctr"/>
        <c:lblOffset val="100"/>
        <c:noMultiLvlLbl val="0"/>
      </c:catAx>
      <c:valAx>
        <c:axId val="89640091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[day60_ecommerce_profit_analysis.xlsx]pivot summary!PivotTable3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vs Profit by Region</a:t>
            </a:r>
          </a:p>
          <a:p>
            <a:pPr>
              <a:defRPr/>
            </a:pPr>
            <a:endParaRPr lang="en-IN"/>
          </a:p>
        </c:rich>
      </c:tx>
      <c:layout>
        <c:manualLayout>
          <c:xMode val="edge"/>
          <c:yMode val="edge"/>
          <c:x val="0.19006183697761789"/>
          <c:y val="2.67180176212689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3952531214671"/>
          <c:y val="0.31483105562560393"/>
          <c:w val="0.77871098669151095"/>
          <c:h val="0.53313373500043237"/>
        </c:manualLayout>
      </c:layout>
      <c:barChart>
        <c:barDir val="col"/>
        <c:grouping val="clustered"/>
        <c:varyColors val="0"/>
        <c:ser>
          <c:idx val="0"/>
          <c:order val="0"/>
          <c:tx>
            <c:strRef>
              <c:f>'pivot summary'!$C$16</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summary'!$B$17:$B$20</c:f>
              <c:strCache>
                <c:ptCount val="4"/>
                <c:pt idx="0">
                  <c:v>West</c:v>
                </c:pt>
                <c:pt idx="1">
                  <c:v>North</c:v>
                </c:pt>
                <c:pt idx="2">
                  <c:v>East</c:v>
                </c:pt>
                <c:pt idx="3">
                  <c:v>South</c:v>
                </c:pt>
              </c:strCache>
            </c:strRef>
          </c:cat>
          <c:val>
            <c:numRef>
              <c:f>'pivot summary'!$C$17:$C$20</c:f>
              <c:numCache>
                <c:formatCode>#,##0</c:formatCode>
                <c:ptCount val="4"/>
                <c:pt idx="0">
                  <c:v>7211864</c:v>
                </c:pt>
                <c:pt idx="1">
                  <c:v>6874364</c:v>
                </c:pt>
                <c:pt idx="2">
                  <c:v>6119972</c:v>
                </c:pt>
                <c:pt idx="3">
                  <c:v>5998925</c:v>
                </c:pt>
              </c:numCache>
            </c:numRef>
          </c:val>
          <c:extLst>
            <c:ext xmlns:c16="http://schemas.microsoft.com/office/drawing/2014/chart" uri="{C3380CC4-5D6E-409C-BE32-E72D297353CC}">
              <c16:uniqueId val="{00000000-324B-42D5-88AE-13B112502F14}"/>
            </c:ext>
          </c:extLst>
        </c:ser>
        <c:ser>
          <c:idx val="1"/>
          <c:order val="1"/>
          <c:tx>
            <c:strRef>
              <c:f>'pivot summary'!$D$16</c:f>
              <c:strCache>
                <c:ptCount val="1"/>
                <c:pt idx="0">
                  <c:v>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summary'!$B$17:$B$20</c:f>
              <c:strCache>
                <c:ptCount val="4"/>
                <c:pt idx="0">
                  <c:v>West</c:v>
                </c:pt>
                <c:pt idx="1">
                  <c:v>North</c:v>
                </c:pt>
                <c:pt idx="2">
                  <c:v>East</c:v>
                </c:pt>
                <c:pt idx="3">
                  <c:v>South</c:v>
                </c:pt>
              </c:strCache>
            </c:strRef>
          </c:cat>
          <c:val>
            <c:numRef>
              <c:f>'pivot summary'!$D$17:$D$20</c:f>
              <c:numCache>
                <c:formatCode>General</c:formatCode>
                <c:ptCount val="4"/>
                <c:pt idx="0">
                  <c:v>2128383</c:v>
                </c:pt>
                <c:pt idx="1">
                  <c:v>2072495</c:v>
                </c:pt>
                <c:pt idx="2">
                  <c:v>1889872</c:v>
                </c:pt>
                <c:pt idx="3">
                  <c:v>1884175</c:v>
                </c:pt>
              </c:numCache>
            </c:numRef>
          </c:val>
          <c:extLst>
            <c:ext xmlns:c16="http://schemas.microsoft.com/office/drawing/2014/chart" uri="{C3380CC4-5D6E-409C-BE32-E72D297353CC}">
              <c16:uniqueId val="{00000001-324B-42D5-88AE-13B112502F14}"/>
            </c:ext>
          </c:extLst>
        </c:ser>
        <c:dLbls>
          <c:dLblPos val="inEnd"/>
          <c:showLegendKey val="0"/>
          <c:showVal val="1"/>
          <c:showCatName val="0"/>
          <c:showSerName val="0"/>
          <c:showPercent val="0"/>
          <c:showBubbleSize val="0"/>
        </c:dLbls>
        <c:gapWidth val="100"/>
        <c:overlap val="-24"/>
        <c:axId val="896418191"/>
        <c:axId val="896434991"/>
      </c:barChart>
      <c:catAx>
        <c:axId val="896418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434991"/>
        <c:crosses val="autoZero"/>
        <c:auto val="1"/>
        <c:lblAlgn val="ctr"/>
        <c:lblOffset val="100"/>
        <c:noMultiLvlLbl val="0"/>
      </c:catAx>
      <c:valAx>
        <c:axId val="8964349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89641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605001</xdr:colOff>
      <xdr:row>4</xdr:row>
      <xdr:rowOff>48545</xdr:rowOff>
    </xdr:from>
    <xdr:to>
      <xdr:col>7</xdr:col>
      <xdr:colOff>249095</xdr:colOff>
      <xdr:row>10</xdr:row>
      <xdr:rowOff>209157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18245B7-B40B-C799-4291-EE45071D7F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70803" y="832157"/>
              <a:ext cx="1838325" cy="1402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605003</xdr:colOff>
      <xdr:row>13</xdr:row>
      <xdr:rowOff>57018</xdr:rowOff>
    </xdr:from>
    <xdr:to>
      <xdr:col>7</xdr:col>
      <xdr:colOff>287197</xdr:colOff>
      <xdr:row>18</xdr:row>
      <xdr:rowOff>210207</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353123C-3145-0815-BFBE-C6524443B6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70805" y="2543897"/>
              <a:ext cx="1861185" cy="116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570253</xdr:colOff>
      <xdr:row>20</xdr:row>
      <xdr:rowOff>1511</xdr:rowOff>
    </xdr:from>
    <xdr:to>
      <xdr:col>7</xdr:col>
      <xdr:colOff>210537</xdr:colOff>
      <xdr:row>24</xdr:row>
      <xdr:rowOff>58661</xdr:rowOff>
    </xdr:to>
    <mc:AlternateContent xmlns:mc="http://schemas.openxmlformats.org/markup-compatibility/2006" xmlns:a14="http://schemas.microsoft.com/office/drawing/2010/main">
      <mc:Choice Requires="a14">
        <xdr:graphicFrame macro="">
          <xdr:nvGraphicFramePr>
            <xdr:cNvPr id="4" name="customer_type">
              <a:extLst>
                <a:ext uri="{FF2B5EF4-FFF2-40B4-BE49-F238E27FC236}">
                  <a16:creationId xmlns:a16="http://schemas.microsoft.com/office/drawing/2014/main" id="{6C8A1E36-2612-52C3-7A14-38241902E36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637960" y="3956028"/>
              <a:ext cx="1813560" cy="930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229913</xdr:colOff>
      <xdr:row>1</xdr:row>
      <xdr:rowOff>176442</xdr:rowOff>
    </xdr:from>
    <xdr:to>
      <xdr:col>14</xdr:col>
      <xdr:colOff>308741</xdr:colOff>
      <xdr:row>12</xdr:row>
      <xdr:rowOff>165275</xdr:rowOff>
    </xdr:to>
    <xdr:graphicFrame macro="">
      <xdr:nvGraphicFramePr>
        <xdr:cNvPr id="5" name="Chart 4">
          <a:extLst>
            <a:ext uri="{FF2B5EF4-FFF2-40B4-BE49-F238E27FC236}">
              <a16:creationId xmlns:a16="http://schemas.microsoft.com/office/drawing/2014/main" id="{5DED1CDC-C3A4-EAD6-B308-CFA95B34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306639</xdr:colOff>
      <xdr:row>23</xdr:row>
      <xdr:rowOff>140707</xdr:rowOff>
    </xdr:from>
    <xdr:to>
      <xdr:col>15</xdr:col>
      <xdr:colOff>2758</xdr:colOff>
      <xdr:row>35</xdr:row>
      <xdr:rowOff>86448</xdr:rowOff>
    </xdr:to>
    <xdr:graphicFrame macro="">
      <xdr:nvGraphicFramePr>
        <xdr:cNvPr id="7" name="Chart 6">
          <a:extLst>
            <a:ext uri="{FF2B5EF4-FFF2-40B4-BE49-F238E27FC236}">
              <a16:creationId xmlns:a16="http://schemas.microsoft.com/office/drawing/2014/main" id="{5B89AFBF-69B0-6D3B-BBC7-84A9DA5D4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390327</xdr:colOff>
      <xdr:row>13</xdr:row>
      <xdr:rowOff>34683</xdr:rowOff>
    </xdr:from>
    <xdr:to>
      <xdr:col>14</xdr:col>
      <xdr:colOff>433552</xdr:colOff>
      <xdr:row>23</xdr:row>
      <xdr:rowOff>20560</xdr:rowOff>
    </xdr:to>
    <xdr:graphicFrame macro="">
      <xdr:nvGraphicFramePr>
        <xdr:cNvPr id="8" name="Chart 7">
          <a:extLst>
            <a:ext uri="{FF2B5EF4-FFF2-40B4-BE49-F238E27FC236}">
              <a16:creationId xmlns:a16="http://schemas.microsoft.com/office/drawing/2014/main" id="{F339EE14-F961-0A0F-2742-DAB7A5F71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485087</xdr:colOff>
      <xdr:row>10</xdr:row>
      <xdr:rowOff>220677</xdr:rowOff>
    </xdr:from>
    <xdr:to>
      <xdr:col>26</xdr:col>
      <xdr:colOff>17690</xdr:colOff>
      <xdr:row>17</xdr:row>
      <xdr:rowOff>92369</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6A03866A-3C78-4181-B22E-76274088D4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315468" y="3035451"/>
              <a:ext cx="3103389" cy="1727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456081</xdr:colOff>
      <xdr:row>5</xdr:row>
      <xdr:rowOff>775304</xdr:rowOff>
    </xdr:from>
    <xdr:to>
      <xdr:col>26</xdr:col>
      <xdr:colOff>3538</xdr:colOff>
      <xdr:row>10</xdr:row>
      <xdr:rowOff>168730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F9358E3-B561-47FB-AF13-5B2307CBAA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288367" y="1663578"/>
              <a:ext cx="3112528" cy="1325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447512</xdr:colOff>
      <xdr:row>17</xdr:row>
      <xdr:rowOff>171899</xdr:rowOff>
    </xdr:from>
    <xdr:to>
      <xdr:col>26</xdr:col>
      <xdr:colOff>17689</xdr:colOff>
      <xdr:row>21</xdr:row>
      <xdr:rowOff>171899</xdr:rowOff>
    </xdr:to>
    <mc:AlternateContent xmlns:mc="http://schemas.openxmlformats.org/markup-compatibility/2006">
      <mc:Choice xmlns:a14="http://schemas.microsoft.com/office/drawing/2010/main" Requires="a14">
        <xdr:graphicFrame macro="">
          <xdr:nvGraphicFramePr>
            <xdr:cNvPr id="4" name="customer_type 1">
              <a:extLst>
                <a:ext uri="{FF2B5EF4-FFF2-40B4-BE49-F238E27FC236}">
                  <a16:creationId xmlns:a16="http://schemas.microsoft.com/office/drawing/2014/main" id="{84138A6E-AB0C-44D9-9372-5F9ACA0C5E41}"/>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9277893" y="4835339"/>
              <a:ext cx="3140963" cy="830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87310</xdr:colOff>
      <xdr:row>22</xdr:row>
      <xdr:rowOff>106952</xdr:rowOff>
    </xdr:from>
    <xdr:to>
      <xdr:col>28</xdr:col>
      <xdr:colOff>19323</xdr:colOff>
      <xdr:row>52</xdr:row>
      <xdr:rowOff>108857</xdr:rowOff>
    </xdr:to>
    <xdr:graphicFrame macro="">
      <xdr:nvGraphicFramePr>
        <xdr:cNvPr id="5" name="Chart 4">
          <a:extLst>
            <a:ext uri="{FF2B5EF4-FFF2-40B4-BE49-F238E27FC236}">
              <a16:creationId xmlns:a16="http://schemas.microsoft.com/office/drawing/2014/main" id="{CB69E9B4-3E92-418D-8A10-AB85D2FBB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40822</xdr:colOff>
      <xdr:row>5</xdr:row>
      <xdr:rowOff>740277</xdr:rowOff>
    </xdr:from>
    <xdr:to>
      <xdr:col>9</xdr:col>
      <xdr:colOff>1183821</xdr:colOff>
      <xdr:row>21</xdr:row>
      <xdr:rowOff>81643</xdr:rowOff>
    </xdr:to>
    <xdr:graphicFrame macro="">
      <xdr:nvGraphicFramePr>
        <xdr:cNvPr id="6" name="Chart 5">
          <a:extLst>
            <a:ext uri="{FF2B5EF4-FFF2-40B4-BE49-F238E27FC236}">
              <a16:creationId xmlns:a16="http://schemas.microsoft.com/office/drawing/2014/main" id="{411DE85B-7D05-46E2-BB09-BE5005222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93532</xdr:colOff>
      <xdr:row>5</xdr:row>
      <xdr:rowOff>806327</xdr:rowOff>
    </xdr:from>
    <xdr:to>
      <xdr:col>23</xdr:col>
      <xdr:colOff>258037</xdr:colOff>
      <xdr:row>21</xdr:row>
      <xdr:rowOff>135383</xdr:rowOff>
    </xdr:to>
    <xdr:graphicFrame macro="">
      <xdr:nvGraphicFramePr>
        <xdr:cNvPr id="7" name="Chart 6">
          <a:extLst>
            <a:ext uri="{FF2B5EF4-FFF2-40B4-BE49-F238E27FC236}">
              <a16:creationId xmlns:a16="http://schemas.microsoft.com/office/drawing/2014/main" id="{D82D819D-90EC-4BD2-9876-7933812A8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54430</xdr:colOff>
      <xdr:row>5</xdr:row>
      <xdr:rowOff>59615</xdr:rowOff>
    </xdr:from>
    <xdr:to>
      <xdr:col>27</xdr:col>
      <xdr:colOff>530679</xdr:colOff>
      <xdr:row>5</xdr:row>
      <xdr:rowOff>593687</xdr:rowOff>
    </xdr:to>
    <xdr:sp macro="" textlink="">
      <xdr:nvSpPr>
        <xdr:cNvPr id="8" name="TextBox 7">
          <a:extLst>
            <a:ext uri="{FF2B5EF4-FFF2-40B4-BE49-F238E27FC236}">
              <a16:creationId xmlns:a16="http://schemas.microsoft.com/office/drawing/2014/main" id="{11F5170F-C4FE-E810-12B6-D0E3E5C05EAF}"/>
            </a:ext>
          </a:extLst>
        </xdr:cNvPr>
        <xdr:cNvSpPr txBox="1"/>
      </xdr:nvSpPr>
      <xdr:spPr>
        <a:xfrm>
          <a:off x="1891394" y="944079"/>
          <a:ext cx="23934964" cy="534072"/>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accent2">
                  <a:lumMod val="60000"/>
                  <a:lumOff val="40000"/>
                </a:schemeClr>
              </a:solidFill>
            </a:rPr>
            <a:t>E-Commerce</a:t>
          </a:r>
          <a:r>
            <a:rPr lang="en-IN" sz="3200" b="1" baseline="0">
              <a:solidFill>
                <a:schemeClr val="accent2">
                  <a:lumMod val="60000"/>
                  <a:lumOff val="40000"/>
                </a:schemeClr>
              </a:solidFill>
            </a:rPr>
            <a:t> Sales &amp; Profitability </a:t>
          </a:r>
          <a:r>
            <a:rPr lang="en-IN" sz="3200" b="1">
              <a:solidFill>
                <a:schemeClr val="accent2">
                  <a:lumMod val="60000"/>
                  <a:lumOff val="40000"/>
                </a:schemeClr>
              </a:solidFill>
            </a:rPr>
            <a:t>Dashboard</a:t>
          </a:r>
        </a:p>
      </xdr:txBody>
    </xdr:sp>
    <xdr:clientData/>
  </xdr:twoCellAnchor>
  <xdr:twoCellAnchor>
    <xdr:from>
      <xdr:col>26</xdr:col>
      <xdr:colOff>64227</xdr:colOff>
      <xdr:row>5</xdr:row>
      <xdr:rowOff>740773</xdr:rowOff>
    </xdr:from>
    <xdr:to>
      <xdr:col>27</xdr:col>
      <xdr:colOff>503466</xdr:colOff>
      <xdr:row>22</xdr:row>
      <xdr:rowOff>0</xdr:rowOff>
    </xdr:to>
    <xdr:sp macro="" textlink="">
      <xdr:nvSpPr>
        <xdr:cNvPr id="9" name="TextBox 8">
          <a:extLst>
            <a:ext uri="{FF2B5EF4-FFF2-40B4-BE49-F238E27FC236}">
              <a16:creationId xmlns:a16="http://schemas.microsoft.com/office/drawing/2014/main" id="{7046D449-2CB4-84D4-F2F1-886CE7A531D8}"/>
            </a:ext>
          </a:extLst>
        </xdr:cNvPr>
        <xdr:cNvSpPr txBox="1"/>
      </xdr:nvSpPr>
      <xdr:spPr>
        <a:xfrm>
          <a:off x="23672620" y="1625237"/>
          <a:ext cx="3337560" cy="4048942"/>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 Key Insights:</a:t>
          </a:r>
        </a:p>
        <a:p>
          <a:r>
            <a:rPr lang="en-IN" sz="1600" b="1"/>
            <a:t>Electronics drives highest revenue </a:t>
          </a:r>
        </a:p>
        <a:p>
          <a:r>
            <a:rPr lang="en-IN" sz="1600" b="1"/>
            <a:t>Tablet &amp; Laptop are top-performing products </a:t>
          </a:r>
        </a:p>
        <a:p>
          <a:r>
            <a:rPr lang="en-IN" sz="1600" b="1"/>
            <a:t>West is the leading region </a:t>
          </a:r>
        </a:p>
        <a:p>
          <a:r>
            <a:rPr lang="en-IN" sz="1600" b="1"/>
            <a:t>Sales peak around mid-month</a:t>
          </a:r>
        </a:p>
        <a:p>
          <a:pPr marL="0" indent="0"/>
          <a:br>
            <a:rPr lang="en-IN" sz="1100"/>
          </a:br>
          <a:br>
            <a:rPr lang="en-IN" sz="1100"/>
          </a:br>
          <a:r>
            <a:rPr lang="en-IN" sz="2400" b="1">
              <a:solidFill>
                <a:schemeClr val="dk1"/>
              </a:solidFill>
              <a:latin typeface="+mn-lt"/>
              <a:ea typeface="+mn-ea"/>
              <a:cs typeface="+mn-cs"/>
            </a:rPr>
            <a:t>📌 Recommendations:</a:t>
          </a:r>
        </a:p>
        <a:p>
          <a:pPr marL="0" indent="0"/>
          <a:r>
            <a:rPr lang="en-IN" sz="1600" b="1">
              <a:solidFill>
                <a:schemeClr val="dk1"/>
              </a:solidFill>
              <a:latin typeface="+mn-lt"/>
              <a:ea typeface="+mn-ea"/>
              <a:cs typeface="+mn-cs"/>
            </a:rPr>
            <a:t>Focus on high-performing products </a:t>
          </a:r>
        </a:p>
        <a:p>
          <a:pPr marL="0" indent="0"/>
          <a:r>
            <a:rPr lang="en-IN" sz="1600" b="1">
              <a:solidFill>
                <a:schemeClr val="dk1"/>
              </a:solidFill>
              <a:latin typeface="+mn-lt"/>
              <a:ea typeface="+mn-ea"/>
              <a:cs typeface="+mn-cs"/>
            </a:rPr>
            <a:t>Improve margins in Electronics </a:t>
          </a:r>
        </a:p>
        <a:p>
          <a:pPr marL="0" indent="0"/>
          <a:r>
            <a:rPr lang="en-IN" sz="1600" b="1">
              <a:solidFill>
                <a:schemeClr val="dk1"/>
              </a:solidFill>
              <a:latin typeface="+mn-lt"/>
              <a:ea typeface="+mn-ea"/>
              <a:cs typeface="+mn-cs"/>
            </a:rPr>
            <a:t>Expand in top regions </a:t>
          </a:r>
        </a:p>
        <a:p>
          <a:pPr marL="0" indent="0"/>
          <a:r>
            <a:rPr lang="en-IN" sz="1600" b="1">
              <a:solidFill>
                <a:schemeClr val="dk1"/>
              </a:solidFill>
              <a:latin typeface="+mn-lt"/>
              <a:ea typeface="+mn-ea"/>
              <a:cs typeface="+mn-cs"/>
            </a:rPr>
            <a:t>Leverage mid-month sales spikes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8.441776157408" createdVersion="8" refreshedVersion="8" minRefreshableVersion="3" recordCount="499" xr:uid="{FC6B7C91-21FC-4BBA-8DC4-39178956557D}">
  <cacheSource type="worksheet">
    <worksheetSource name="sales_data"/>
  </cacheSource>
  <cacheFields count="11">
    <cacheField name="order_id" numFmtId="0">
      <sharedItems/>
    </cacheField>
    <cacheField name="order_date" numFmtId="14">
      <sharedItems containsSemiMixedTypes="0" containsNonDate="0" containsDate="1" containsString="0" minDate="2025-02-01T00:00:00" maxDate="2025-03-01T00:00:00" count="28">
        <d v="2025-02-12T00:00:00"/>
        <d v="2025-02-20T00:00:00"/>
        <d v="2025-02-11T00:00:00"/>
        <d v="2025-02-21T00:00:00"/>
        <d v="2025-02-27T00:00:00"/>
        <d v="2025-02-01T00:00:00"/>
        <d v="2025-02-19T00:00:00"/>
        <d v="2025-02-04T00:00:00"/>
        <d v="2025-02-03T00:00:00"/>
        <d v="2025-02-24T00:00:00"/>
        <d v="2025-02-10T00:00:00"/>
        <d v="2025-02-28T00:00:00"/>
        <d v="2025-02-26T00:00:00"/>
        <d v="2025-02-09T00:00:00"/>
        <d v="2025-02-18T00:00:00"/>
        <d v="2025-02-06T00:00:00"/>
        <d v="2025-02-16T00:00:00"/>
        <d v="2025-02-15T00:00:00"/>
        <d v="2025-02-22T00:00:00"/>
        <d v="2025-02-05T00:00:00"/>
        <d v="2025-02-02T00:00:00"/>
        <d v="2025-02-25T00:00:00"/>
        <d v="2025-02-07T00:00:00"/>
        <d v="2025-02-14T00:00:00"/>
        <d v="2025-02-23T00:00:00"/>
        <d v="2025-02-17T00:00:00"/>
        <d v="2025-02-13T00:00:00"/>
        <d v="2025-02-08T00:00:00"/>
      </sharedItems>
    </cacheField>
    <cacheField name="region" numFmtId="0">
      <sharedItems count="4">
        <s v="South"/>
        <s v="North"/>
        <s v="West"/>
        <s v="East"/>
      </sharedItems>
    </cacheField>
    <cacheField name="category" numFmtId="0">
      <sharedItems count="3">
        <s v="Clothing"/>
        <s v="Electronics"/>
        <s v="Furniture"/>
      </sharedItems>
    </cacheField>
    <cacheField name="product" numFmtId="0">
      <sharedItems count="10">
        <s v="Jeans"/>
        <s v="Shirt"/>
        <s v="Chair"/>
        <s v="Laptop"/>
        <s v="Bed"/>
        <s v="Tablet"/>
        <s v="Jacket"/>
        <s v="Sofa"/>
        <s v="Mobile"/>
        <s v="Table"/>
      </sharedItems>
    </cacheField>
    <cacheField name="customer_type" numFmtId="0">
      <sharedItems count="2">
        <s v="Returning"/>
        <s v="New"/>
      </sharedItems>
    </cacheField>
    <cacheField name="revenue" numFmtId="0">
      <sharedItems containsSemiMixedTypes="0" containsString="0" containsNumber="1" containsInteger="1" minValue="5012" maxValue="99874"/>
    </cacheField>
    <cacheField name="cost" numFmtId="0">
      <sharedItems containsSemiMixedTypes="0" containsString="0" containsNumber="1" containsInteger="1" minValue="3408" maxValue="78790"/>
    </cacheField>
    <cacheField name="profit" numFmtId="0">
      <sharedItems containsSemiMixedTypes="0" containsString="0" containsNumber="1" containsInteger="1" minValue="1169" maxValue="38656"/>
    </cacheField>
    <cacheField name="profit_margin" numFmtId="9">
      <sharedItems containsSemiMixedTypes="0" containsString="0" containsNumber="1" minValue="0.19993158884898238" maxValue="0.40001591153188271"/>
    </cacheField>
    <cacheField name="Data_check" numFmtId="0">
      <sharedItems/>
    </cacheField>
  </cacheFields>
  <extLst>
    <ext xmlns:x14="http://schemas.microsoft.com/office/spreadsheetml/2009/9/main" uri="{725AE2AE-9491-48be-B2B4-4EB974FC3084}">
      <x14:pivotCacheDefinition pivotCacheId="337190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ORD001"/>
    <x v="0"/>
    <x v="0"/>
    <x v="0"/>
    <x v="0"/>
    <x v="0"/>
    <n v="49980"/>
    <n v="33986"/>
    <n v="15994"/>
    <n v="0.32000800320128053"/>
    <s v="OK"/>
  </r>
  <r>
    <s v="ORD002"/>
    <x v="1"/>
    <x v="0"/>
    <x v="1"/>
    <x v="1"/>
    <x v="1"/>
    <n v="81933"/>
    <n v="52437"/>
    <n v="29496"/>
    <n v="0.36000146461132876"/>
    <s v="OK"/>
  </r>
  <r>
    <s v="ORD003"/>
    <x v="2"/>
    <x v="1"/>
    <x v="1"/>
    <x v="2"/>
    <x v="1"/>
    <n v="82508"/>
    <n v="52805"/>
    <n v="29703"/>
    <n v="0.36000145440442138"/>
    <s v="OK"/>
  </r>
  <r>
    <s v="ORD004"/>
    <x v="3"/>
    <x v="2"/>
    <x v="0"/>
    <x v="1"/>
    <x v="0"/>
    <n v="76439"/>
    <n v="58094"/>
    <n v="18345"/>
    <n v="0.23999529036224965"/>
    <s v="OK"/>
  </r>
  <r>
    <s v="ORD005"/>
    <x v="4"/>
    <x v="3"/>
    <x v="2"/>
    <x v="3"/>
    <x v="1"/>
    <n v="84174"/>
    <n v="63972"/>
    <n v="20202"/>
    <n v="0.24000285123672394"/>
    <s v="OK"/>
  </r>
  <r>
    <s v="ORD006"/>
    <x v="5"/>
    <x v="0"/>
    <x v="1"/>
    <x v="4"/>
    <x v="0"/>
    <n v="14678"/>
    <n v="9394"/>
    <n v="5284"/>
    <n v="0.35999454966616706"/>
    <s v="OK"/>
  </r>
  <r>
    <s v="ORD007"/>
    <x v="6"/>
    <x v="1"/>
    <x v="1"/>
    <x v="4"/>
    <x v="1"/>
    <n v="12017"/>
    <n v="7811"/>
    <n v="4206"/>
    <n v="0.35000416077223934"/>
    <s v="OK"/>
  </r>
  <r>
    <s v="ORD008"/>
    <x v="7"/>
    <x v="1"/>
    <x v="1"/>
    <x v="5"/>
    <x v="0"/>
    <n v="29313"/>
    <n v="21105"/>
    <n v="8208"/>
    <n v="0.28001228124040528"/>
    <s v="OK"/>
  </r>
  <r>
    <s v="ORD009"/>
    <x v="8"/>
    <x v="1"/>
    <x v="2"/>
    <x v="3"/>
    <x v="0"/>
    <n v="58620"/>
    <n v="44551"/>
    <n v="14069"/>
    <n v="0.24000341180484477"/>
    <s v="OK"/>
  </r>
  <r>
    <s v="ORD010"/>
    <x v="9"/>
    <x v="2"/>
    <x v="0"/>
    <x v="6"/>
    <x v="1"/>
    <n v="10033"/>
    <n v="8026"/>
    <n v="2007"/>
    <n v="0.20003986843416724"/>
    <s v="OK"/>
  </r>
  <r>
    <s v="ORD011"/>
    <x v="10"/>
    <x v="2"/>
    <x v="2"/>
    <x v="5"/>
    <x v="1"/>
    <n v="99734"/>
    <n v="78790"/>
    <n v="20944"/>
    <n v="0.20999859626606773"/>
    <s v="OK"/>
  </r>
  <r>
    <s v="ORD012"/>
    <x v="10"/>
    <x v="1"/>
    <x v="0"/>
    <x v="0"/>
    <x v="0"/>
    <n v="93843"/>
    <n v="71321"/>
    <n v="22522"/>
    <n v="0.23999659004933771"/>
    <s v="OK"/>
  </r>
  <r>
    <s v="ORD013"/>
    <x v="11"/>
    <x v="0"/>
    <x v="0"/>
    <x v="7"/>
    <x v="1"/>
    <n v="56144"/>
    <n v="33686"/>
    <n v="22458"/>
    <n v="0.40000712453690512"/>
    <s v="OK"/>
  </r>
  <r>
    <s v="ORD014"/>
    <x v="12"/>
    <x v="2"/>
    <x v="0"/>
    <x v="5"/>
    <x v="1"/>
    <n v="13631"/>
    <n v="10496"/>
    <n v="3135"/>
    <n v="0.22999046291541339"/>
    <s v="OK"/>
  </r>
  <r>
    <s v="ORD015"/>
    <x v="13"/>
    <x v="2"/>
    <x v="2"/>
    <x v="3"/>
    <x v="1"/>
    <n v="65141"/>
    <n v="47553"/>
    <n v="17588"/>
    <n v="0.26999892540796117"/>
    <s v="OK"/>
  </r>
  <r>
    <s v="ORD016"/>
    <x v="14"/>
    <x v="0"/>
    <x v="0"/>
    <x v="5"/>
    <x v="1"/>
    <n v="60324"/>
    <n v="41624"/>
    <n v="18700"/>
    <n v="0.30999270605397522"/>
    <s v="OK"/>
  </r>
  <r>
    <s v="ORD017"/>
    <x v="15"/>
    <x v="3"/>
    <x v="2"/>
    <x v="8"/>
    <x v="1"/>
    <n v="75915"/>
    <n v="46308"/>
    <n v="29607"/>
    <n v="0.39000197589409208"/>
    <s v="OK"/>
  </r>
  <r>
    <s v="ORD018"/>
    <x v="16"/>
    <x v="2"/>
    <x v="1"/>
    <x v="0"/>
    <x v="1"/>
    <n v="76568"/>
    <n v="47472"/>
    <n v="29096"/>
    <n v="0.38000208964580506"/>
    <s v="OK"/>
  </r>
  <r>
    <s v="ORD019"/>
    <x v="17"/>
    <x v="2"/>
    <x v="2"/>
    <x v="1"/>
    <x v="1"/>
    <n v="82082"/>
    <n v="57457"/>
    <n v="24625"/>
    <n v="0.30000487317560487"/>
    <s v="OK"/>
  </r>
  <r>
    <s v="ORD020"/>
    <x v="1"/>
    <x v="0"/>
    <x v="1"/>
    <x v="2"/>
    <x v="1"/>
    <n v="29691"/>
    <n v="21378"/>
    <n v="8313"/>
    <n v="0.27998383348489442"/>
    <s v="OK"/>
  </r>
  <r>
    <s v="ORD021"/>
    <x v="5"/>
    <x v="0"/>
    <x v="1"/>
    <x v="4"/>
    <x v="0"/>
    <n v="99119"/>
    <n v="60463"/>
    <n v="38656"/>
    <n v="0.38999586355794552"/>
    <s v="OK"/>
  </r>
  <r>
    <s v="ORD022"/>
    <x v="7"/>
    <x v="3"/>
    <x v="2"/>
    <x v="1"/>
    <x v="1"/>
    <n v="41077"/>
    <n v="31629"/>
    <n v="9448"/>
    <n v="0.23000705991187281"/>
    <s v="OK"/>
  </r>
  <r>
    <s v="ORD023"/>
    <x v="18"/>
    <x v="0"/>
    <x v="2"/>
    <x v="0"/>
    <x v="1"/>
    <n v="88369"/>
    <n v="61858"/>
    <n v="26511"/>
    <n v="0.30000339485566208"/>
    <s v="OK"/>
  </r>
  <r>
    <s v="ORD024"/>
    <x v="19"/>
    <x v="1"/>
    <x v="1"/>
    <x v="3"/>
    <x v="1"/>
    <n v="69361"/>
    <n v="55489"/>
    <n v="13872"/>
    <n v="0.19999711653522873"/>
    <s v="OK"/>
  </r>
  <r>
    <s v="ORD025"/>
    <x v="18"/>
    <x v="2"/>
    <x v="0"/>
    <x v="5"/>
    <x v="0"/>
    <n v="37654"/>
    <n v="25605"/>
    <n v="12049"/>
    <n v="0.31999256387103625"/>
    <s v="OK"/>
  </r>
  <r>
    <s v="ORD026"/>
    <x v="15"/>
    <x v="1"/>
    <x v="2"/>
    <x v="6"/>
    <x v="0"/>
    <n v="68740"/>
    <n v="51555"/>
    <n v="17185"/>
    <n v="0.25"/>
    <s v="OK"/>
  </r>
  <r>
    <s v="ORD027"/>
    <x v="17"/>
    <x v="3"/>
    <x v="2"/>
    <x v="1"/>
    <x v="0"/>
    <n v="75815"/>
    <n v="48522"/>
    <n v="27293"/>
    <n v="0.35999472399920862"/>
    <s v="OK"/>
  </r>
  <r>
    <s v="ORD028"/>
    <x v="12"/>
    <x v="1"/>
    <x v="2"/>
    <x v="2"/>
    <x v="1"/>
    <n v="59856"/>
    <n v="37111"/>
    <n v="22745"/>
    <n v="0.37999532210638864"/>
    <s v="OK"/>
  </r>
  <r>
    <s v="ORD029"/>
    <x v="6"/>
    <x v="1"/>
    <x v="1"/>
    <x v="5"/>
    <x v="0"/>
    <n v="12817"/>
    <n v="7947"/>
    <n v="4870"/>
    <n v="0.37996411016618553"/>
    <s v="OK"/>
  </r>
  <r>
    <s v="ORD030"/>
    <x v="8"/>
    <x v="0"/>
    <x v="0"/>
    <x v="5"/>
    <x v="1"/>
    <n v="56855"/>
    <n v="39230"/>
    <n v="17625"/>
    <n v="0.30999912056987072"/>
    <s v="OK"/>
  </r>
  <r>
    <s v="ORD031"/>
    <x v="20"/>
    <x v="3"/>
    <x v="2"/>
    <x v="0"/>
    <x v="1"/>
    <n v="85478"/>
    <n v="68382"/>
    <n v="17096"/>
    <n v="0.20000467956667212"/>
    <s v="OK"/>
  </r>
  <r>
    <s v="ORD032"/>
    <x v="21"/>
    <x v="0"/>
    <x v="0"/>
    <x v="3"/>
    <x v="0"/>
    <n v="88646"/>
    <n v="57620"/>
    <n v="31026"/>
    <n v="0.34999887191751461"/>
    <s v="OK"/>
  </r>
  <r>
    <s v="ORD033"/>
    <x v="9"/>
    <x v="0"/>
    <x v="1"/>
    <x v="7"/>
    <x v="1"/>
    <n v="14956"/>
    <n v="10918"/>
    <n v="4038"/>
    <n v="0.26999197646429529"/>
    <s v="OK"/>
  </r>
  <r>
    <s v="ORD034"/>
    <x v="22"/>
    <x v="3"/>
    <x v="2"/>
    <x v="6"/>
    <x v="0"/>
    <n v="48591"/>
    <n v="31098"/>
    <n v="17493"/>
    <n v="0.36000493918626908"/>
    <s v="OK"/>
  </r>
  <r>
    <s v="ORD035"/>
    <x v="23"/>
    <x v="1"/>
    <x v="0"/>
    <x v="3"/>
    <x v="0"/>
    <n v="55839"/>
    <n v="38529"/>
    <n v="17310"/>
    <n v="0.30999838822328479"/>
    <s v="OK"/>
  </r>
  <r>
    <s v="ORD036"/>
    <x v="14"/>
    <x v="0"/>
    <x v="2"/>
    <x v="8"/>
    <x v="1"/>
    <n v="66395"/>
    <n v="39837"/>
    <n v="26558"/>
    <n v="0.4"/>
    <s v="OK"/>
  </r>
  <r>
    <s v="ORD037"/>
    <x v="24"/>
    <x v="0"/>
    <x v="2"/>
    <x v="8"/>
    <x v="0"/>
    <n v="63643"/>
    <n v="44550"/>
    <n v="19093"/>
    <n v="0.30000157126471094"/>
    <s v="OK"/>
  </r>
  <r>
    <s v="ORD038"/>
    <x v="11"/>
    <x v="1"/>
    <x v="2"/>
    <x v="4"/>
    <x v="1"/>
    <n v="50691"/>
    <n v="30922"/>
    <n v="19769"/>
    <n v="0.38999033358978913"/>
    <s v="OK"/>
  </r>
  <r>
    <s v="ORD039"/>
    <x v="0"/>
    <x v="3"/>
    <x v="1"/>
    <x v="1"/>
    <x v="1"/>
    <n v="76459"/>
    <n v="61167"/>
    <n v="15292"/>
    <n v="0.20000261578100681"/>
    <s v="OK"/>
  </r>
  <r>
    <s v="ORD040"/>
    <x v="9"/>
    <x v="3"/>
    <x v="0"/>
    <x v="6"/>
    <x v="0"/>
    <n v="72071"/>
    <n v="45405"/>
    <n v="26666"/>
    <n v="0.36999625369427369"/>
    <s v="OK"/>
  </r>
  <r>
    <s v="ORD041"/>
    <x v="13"/>
    <x v="0"/>
    <x v="1"/>
    <x v="3"/>
    <x v="0"/>
    <n v="41030"/>
    <n v="30773"/>
    <n v="10257"/>
    <n v="0.2499878137947843"/>
    <s v="OK"/>
  </r>
  <r>
    <s v="ORD042"/>
    <x v="24"/>
    <x v="0"/>
    <x v="2"/>
    <x v="0"/>
    <x v="1"/>
    <n v="97709"/>
    <n v="60580"/>
    <n v="37129"/>
    <n v="0.37999570152186596"/>
    <s v="OK"/>
  </r>
  <r>
    <s v="ORD043"/>
    <x v="1"/>
    <x v="3"/>
    <x v="2"/>
    <x v="3"/>
    <x v="0"/>
    <n v="60960"/>
    <n v="37186"/>
    <n v="23774"/>
    <n v="0.38999343832021"/>
    <s v="OK"/>
  </r>
  <r>
    <s v="ORD044"/>
    <x v="6"/>
    <x v="0"/>
    <x v="0"/>
    <x v="3"/>
    <x v="0"/>
    <n v="20547"/>
    <n v="14383"/>
    <n v="6164"/>
    <n v="0.29999513310945636"/>
    <s v="OK"/>
  </r>
  <r>
    <s v="ORD045"/>
    <x v="0"/>
    <x v="1"/>
    <x v="0"/>
    <x v="5"/>
    <x v="0"/>
    <n v="40463"/>
    <n v="31966"/>
    <n v="8497"/>
    <n v="0.20999431579467662"/>
    <s v="OK"/>
  </r>
  <r>
    <s v="ORD046"/>
    <x v="13"/>
    <x v="1"/>
    <x v="0"/>
    <x v="3"/>
    <x v="1"/>
    <n v="6681"/>
    <n v="5011"/>
    <n v="1670"/>
    <n v="0.24996258045202813"/>
    <s v="OK"/>
  </r>
  <r>
    <s v="ORD047"/>
    <x v="23"/>
    <x v="3"/>
    <x v="2"/>
    <x v="8"/>
    <x v="1"/>
    <n v="28255"/>
    <n v="21756"/>
    <n v="6499"/>
    <n v="0.23001238718810829"/>
    <s v="OK"/>
  </r>
  <r>
    <s v="ORD048"/>
    <x v="0"/>
    <x v="2"/>
    <x v="1"/>
    <x v="3"/>
    <x v="1"/>
    <n v="73109"/>
    <n v="57025"/>
    <n v="16084"/>
    <n v="0.22000027356413027"/>
    <s v="OK"/>
  </r>
  <r>
    <s v="ORD049"/>
    <x v="9"/>
    <x v="3"/>
    <x v="0"/>
    <x v="6"/>
    <x v="1"/>
    <n v="93038"/>
    <n v="64196"/>
    <n v="28842"/>
    <n v="0.31000236462520692"/>
    <s v="OK"/>
  </r>
  <r>
    <s v="ORD050"/>
    <x v="2"/>
    <x v="2"/>
    <x v="0"/>
    <x v="0"/>
    <x v="0"/>
    <n v="77963"/>
    <n v="62370"/>
    <n v="15593"/>
    <n v="0.2000051306388928"/>
    <s v="OK"/>
  </r>
  <r>
    <s v="ORD051"/>
    <x v="17"/>
    <x v="1"/>
    <x v="2"/>
    <x v="2"/>
    <x v="0"/>
    <n v="62086"/>
    <n v="45323"/>
    <n v="16763"/>
    <n v="0.26999645652804177"/>
    <s v="OK"/>
  </r>
  <r>
    <s v="ORD052"/>
    <x v="9"/>
    <x v="0"/>
    <x v="1"/>
    <x v="4"/>
    <x v="1"/>
    <n v="90692"/>
    <n v="59857"/>
    <n v="30835"/>
    <n v="0.3399969126273541"/>
    <s v="OK"/>
  </r>
  <r>
    <s v="ORD053"/>
    <x v="21"/>
    <x v="3"/>
    <x v="2"/>
    <x v="3"/>
    <x v="1"/>
    <n v="18608"/>
    <n v="14328"/>
    <n v="4280"/>
    <n v="0.23000859845227858"/>
    <s v="OK"/>
  </r>
  <r>
    <s v="ORD054"/>
    <x v="14"/>
    <x v="3"/>
    <x v="0"/>
    <x v="5"/>
    <x v="0"/>
    <n v="63970"/>
    <n v="46058"/>
    <n v="17912"/>
    <n v="0.28000625293106146"/>
    <s v="OK"/>
  </r>
  <r>
    <s v="ORD055"/>
    <x v="0"/>
    <x v="2"/>
    <x v="1"/>
    <x v="5"/>
    <x v="1"/>
    <n v="61976"/>
    <n v="47722"/>
    <n v="14254"/>
    <n v="0.22999225506647736"/>
    <s v="OK"/>
  </r>
  <r>
    <s v="ORD056"/>
    <x v="10"/>
    <x v="0"/>
    <x v="1"/>
    <x v="9"/>
    <x v="0"/>
    <n v="98435"/>
    <n v="75795"/>
    <n v="22640"/>
    <n v="0.22999949205059175"/>
    <s v="OK"/>
  </r>
  <r>
    <s v="ORD057"/>
    <x v="18"/>
    <x v="2"/>
    <x v="2"/>
    <x v="7"/>
    <x v="0"/>
    <n v="9892"/>
    <n v="7023"/>
    <n v="2869"/>
    <n v="0.29003234937323091"/>
    <s v="OK"/>
  </r>
  <r>
    <s v="ORD058"/>
    <x v="23"/>
    <x v="3"/>
    <x v="1"/>
    <x v="5"/>
    <x v="1"/>
    <n v="25602"/>
    <n v="17921"/>
    <n v="7681"/>
    <n v="0.30001562377939223"/>
    <s v="OK"/>
  </r>
  <r>
    <s v="ORD059"/>
    <x v="19"/>
    <x v="1"/>
    <x v="2"/>
    <x v="0"/>
    <x v="0"/>
    <n v="75342"/>
    <n v="47465"/>
    <n v="27877"/>
    <n v="0.37000610549228852"/>
    <s v="OK"/>
  </r>
  <r>
    <s v="ORD060"/>
    <x v="0"/>
    <x v="0"/>
    <x v="2"/>
    <x v="5"/>
    <x v="1"/>
    <n v="84367"/>
    <n v="56526"/>
    <n v="27841"/>
    <n v="0.32999869617267413"/>
    <s v="OK"/>
  </r>
  <r>
    <s v="ORD061"/>
    <x v="20"/>
    <x v="1"/>
    <x v="0"/>
    <x v="1"/>
    <x v="0"/>
    <n v="22027"/>
    <n v="13436"/>
    <n v="8591"/>
    <n v="0.3900213374494938"/>
    <s v="OK"/>
  </r>
  <r>
    <s v="ORD062"/>
    <x v="7"/>
    <x v="2"/>
    <x v="1"/>
    <x v="9"/>
    <x v="0"/>
    <n v="89297"/>
    <n v="63401"/>
    <n v="25896"/>
    <n v="0.28999854418401516"/>
    <s v="OK"/>
  </r>
  <r>
    <s v="ORD063"/>
    <x v="25"/>
    <x v="3"/>
    <x v="2"/>
    <x v="1"/>
    <x v="1"/>
    <n v="45158"/>
    <n v="33869"/>
    <n v="11289"/>
    <n v="0.24998892776473713"/>
    <s v="OK"/>
  </r>
  <r>
    <s v="ORD064"/>
    <x v="8"/>
    <x v="2"/>
    <x v="1"/>
    <x v="6"/>
    <x v="1"/>
    <n v="71878"/>
    <n v="57502"/>
    <n v="14376"/>
    <n v="0.20000556498511365"/>
    <s v="OK"/>
  </r>
  <r>
    <s v="ORD065"/>
    <x v="25"/>
    <x v="2"/>
    <x v="2"/>
    <x v="4"/>
    <x v="1"/>
    <n v="66502"/>
    <n v="39901"/>
    <n v="26601"/>
    <n v="0.40000300742834805"/>
    <s v="OK"/>
  </r>
  <r>
    <s v="ORD066"/>
    <x v="26"/>
    <x v="1"/>
    <x v="1"/>
    <x v="4"/>
    <x v="0"/>
    <n v="97873"/>
    <n v="65575"/>
    <n v="32298"/>
    <n v="0.32999908044097964"/>
    <s v="OK"/>
  </r>
  <r>
    <s v="ORD067"/>
    <x v="5"/>
    <x v="3"/>
    <x v="0"/>
    <x v="5"/>
    <x v="1"/>
    <n v="41520"/>
    <n v="28649"/>
    <n v="12871"/>
    <n v="0.309995183044316"/>
    <s v="OK"/>
  </r>
  <r>
    <s v="ORD068"/>
    <x v="4"/>
    <x v="1"/>
    <x v="0"/>
    <x v="6"/>
    <x v="1"/>
    <n v="61014"/>
    <n v="40879"/>
    <n v="20135"/>
    <n v="0.33000622807880159"/>
    <s v="OK"/>
  </r>
  <r>
    <s v="ORD069"/>
    <x v="23"/>
    <x v="1"/>
    <x v="2"/>
    <x v="6"/>
    <x v="1"/>
    <n v="88754"/>
    <n v="60353"/>
    <n v="28401"/>
    <n v="0.31999684521261013"/>
    <s v="OK"/>
  </r>
  <r>
    <s v="ORD070"/>
    <x v="20"/>
    <x v="0"/>
    <x v="2"/>
    <x v="1"/>
    <x v="1"/>
    <n v="13853"/>
    <n v="9143"/>
    <n v="4710"/>
    <n v="0.33999855626940012"/>
    <s v="OK"/>
  </r>
  <r>
    <s v="ORD071"/>
    <x v="8"/>
    <x v="1"/>
    <x v="0"/>
    <x v="6"/>
    <x v="1"/>
    <n v="54912"/>
    <n v="39537"/>
    <n v="15375"/>
    <n v="0.27999344405594406"/>
    <s v="OK"/>
  </r>
  <r>
    <s v="ORD072"/>
    <x v="3"/>
    <x v="2"/>
    <x v="1"/>
    <x v="1"/>
    <x v="0"/>
    <n v="38618"/>
    <n v="28964"/>
    <n v="9654"/>
    <n v="0.2499870526697395"/>
    <s v="OK"/>
  </r>
  <r>
    <s v="ORD073"/>
    <x v="7"/>
    <x v="1"/>
    <x v="1"/>
    <x v="1"/>
    <x v="1"/>
    <n v="23203"/>
    <n v="16242"/>
    <n v="6961"/>
    <n v="0.30000430978752746"/>
    <s v="OK"/>
  </r>
  <r>
    <s v="ORD074"/>
    <x v="18"/>
    <x v="0"/>
    <x v="1"/>
    <x v="6"/>
    <x v="0"/>
    <n v="20565"/>
    <n v="16041"/>
    <n v="4524"/>
    <n v="0.21998541210795039"/>
    <s v="OK"/>
  </r>
  <r>
    <s v="ORD075"/>
    <x v="14"/>
    <x v="1"/>
    <x v="2"/>
    <x v="5"/>
    <x v="0"/>
    <n v="52349"/>
    <n v="40309"/>
    <n v="12040"/>
    <n v="0.22999484230835354"/>
    <s v="OK"/>
  </r>
  <r>
    <s v="ORD076"/>
    <x v="27"/>
    <x v="0"/>
    <x v="1"/>
    <x v="2"/>
    <x v="1"/>
    <n v="82342"/>
    <n v="52699"/>
    <n v="29643"/>
    <n v="0.35999854266352532"/>
    <s v="OK"/>
  </r>
  <r>
    <s v="ORD077"/>
    <x v="6"/>
    <x v="3"/>
    <x v="1"/>
    <x v="9"/>
    <x v="1"/>
    <n v="59420"/>
    <n v="41594"/>
    <n v="17826"/>
    <n v="0.3"/>
    <s v="OK"/>
  </r>
  <r>
    <s v="ORD078"/>
    <x v="14"/>
    <x v="1"/>
    <x v="1"/>
    <x v="6"/>
    <x v="0"/>
    <n v="77513"/>
    <n v="47283"/>
    <n v="30230"/>
    <n v="0.38999909692567697"/>
    <s v="OK"/>
  </r>
  <r>
    <s v="ORD079"/>
    <x v="21"/>
    <x v="2"/>
    <x v="2"/>
    <x v="8"/>
    <x v="0"/>
    <n v="54273"/>
    <n v="36906"/>
    <n v="17367"/>
    <n v="0.31999336686750318"/>
    <s v="OK"/>
  </r>
  <r>
    <s v="ORD080"/>
    <x v="15"/>
    <x v="2"/>
    <x v="0"/>
    <x v="1"/>
    <x v="0"/>
    <n v="97700"/>
    <n v="63505"/>
    <n v="34195"/>
    <n v="0.35"/>
    <s v="OK"/>
  </r>
  <r>
    <s v="ORD081"/>
    <x v="8"/>
    <x v="1"/>
    <x v="2"/>
    <x v="3"/>
    <x v="0"/>
    <n v="28127"/>
    <n v="17720"/>
    <n v="10407"/>
    <n v="0.37000035553027338"/>
    <s v="OK"/>
  </r>
  <r>
    <s v="ORD082"/>
    <x v="7"/>
    <x v="1"/>
    <x v="2"/>
    <x v="7"/>
    <x v="0"/>
    <n v="7133"/>
    <n v="4280"/>
    <n v="2853"/>
    <n v="0.39997196130660312"/>
    <s v="OK"/>
  </r>
  <r>
    <s v="ORD083"/>
    <x v="16"/>
    <x v="2"/>
    <x v="0"/>
    <x v="2"/>
    <x v="0"/>
    <n v="62857"/>
    <n v="43371"/>
    <n v="19486"/>
    <n v="0.31000525001193185"/>
    <s v="OK"/>
  </r>
  <r>
    <s v="ORD084"/>
    <x v="27"/>
    <x v="2"/>
    <x v="1"/>
    <x v="8"/>
    <x v="0"/>
    <n v="27360"/>
    <n v="17510"/>
    <n v="9850"/>
    <n v="0.36001461988304095"/>
    <s v="OK"/>
  </r>
  <r>
    <s v="ORD085"/>
    <x v="1"/>
    <x v="3"/>
    <x v="1"/>
    <x v="8"/>
    <x v="0"/>
    <n v="74785"/>
    <n v="50106"/>
    <n v="24679"/>
    <n v="0.32999933141672794"/>
    <s v="OK"/>
  </r>
  <r>
    <s v="ORD086"/>
    <x v="21"/>
    <x v="1"/>
    <x v="0"/>
    <x v="5"/>
    <x v="0"/>
    <n v="41362"/>
    <n v="28540"/>
    <n v="12822"/>
    <n v="0.30999468110826361"/>
    <s v="OK"/>
  </r>
  <r>
    <s v="ORD087"/>
    <x v="14"/>
    <x v="2"/>
    <x v="2"/>
    <x v="0"/>
    <x v="0"/>
    <n v="94996"/>
    <n v="59847"/>
    <n v="35149"/>
    <n v="0.37000505284433027"/>
    <s v="OK"/>
  </r>
  <r>
    <s v="ORD088"/>
    <x v="14"/>
    <x v="0"/>
    <x v="1"/>
    <x v="8"/>
    <x v="0"/>
    <n v="57474"/>
    <n v="41381"/>
    <n v="16093"/>
    <n v="0.28000487176810385"/>
    <s v="OK"/>
  </r>
  <r>
    <s v="ORD089"/>
    <x v="20"/>
    <x v="0"/>
    <x v="0"/>
    <x v="6"/>
    <x v="0"/>
    <n v="61984"/>
    <n v="48967"/>
    <n v="13017"/>
    <n v="0.21000580795043883"/>
    <s v="OK"/>
  </r>
  <r>
    <s v="ORD090"/>
    <x v="26"/>
    <x v="2"/>
    <x v="0"/>
    <x v="6"/>
    <x v="1"/>
    <n v="9637"/>
    <n v="7517"/>
    <n v="2120"/>
    <n v="0.21998547265746601"/>
    <s v="OK"/>
  </r>
  <r>
    <s v="ORD091"/>
    <x v="15"/>
    <x v="1"/>
    <x v="0"/>
    <x v="4"/>
    <x v="0"/>
    <n v="73585"/>
    <n v="48566"/>
    <n v="25019"/>
    <n v="0.34000135897261669"/>
    <s v="OK"/>
  </r>
  <r>
    <s v="ORD092"/>
    <x v="26"/>
    <x v="1"/>
    <x v="1"/>
    <x v="6"/>
    <x v="1"/>
    <n v="49171"/>
    <n v="32453"/>
    <n v="16718"/>
    <n v="0.33999715279331311"/>
    <s v="OK"/>
  </r>
  <r>
    <s v="ORD093"/>
    <x v="19"/>
    <x v="0"/>
    <x v="0"/>
    <x v="5"/>
    <x v="1"/>
    <n v="14194"/>
    <n v="8658"/>
    <n v="5536"/>
    <n v="0.39002395378328869"/>
    <s v="OK"/>
  </r>
  <r>
    <s v="ORD094"/>
    <x v="13"/>
    <x v="1"/>
    <x v="1"/>
    <x v="5"/>
    <x v="1"/>
    <n v="16968"/>
    <n v="12726"/>
    <n v="4242"/>
    <n v="0.25"/>
    <s v="OK"/>
  </r>
  <r>
    <s v="ORD095"/>
    <x v="9"/>
    <x v="0"/>
    <x v="1"/>
    <x v="8"/>
    <x v="0"/>
    <n v="46218"/>
    <n v="32815"/>
    <n v="13403"/>
    <n v="0.28999523994980309"/>
    <s v="OK"/>
  </r>
  <r>
    <s v="ORD096"/>
    <x v="10"/>
    <x v="3"/>
    <x v="0"/>
    <x v="5"/>
    <x v="1"/>
    <n v="18687"/>
    <n v="13081"/>
    <n v="5606"/>
    <n v="0.29999464868625247"/>
    <s v="OK"/>
  </r>
  <r>
    <s v="ORD097"/>
    <x v="26"/>
    <x v="1"/>
    <x v="0"/>
    <x v="2"/>
    <x v="0"/>
    <n v="16048"/>
    <n v="9629"/>
    <n v="6419"/>
    <n v="0.39998753738783649"/>
    <s v="OK"/>
  </r>
  <r>
    <s v="ORD098"/>
    <x v="8"/>
    <x v="2"/>
    <x v="1"/>
    <x v="8"/>
    <x v="1"/>
    <n v="87287"/>
    <n v="65465"/>
    <n v="21822"/>
    <n v="0.25000286411493122"/>
    <s v="OK"/>
  </r>
  <r>
    <s v="ORD099"/>
    <x v="20"/>
    <x v="1"/>
    <x v="0"/>
    <x v="1"/>
    <x v="0"/>
    <n v="60298"/>
    <n v="40400"/>
    <n v="19898"/>
    <n v="0.32999436133868454"/>
    <s v="OK"/>
  </r>
  <r>
    <s v="ORD100"/>
    <x v="16"/>
    <x v="0"/>
    <x v="1"/>
    <x v="2"/>
    <x v="0"/>
    <n v="39964"/>
    <n v="25577"/>
    <n v="14387"/>
    <n v="0.35999899909918925"/>
    <s v="OK"/>
  </r>
  <r>
    <s v="ORD101"/>
    <x v="11"/>
    <x v="3"/>
    <x v="1"/>
    <x v="1"/>
    <x v="1"/>
    <n v="43281"/>
    <n v="29864"/>
    <n v="13417"/>
    <n v="0.30999745846907417"/>
    <s v="OK"/>
  </r>
  <r>
    <s v="ORD102"/>
    <x v="21"/>
    <x v="3"/>
    <x v="2"/>
    <x v="4"/>
    <x v="0"/>
    <n v="58622"/>
    <n v="35173"/>
    <n v="23449"/>
    <n v="0.40000341168844461"/>
    <s v="OK"/>
  </r>
  <r>
    <s v="ORD103"/>
    <x v="12"/>
    <x v="1"/>
    <x v="1"/>
    <x v="1"/>
    <x v="1"/>
    <n v="13922"/>
    <n v="8353"/>
    <n v="5569"/>
    <n v="0.40001436575204713"/>
    <s v="OK"/>
  </r>
  <r>
    <s v="ORD104"/>
    <x v="27"/>
    <x v="1"/>
    <x v="1"/>
    <x v="0"/>
    <x v="0"/>
    <n v="25139"/>
    <n v="15083"/>
    <n v="10056"/>
    <n v="0.40001591153188271"/>
    <s v="OK"/>
  </r>
  <r>
    <s v="ORD105"/>
    <x v="15"/>
    <x v="2"/>
    <x v="0"/>
    <x v="1"/>
    <x v="0"/>
    <n v="53400"/>
    <n v="37914"/>
    <n v="15486"/>
    <n v="0.28999999999999998"/>
    <s v="OK"/>
  </r>
  <r>
    <s v="ORD106"/>
    <x v="3"/>
    <x v="1"/>
    <x v="2"/>
    <x v="7"/>
    <x v="1"/>
    <n v="61268"/>
    <n v="47789"/>
    <n v="13479"/>
    <n v="0.22000065286936085"/>
    <s v="OK"/>
  </r>
  <r>
    <s v="ORD107"/>
    <x v="4"/>
    <x v="0"/>
    <x v="1"/>
    <x v="2"/>
    <x v="0"/>
    <n v="69238"/>
    <n v="48467"/>
    <n v="20771"/>
    <n v="0.299994222825616"/>
    <s v="OK"/>
  </r>
  <r>
    <s v="ORD108"/>
    <x v="18"/>
    <x v="0"/>
    <x v="0"/>
    <x v="8"/>
    <x v="0"/>
    <n v="26999"/>
    <n v="19439"/>
    <n v="7560"/>
    <n v="0.28001037075447238"/>
    <s v="OK"/>
  </r>
  <r>
    <s v="ORD109"/>
    <x v="14"/>
    <x v="2"/>
    <x v="0"/>
    <x v="4"/>
    <x v="1"/>
    <n v="82886"/>
    <n v="58020"/>
    <n v="24866"/>
    <n v="0.30000241295273028"/>
    <s v="OK"/>
  </r>
  <r>
    <s v="ORD110"/>
    <x v="23"/>
    <x v="3"/>
    <x v="0"/>
    <x v="1"/>
    <x v="1"/>
    <n v="21944"/>
    <n v="16897"/>
    <n v="5047"/>
    <n v="0.22999453153481589"/>
    <s v="OK"/>
  </r>
  <r>
    <s v="ORD111"/>
    <x v="26"/>
    <x v="0"/>
    <x v="0"/>
    <x v="1"/>
    <x v="0"/>
    <n v="39726"/>
    <n v="31384"/>
    <n v="8342"/>
    <n v="0.20998842068166942"/>
    <s v="OK"/>
  </r>
  <r>
    <s v="ORD112"/>
    <x v="24"/>
    <x v="3"/>
    <x v="2"/>
    <x v="8"/>
    <x v="0"/>
    <n v="24860"/>
    <n v="19142"/>
    <n v="5718"/>
    <n v="0.23000804505229283"/>
    <s v="OK"/>
  </r>
  <r>
    <s v="ORD113"/>
    <x v="10"/>
    <x v="2"/>
    <x v="1"/>
    <x v="9"/>
    <x v="1"/>
    <n v="82503"/>
    <n v="61052"/>
    <n v="21451"/>
    <n v="0.2600026665697005"/>
    <s v="OK"/>
  </r>
  <r>
    <s v="ORD114"/>
    <x v="17"/>
    <x v="1"/>
    <x v="2"/>
    <x v="5"/>
    <x v="0"/>
    <n v="80780"/>
    <n v="58162"/>
    <n v="22618"/>
    <n v="0.27999504827927707"/>
    <s v="OK"/>
  </r>
  <r>
    <s v="ORD115"/>
    <x v="21"/>
    <x v="0"/>
    <x v="0"/>
    <x v="6"/>
    <x v="1"/>
    <n v="41737"/>
    <n v="26712"/>
    <n v="15025"/>
    <n v="0.3599923329419939"/>
    <s v="OK"/>
  </r>
  <r>
    <s v="ORD116"/>
    <x v="14"/>
    <x v="3"/>
    <x v="0"/>
    <x v="0"/>
    <x v="1"/>
    <n v="50985"/>
    <n v="38239"/>
    <n v="12746"/>
    <n v="0.24999509659703834"/>
    <s v="OK"/>
  </r>
  <r>
    <s v="ORD117"/>
    <x v="27"/>
    <x v="1"/>
    <x v="0"/>
    <x v="9"/>
    <x v="1"/>
    <n v="15092"/>
    <n v="10866"/>
    <n v="4226"/>
    <n v="0.28001590246488206"/>
    <s v="OK"/>
  </r>
  <r>
    <s v="ORD118"/>
    <x v="26"/>
    <x v="0"/>
    <x v="2"/>
    <x v="9"/>
    <x v="0"/>
    <n v="55497"/>
    <n v="38293"/>
    <n v="17204"/>
    <n v="0.30999873867055877"/>
    <s v="OK"/>
  </r>
  <r>
    <s v="ORD119"/>
    <x v="21"/>
    <x v="2"/>
    <x v="1"/>
    <x v="7"/>
    <x v="1"/>
    <n v="29937"/>
    <n v="20357"/>
    <n v="9580"/>
    <n v="0.32000534455690283"/>
    <s v="OK"/>
  </r>
  <r>
    <s v="ORD120"/>
    <x v="13"/>
    <x v="3"/>
    <x v="0"/>
    <x v="1"/>
    <x v="1"/>
    <n v="33514"/>
    <n v="25806"/>
    <n v="7708"/>
    <n v="0.22999343557916094"/>
    <s v="OK"/>
  </r>
  <r>
    <s v="ORD121"/>
    <x v="14"/>
    <x v="0"/>
    <x v="0"/>
    <x v="0"/>
    <x v="1"/>
    <n v="11141"/>
    <n v="7799"/>
    <n v="3342"/>
    <n v="0.29997307243514942"/>
    <s v="OK"/>
  </r>
  <r>
    <s v="ORD122"/>
    <x v="7"/>
    <x v="1"/>
    <x v="1"/>
    <x v="7"/>
    <x v="0"/>
    <n v="60668"/>
    <n v="40041"/>
    <n v="20627"/>
    <n v="0.33999802202149404"/>
    <s v="OK"/>
  </r>
  <r>
    <s v="ORD123"/>
    <x v="6"/>
    <x v="0"/>
    <x v="1"/>
    <x v="9"/>
    <x v="1"/>
    <n v="77370"/>
    <n v="57254"/>
    <n v="20116"/>
    <n v="0.25999741501874113"/>
    <s v="OK"/>
  </r>
  <r>
    <s v="ORD124"/>
    <x v="20"/>
    <x v="3"/>
    <x v="2"/>
    <x v="0"/>
    <x v="1"/>
    <n v="57888"/>
    <n v="46310"/>
    <n v="11578"/>
    <n v="0.20000690989496961"/>
    <s v="OK"/>
  </r>
  <r>
    <s v="ORD125"/>
    <x v="20"/>
    <x v="0"/>
    <x v="2"/>
    <x v="8"/>
    <x v="1"/>
    <n v="82545"/>
    <n v="61083"/>
    <n v="21462"/>
    <n v="0.26000363438124657"/>
    <s v="OK"/>
  </r>
  <r>
    <s v="ORD126"/>
    <x v="27"/>
    <x v="1"/>
    <x v="0"/>
    <x v="9"/>
    <x v="1"/>
    <n v="23062"/>
    <n v="17297"/>
    <n v="5765"/>
    <n v="0.24997831931315584"/>
    <s v="OK"/>
  </r>
  <r>
    <s v="ORD127"/>
    <x v="4"/>
    <x v="1"/>
    <x v="1"/>
    <x v="5"/>
    <x v="1"/>
    <n v="72560"/>
    <n v="52243"/>
    <n v="20317"/>
    <n v="0.28000275633958105"/>
    <s v="OK"/>
  </r>
  <r>
    <s v="ORD128"/>
    <x v="17"/>
    <x v="3"/>
    <x v="2"/>
    <x v="8"/>
    <x v="0"/>
    <n v="36600"/>
    <n v="24522"/>
    <n v="12078"/>
    <n v="0.33"/>
    <s v="OK"/>
  </r>
  <r>
    <s v="ORD129"/>
    <x v="18"/>
    <x v="1"/>
    <x v="0"/>
    <x v="1"/>
    <x v="1"/>
    <n v="53800"/>
    <n v="35508"/>
    <n v="18292"/>
    <n v="0.34"/>
    <s v="OK"/>
  </r>
  <r>
    <s v="ORD130"/>
    <x v="10"/>
    <x v="3"/>
    <x v="1"/>
    <x v="3"/>
    <x v="0"/>
    <n v="47771"/>
    <n v="29140"/>
    <n v="18631"/>
    <n v="0.39000648929266712"/>
    <s v="OK"/>
  </r>
  <r>
    <s v="ORD131"/>
    <x v="25"/>
    <x v="3"/>
    <x v="0"/>
    <x v="5"/>
    <x v="0"/>
    <n v="8087"/>
    <n v="4933"/>
    <n v="3154"/>
    <n v="0.3900086558674416"/>
    <s v="OK"/>
  </r>
  <r>
    <s v="ORD132"/>
    <x v="19"/>
    <x v="1"/>
    <x v="1"/>
    <x v="9"/>
    <x v="0"/>
    <n v="36530"/>
    <n v="24475"/>
    <n v="12055"/>
    <n v="0.33000273747604708"/>
    <s v="OK"/>
  </r>
  <r>
    <s v="ORD133"/>
    <x v="1"/>
    <x v="2"/>
    <x v="1"/>
    <x v="7"/>
    <x v="1"/>
    <n v="53439"/>
    <n v="32063"/>
    <n v="21376"/>
    <n v="0.40000748517000695"/>
    <s v="OK"/>
  </r>
  <r>
    <s v="ORD134"/>
    <x v="0"/>
    <x v="0"/>
    <x v="1"/>
    <x v="4"/>
    <x v="1"/>
    <n v="80190"/>
    <n v="48916"/>
    <n v="31274"/>
    <n v="0.38999875296171593"/>
    <s v="OK"/>
  </r>
  <r>
    <s v="ORD135"/>
    <x v="12"/>
    <x v="1"/>
    <x v="2"/>
    <x v="6"/>
    <x v="0"/>
    <n v="18432"/>
    <n v="12902"/>
    <n v="5530"/>
    <n v="0.3000217013888889"/>
    <s v="OK"/>
  </r>
  <r>
    <s v="ORD136"/>
    <x v="19"/>
    <x v="0"/>
    <x v="1"/>
    <x v="2"/>
    <x v="0"/>
    <n v="94454"/>
    <n v="67062"/>
    <n v="27392"/>
    <n v="0.29000359963580158"/>
    <s v="OK"/>
  </r>
  <r>
    <s v="ORD137"/>
    <x v="3"/>
    <x v="3"/>
    <x v="0"/>
    <x v="3"/>
    <x v="0"/>
    <n v="17544"/>
    <n v="13860"/>
    <n v="3684"/>
    <n v="0.20998632010943913"/>
    <s v="OK"/>
  </r>
  <r>
    <s v="ORD138"/>
    <x v="11"/>
    <x v="1"/>
    <x v="1"/>
    <x v="5"/>
    <x v="0"/>
    <n v="58018"/>
    <n v="42353"/>
    <n v="15665"/>
    <n v="0.27000241304422767"/>
    <s v="OK"/>
  </r>
  <r>
    <s v="ORD139"/>
    <x v="3"/>
    <x v="1"/>
    <x v="1"/>
    <x v="3"/>
    <x v="1"/>
    <n v="29432"/>
    <n v="19131"/>
    <n v="10301"/>
    <n v="0.34999320467518347"/>
    <s v="OK"/>
  </r>
  <r>
    <s v="ORD140"/>
    <x v="23"/>
    <x v="0"/>
    <x v="0"/>
    <x v="8"/>
    <x v="0"/>
    <n v="63143"/>
    <n v="41674"/>
    <n v="21469"/>
    <n v="0.34000601808593195"/>
    <s v="OK"/>
  </r>
  <r>
    <s v="ORD141"/>
    <x v="11"/>
    <x v="2"/>
    <x v="1"/>
    <x v="5"/>
    <x v="0"/>
    <n v="76583"/>
    <n v="61266"/>
    <n v="15317"/>
    <n v="0.20000522309128657"/>
    <s v="OK"/>
  </r>
  <r>
    <s v="ORD142"/>
    <x v="3"/>
    <x v="2"/>
    <x v="1"/>
    <x v="7"/>
    <x v="0"/>
    <n v="17047"/>
    <n v="12444"/>
    <n v="4603"/>
    <n v="0.27001818501789171"/>
    <s v="OK"/>
  </r>
  <r>
    <s v="ORD143"/>
    <x v="16"/>
    <x v="0"/>
    <x v="2"/>
    <x v="7"/>
    <x v="0"/>
    <n v="63423"/>
    <n v="44396"/>
    <n v="19027"/>
    <n v="0.30000157671507183"/>
    <s v="OK"/>
  </r>
  <r>
    <s v="ORD144"/>
    <x v="19"/>
    <x v="2"/>
    <x v="1"/>
    <x v="2"/>
    <x v="0"/>
    <n v="92435"/>
    <n v="69326"/>
    <n v="23109"/>
    <n v="0.2500027046032347"/>
    <s v="OK"/>
  </r>
  <r>
    <s v="ORD145"/>
    <x v="20"/>
    <x v="1"/>
    <x v="0"/>
    <x v="8"/>
    <x v="1"/>
    <n v="64900"/>
    <n v="38940"/>
    <n v="25960"/>
    <n v="0.4"/>
    <s v="OK"/>
  </r>
  <r>
    <s v="ORD146"/>
    <x v="19"/>
    <x v="0"/>
    <x v="0"/>
    <x v="7"/>
    <x v="1"/>
    <n v="75771"/>
    <n v="46978"/>
    <n v="28793"/>
    <n v="0.3800002639532275"/>
    <s v="OK"/>
  </r>
  <r>
    <s v="ORD147"/>
    <x v="5"/>
    <x v="0"/>
    <x v="1"/>
    <x v="8"/>
    <x v="1"/>
    <n v="16265"/>
    <n v="9759"/>
    <n v="6506"/>
    <n v="0.4"/>
    <s v="OK"/>
  </r>
  <r>
    <s v="ORD148"/>
    <x v="23"/>
    <x v="3"/>
    <x v="0"/>
    <x v="1"/>
    <x v="1"/>
    <n v="26142"/>
    <n v="17777"/>
    <n v="8365"/>
    <n v="0.31998316884706601"/>
    <s v="OK"/>
  </r>
  <r>
    <s v="ORD149"/>
    <x v="2"/>
    <x v="2"/>
    <x v="1"/>
    <x v="3"/>
    <x v="0"/>
    <n v="43467"/>
    <n v="28688"/>
    <n v="14779"/>
    <n v="0.34000506131087954"/>
    <s v="OK"/>
  </r>
  <r>
    <s v="ORD150"/>
    <x v="2"/>
    <x v="0"/>
    <x v="0"/>
    <x v="2"/>
    <x v="0"/>
    <n v="42042"/>
    <n v="29009"/>
    <n v="13033"/>
    <n v="0.30999952428523858"/>
    <s v="OK"/>
  </r>
  <r>
    <s v="ORD151"/>
    <x v="12"/>
    <x v="2"/>
    <x v="2"/>
    <x v="5"/>
    <x v="0"/>
    <n v="36624"/>
    <n v="24172"/>
    <n v="12452"/>
    <n v="0.33999563128003496"/>
    <s v="OK"/>
  </r>
  <r>
    <s v="ORD152"/>
    <x v="24"/>
    <x v="1"/>
    <x v="2"/>
    <x v="2"/>
    <x v="1"/>
    <n v="85702"/>
    <n v="67705"/>
    <n v="17997"/>
    <n v="0.20999509929756599"/>
    <s v="OK"/>
  </r>
  <r>
    <s v="ORD153"/>
    <x v="15"/>
    <x v="1"/>
    <x v="0"/>
    <x v="5"/>
    <x v="0"/>
    <n v="89586"/>
    <n v="68981"/>
    <n v="20605"/>
    <n v="0.23000245574085237"/>
    <s v="OK"/>
  </r>
  <r>
    <s v="ORD154"/>
    <x v="5"/>
    <x v="2"/>
    <x v="2"/>
    <x v="7"/>
    <x v="1"/>
    <n v="86050"/>
    <n v="62817"/>
    <n v="23233"/>
    <n v="0.26999418942475306"/>
    <s v="OK"/>
  </r>
  <r>
    <s v="ORD155"/>
    <x v="0"/>
    <x v="0"/>
    <x v="0"/>
    <x v="6"/>
    <x v="0"/>
    <n v="31526"/>
    <n v="19231"/>
    <n v="12295"/>
    <n v="0.38999555922096046"/>
    <s v="OK"/>
  </r>
  <r>
    <s v="ORD156"/>
    <x v="2"/>
    <x v="2"/>
    <x v="0"/>
    <x v="7"/>
    <x v="1"/>
    <n v="50839"/>
    <n v="31012"/>
    <n v="19827"/>
    <n v="0.38999586931292907"/>
    <s v="OK"/>
  </r>
  <r>
    <s v="ORD157"/>
    <x v="10"/>
    <x v="3"/>
    <x v="0"/>
    <x v="4"/>
    <x v="0"/>
    <n v="14982"/>
    <n v="11686"/>
    <n v="3296"/>
    <n v="0.21999733012948872"/>
    <s v="OK"/>
  </r>
  <r>
    <s v="ORD158"/>
    <x v="5"/>
    <x v="2"/>
    <x v="2"/>
    <x v="6"/>
    <x v="1"/>
    <n v="99874"/>
    <n v="68913"/>
    <n v="30961"/>
    <n v="0.31000060075695374"/>
    <s v="OK"/>
  </r>
  <r>
    <s v="ORD159"/>
    <x v="12"/>
    <x v="3"/>
    <x v="0"/>
    <x v="0"/>
    <x v="1"/>
    <n v="46289"/>
    <n v="29162"/>
    <n v="17127"/>
    <n v="0.37000151223832878"/>
    <s v="OK"/>
  </r>
  <r>
    <s v="ORD160"/>
    <x v="27"/>
    <x v="1"/>
    <x v="2"/>
    <x v="8"/>
    <x v="0"/>
    <n v="76675"/>
    <n v="54439"/>
    <n v="22236"/>
    <n v="0.2900032605151614"/>
    <s v="OK"/>
  </r>
  <r>
    <s v="ORD161"/>
    <x v="6"/>
    <x v="1"/>
    <x v="0"/>
    <x v="4"/>
    <x v="0"/>
    <n v="13254"/>
    <n v="9808"/>
    <n v="3446"/>
    <n v="0.2599969820431568"/>
    <s v="OK"/>
  </r>
  <r>
    <s v="ORD162"/>
    <x v="7"/>
    <x v="3"/>
    <x v="0"/>
    <x v="3"/>
    <x v="1"/>
    <n v="28364"/>
    <n v="19004"/>
    <n v="9360"/>
    <n v="0.32999576928500918"/>
    <s v="OK"/>
  </r>
  <r>
    <s v="ORD163"/>
    <x v="16"/>
    <x v="1"/>
    <x v="2"/>
    <x v="9"/>
    <x v="0"/>
    <n v="59427"/>
    <n v="46353"/>
    <n v="13074"/>
    <n v="0.22000100964208189"/>
    <s v="OK"/>
  </r>
  <r>
    <s v="ORD164"/>
    <x v="5"/>
    <x v="2"/>
    <x v="2"/>
    <x v="3"/>
    <x v="0"/>
    <n v="32551"/>
    <n v="22135"/>
    <n v="10416"/>
    <n v="0.31999016927283341"/>
    <s v="OK"/>
  </r>
  <r>
    <s v="ORD165"/>
    <x v="16"/>
    <x v="0"/>
    <x v="0"/>
    <x v="6"/>
    <x v="1"/>
    <n v="30214"/>
    <n v="18128"/>
    <n v="12086"/>
    <n v="0.40001323889587609"/>
    <s v="OK"/>
  </r>
  <r>
    <s v="ORD166"/>
    <x v="25"/>
    <x v="3"/>
    <x v="0"/>
    <x v="7"/>
    <x v="1"/>
    <n v="94208"/>
    <n v="56525"/>
    <n v="37683"/>
    <n v="0.39999787703804346"/>
    <s v="OK"/>
  </r>
  <r>
    <s v="ORD167"/>
    <x v="6"/>
    <x v="3"/>
    <x v="0"/>
    <x v="1"/>
    <x v="0"/>
    <n v="16577"/>
    <n v="11272"/>
    <n v="5305"/>
    <n v="0.32002171683658082"/>
    <s v="OK"/>
  </r>
  <r>
    <s v="ORD168"/>
    <x v="6"/>
    <x v="2"/>
    <x v="1"/>
    <x v="3"/>
    <x v="1"/>
    <n v="11554"/>
    <n v="7048"/>
    <n v="4506"/>
    <n v="0.38999480699324907"/>
    <s v="OK"/>
  </r>
  <r>
    <s v="ORD169"/>
    <x v="24"/>
    <x v="1"/>
    <x v="1"/>
    <x v="5"/>
    <x v="1"/>
    <n v="80272"/>
    <n v="50571"/>
    <n v="29701"/>
    <n v="0.37000448475184372"/>
    <s v="OK"/>
  </r>
  <r>
    <s v="ORD170"/>
    <x v="20"/>
    <x v="2"/>
    <x v="1"/>
    <x v="8"/>
    <x v="1"/>
    <n v="66396"/>
    <n v="42493"/>
    <n v="23903"/>
    <n v="0.36000662690523527"/>
    <s v="OK"/>
  </r>
  <r>
    <s v="ORD171"/>
    <x v="14"/>
    <x v="1"/>
    <x v="1"/>
    <x v="5"/>
    <x v="0"/>
    <n v="34800"/>
    <n v="25404"/>
    <n v="9396"/>
    <n v="0.27"/>
    <s v="OK"/>
  </r>
  <r>
    <s v="ORD172"/>
    <x v="18"/>
    <x v="3"/>
    <x v="0"/>
    <x v="8"/>
    <x v="1"/>
    <n v="14598"/>
    <n v="10511"/>
    <n v="4087"/>
    <n v="0.27996985888477871"/>
    <s v="OK"/>
  </r>
  <r>
    <s v="ORD173"/>
    <x v="22"/>
    <x v="0"/>
    <x v="2"/>
    <x v="3"/>
    <x v="0"/>
    <n v="52584"/>
    <n v="32076"/>
    <n v="20508"/>
    <n v="0.3900045641259699"/>
    <s v="OK"/>
  </r>
  <r>
    <s v="ORD174"/>
    <x v="24"/>
    <x v="1"/>
    <x v="2"/>
    <x v="4"/>
    <x v="0"/>
    <n v="26437"/>
    <n v="15862"/>
    <n v="10575"/>
    <n v="0.40000756515489655"/>
    <s v="OK"/>
  </r>
  <r>
    <s v="ORD175"/>
    <x v="0"/>
    <x v="0"/>
    <x v="0"/>
    <x v="1"/>
    <x v="1"/>
    <n v="17735"/>
    <n v="12415"/>
    <n v="5320"/>
    <n v="0.2999718071609811"/>
    <s v="OK"/>
  </r>
  <r>
    <s v="ORD176"/>
    <x v="11"/>
    <x v="0"/>
    <x v="2"/>
    <x v="4"/>
    <x v="1"/>
    <n v="76277"/>
    <n v="48055"/>
    <n v="28222"/>
    <n v="0.36999357604520366"/>
    <s v="OK"/>
  </r>
  <r>
    <s v="ORD177"/>
    <x v="2"/>
    <x v="2"/>
    <x v="0"/>
    <x v="3"/>
    <x v="0"/>
    <n v="84501"/>
    <n v="54926"/>
    <n v="29575"/>
    <n v="0.34999585803718297"/>
    <s v="OK"/>
  </r>
  <r>
    <s v="ORD178"/>
    <x v="17"/>
    <x v="2"/>
    <x v="2"/>
    <x v="0"/>
    <x v="1"/>
    <n v="33782"/>
    <n v="20607"/>
    <n v="13175"/>
    <n v="0.39000059203125925"/>
    <s v="OK"/>
  </r>
  <r>
    <s v="ORD179"/>
    <x v="23"/>
    <x v="0"/>
    <x v="0"/>
    <x v="3"/>
    <x v="0"/>
    <n v="69221"/>
    <n v="46378"/>
    <n v="22843"/>
    <n v="0.33000101125381026"/>
    <s v="OK"/>
  </r>
  <r>
    <s v="ORD180"/>
    <x v="2"/>
    <x v="1"/>
    <x v="0"/>
    <x v="2"/>
    <x v="0"/>
    <n v="28979"/>
    <n v="18836"/>
    <n v="10143"/>
    <n v="0.35001207771144621"/>
    <s v="OK"/>
  </r>
  <r>
    <s v="ORD181"/>
    <x v="20"/>
    <x v="0"/>
    <x v="1"/>
    <x v="7"/>
    <x v="1"/>
    <n v="24706"/>
    <n v="17788"/>
    <n v="6918"/>
    <n v="0.28001295231927464"/>
    <s v="OK"/>
  </r>
  <r>
    <s v="ORD182"/>
    <x v="7"/>
    <x v="2"/>
    <x v="0"/>
    <x v="0"/>
    <x v="1"/>
    <n v="7686"/>
    <n v="5688"/>
    <n v="1998"/>
    <n v="0.25995316159250587"/>
    <s v="OK"/>
  </r>
  <r>
    <s v="ORD183"/>
    <x v="14"/>
    <x v="0"/>
    <x v="2"/>
    <x v="1"/>
    <x v="1"/>
    <n v="74559"/>
    <n v="45481"/>
    <n v="29078"/>
    <n v="0.38999986587802948"/>
    <s v="OK"/>
  </r>
  <r>
    <s v="ORD184"/>
    <x v="4"/>
    <x v="3"/>
    <x v="1"/>
    <x v="8"/>
    <x v="0"/>
    <n v="34796"/>
    <n v="21921"/>
    <n v="12875"/>
    <n v="0.37001379468904472"/>
    <s v="OK"/>
  </r>
  <r>
    <s v="ORD185"/>
    <x v="20"/>
    <x v="1"/>
    <x v="1"/>
    <x v="6"/>
    <x v="0"/>
    <n v="69767"/>
    <n v="42558"/>
    <n v="27209"/>
    <n v="0.38999813665486549"/>
    <s v="OK"/>
  </r>
  <r>
    <s v="ORD186"/>
    <x v="11"/>
    <x v="3"/>
    <x v="2"/>
    <x v="8"/>
    <x v="1"/>
    <n v="54493"/>
    <n v="34331"/>
    <n v="20162"/>
    <n v="0.36999247609784741"/>
    <s v="OK"/>
  </r>
  <r>
    <s v="ORD187"/>
    <x v="16"/>
    <x v="0"/>
    <x v="0"/>
    <x v="0"/>
    <x v="1"/>
    <n v="56783"/>
    <n v="40884"/>
    <n v="15899"/>
    <n v="0.27999577338287868"/>
    <s v="OK"/>
  </r>
  <r>
    <s v="ORD188"/>
    <x v="17"/>
    <x v="1"/>
    <x v="2"/>
    <x v="9"/>
    <x v="0"/>
    <n v="69649"/>
    <n v="50147"/>
    <n v="19502"/>
    <n v="0.28000402015822196"/>
    <s v="OK"/>
  </r>
  <r>
    <s v="ORD189"/>
    <x v="12"/>
    <x v="2"/>
    <x v="0"/>
    <x v="9"/>
    <x v="0"/>
    <n v="16234"/>
    <n v="12013"/>
    <n v="4221"/>
    <n v="0.26000985585807562"/>
    <s v="OK"/>
  </r>
  <r>
    <s v="ORD190"/>
    <x v="15"/>
    <x v="0"/>
    <x v="2"/>
    <x v="8"/>
    <x v="0"/>
    <n v="68468"/>
    <n v="51351"/>
    <n v="17117"/>
    <n v="0.25"/>
    <s v="OK"/>
  </r>
  <r>
    <s v="ORD191"/>
    <x v="6"/>
    <x v="1"/>
    <x v="0"/>
    <x v="5"/>
    <x v="0"/>
    <n v="46038"/>
    <n v="36830"/>
    <n v="9208"/>
    <n v="0.20000868847473827"/>
    <s v="OK"/>
  </r>
  <r>
    <s v="ORD192"/>
    <x v="2"/>
    <x v="0"/>
    <x v="1"/>
    <x v="5"/>
    <x v="1"/>
    <n v="81081"/>
    <n v="63243"/>
    <n v="17838"/>
    <n v="0.22000222000222"/>
    <s v="OK"/>
  </r>
  <r>
    <s v="ORD193"/>
    <x v="16"/>
    <x v="0"/>
    <x v="1"/>
    <x v="5"/>
    <x v="1"/>
    <n v="18975"/>
    <n v="14231"/>
    <n v="4744"/>
    <n v="0.25001317523056654"/>
    <s v="OK"/>
  </r>
  <r>
    <s v="ORD194"/>
    <x v="26"/>
    <x v="3"/>
    <x v="1"/>
    <x v="4"/>
    <x v="0"/>
    <n v="75372"/>
    <n v="60298"/>
    <n v="15074"/>
    <n v="0.19999469298943906"/>
    <s v="OK"/>
  </r>
  <r>
    <s v="ORD195"/>
    <x v="17"/>
    <x v="0"/>
    <x v="0"/>
    <x v="1"/>
    <x v="1"/>
    <n v="5847"/>
    <n v="4678"/>
    <n v="1169"/>
    <n v="0.19993158884898238"/>
    <s v="OK"/>
  </r>
  <r>
    <s v="ORD196"/>
    <x v="5"/>
    <x v="1"/>
    <x v="0"/>
    <x v="5"/>
    <x v="1"/>
    <n v="84529"/>
    <n v="54944"/>
    <n v="29585"/>
    <n v="0.34999822546108439"/>
    <s v="OK"/>
  </r>
  <r>
    <s v="ORD197"/>
    <x v="15"/>
    <x v="2"/>
    <x v="2"/>
    <x v="0"/>
    <x v="1"/>
    <n v="56845"/>
    <n v="34675"/>
    <n v="22170"/>
    <n v="0.3900079162635236"/>
    <s v="OK"/>
  </r>
  <r>
    <s v="ORD198"/>
    <x v="20"/>
    <x v="3"/>
    <x v="0"/>
    <x v="0"/>
    <x v="1"/>
    <n v="87070"/>
    <n v="56596"/>
    <n v="30474"/>
    <n v="0.3499942574939704"/>
    <s v="OK"/>
  </r>
  <r>
    <s v="ORD199"/>
    <x v="3"/>
    <x v="2"/>
    <x v="1"/>
    <x v="3"/>
    <x v="1"/>
    <n v="83149"/>
    <n v="59867"/>
    <n v="23282"/>
    <n v="0.28000336744879673"/>
    <s v="OK"/>
  </r>
  <r>
    <s v="ORD200"/>
    <x v="3"/>
    <x v="2"/>
    <x v="0"/>
    <x v="5"/>
    <x v="0"/>
    <n v="82636"/>
    <n v="63630"/>
    <n v="19006"/>
    <n v="0.22999661164625587"/>
    <s v="OK"/>
  </r>
  <r>
    <s v="ORD201"/>
    <x v="27"/>
    <x v="2"/>
    <x v="2"/>
    <x v="3"/>
    <x v="1"/>
    <n v="56295"/>
    <n v="43910"/>
    <n v="12385"/>
    <n v="0.22000177635669244"/>
    <s v="OK"/>
  </r>
  <r>
    <s v="ORD202"/>
    <x v="14"/>
    <x v="2"/>
    <x v="2"/>
    <x v="3"/>
    <x v="1"/>
    <n v="27854"/>
    <n v="19219"/>
    <n v="8635"/>
    <n v="0.31000933438644362"/>
    <s v="OK"/>
  </r>
  <r>
    <s v="ORD203"/>
    <x v="16"/>
    <x v="0"/>
    <x v="2"/>
    <x v="9"/>
    <x v="1"/>
    <n v="74997"/>
    <n v="56248"/>
    <n v="18749"/>
    <n v="0.249996666533328"/>
    <s v="OK"/>
  </r>
  <r>
    <s v="ORD204"/>
    <x v="1"/>
    <x v="2"/>
    <x v="1"/>
    <x v="6"/>
    <x v="0"/>
    <n v="59619"/>
    <n v="44714"/>
    <n v="14905"/>
    <n v="0.25000419329408408"/>
    <s v="OK"/>
  </r>
  <r>
    <s v="ORD205"/>
    <x v="15"/>
    <x v="2"/>
    <x v="1"/>
    <x v="8"/>
    <x v="0"/>
    <n v="57974"/>
    <n v="40582"/>
    <n v="17392"/>
    <n v="0.29999655017766585"/>
    <s v="OK"/>
  </r>
  <r>
    <s v="ORD206"/>
    <x v="16"/>
    <x v="0"/>
    <x v="2"/>
    <x v="8"/>
    <x v="0"/>
    <n v="73212"/>
    <n v="51248"/>
    <n v="21964"/>
    <n v="0.30000546358520463"/>
    <s v="OK"/>
  </r>
  <r>
    <s v="ORD207"/>
    <x v="2"/>
    <x v="1"/>
    <x v="2"/>
    <x v="5"/>
    <x v="0"/>
    <n v="85150"/>
    <n v="63863"/>
    <n v="21287"/>
    <n v="0.24999412800939519"/>
    <s v="OK"/>
  </r>
  <r>
    <s v="ORD208"/>
    <x v="14"/>
    <x v="2"/>
    <x v="2"/>
    <x v="1"/>
    <x v="0"/>
    <n v="57263"/>
    <n v="45238"/>
    <n v="12025"/>
    <n v="0.2099959834448073"/>
    <s v="OK"/>
  </r>
  <r>
    <s v="ORD209"/>
    <x v="6"/>
    <x v="3"/>
    <x v="0"/>
    <x v="4"/>
    <x v="0"/>
    <n v="45146"/>
    <n v="30699"/>
    <n v="14447"/>
    <n v="0.32000620209985381"/>
    <s v="OK"/>
  </r>
  <r>
    <s v="ORD210"/>
    <x v="1"/>
    <x v="1"/>
    <x v="1"/>
    <x v="4"/>
    <x v="0"/>
    <n v="75630"/>
    <n v="47647"/>
    <n v="27983"/>
    <n v="0.36999867777337037"/>
    <s v="OK"/>
  </r>
  <r>
    <s v="ORD211"/>
    <x v="21"/>
    <x v="2"/>
    <x v="1"/>
    <x v="5"/>
    <x v="0"/>
    <n v="64972"/>
    <n v="50678"/>
    <n v="14294"/>
    <n v="0.22000246259927353"/>
    <s v="OK"/>
  </r>
  <r>
    <s v="ORD212"/>
    <x v="5"/>
    <x v="1"/>
    <x v="2"/>
    <x v="5"/>
    <x v="1"/>
    <n v="11898"/>
    <n v="7615"/>
    <n v="4283"/>
    <n v="0.35997646663304755"/>
    <s v="OK"/>
  </r>
  <r>
    <s v="ORD213"/>
    <x v="5"/>
    <x v="1"/>
    <x v="1"/>
    <x v="9"/>
    <x v="1"/>
    <n v="62911"/>
    <n v="43409"/>
    <n v="19502"/>
    <n v="0.30999348285673411"/>
    <s v="OK"/>
  </r>
  <r>
    <s v="ORD214"/>
    <x v="13"/>
    <x v="2"/>
    <x v="1"/>
    <x v="0"/>
    <x v="0"/>
    <n v="89576"/>
    <n v="59120"/>
    <n v="30456"/>
    <n v="0.34000178619273019"/>
    <s v="OK"/>
  </r>
  <r>
    <s v="ORD215"/>
    <x v="24"/>
    <x v="2"/>
    <x v="0"/>
    <x v="7"/>
    <x v="0"/>
    <n v="49851"/>
    <n v="31905"/>
    <n v="17946"/>
    <n v="0.35999277847986999"/>
    <s v="OK"/>
  </r>
  <r>
    <s v="ORD216"/>
    <x v="25"/>
    <x v="1"/>
    <x v="0"/>
    <x v="0"/>
    <x v="1"/>
    <n v="19130"/>
    <n v="13008"/>
    <n v="6122"/>
    <n v="0.3200209095661265"/>
    <s v="OK"/>
  </r>
  <r>
    <s v="ORD217"/>
    <x v="20"/>
    <x v="3"/>
    <x v="0"/>
    <x v="0"/>
    <x v="0"/>
    <n v="19466"/>
    <n v="12653"/>
    <n v="6813"/>
    <n v="0.34999486283776843"/>
    <s v="OK"/>
  </r>
  <r>
    <s v="ORD218"/>
    <x v="0"/>
    <x v="3"/>
    <x v="1"/>
    <x v="6"/>
    <x v="1"/>
    <n v="42856"/>
    <n v="27856"/>
    <n v="15000"/>
    <n v="0.35000933358222885"/>
    <s v="OK"/>
  </r>
  <r>
    <s v="ORD219"/>
    <x v="15"/>
    <x v="1"/>
    <x v="2"/>
    <x v="3"/>
    <x v="1"/>
    <n v="19435"/>
    <n v="15548"/>
    <n v="3887"/>
    <n v="0.2"/>
    <s v="OK"/>
  </r>
  <r>
    <s v="ORD220"/>
    <x v="22"/>
    <x v="1"/>
    <x v="0"/>
    <x v="6"/>
    <x v="0"/>
    <n v="68585"/>
    <n v="43209"/>
    <n v="25376"/>
    <n v="0.36999343879857111"/>
    <s v="OK"/>
  </r>
  <r>
    <s v="ORD221"/>
    <x v="10"/>
    <x v="0"/>
    <x v="2"/>
    <x v="7"/>
    <x v="0"/>
    <n v="53031"/>
    <n v="37652"/>
    <n v="15379"/>
    <n v="0.29000018856895021"/>
    <s v="OK"/>
  </r>
  <r>
    <s v="ORD222"/>
    <x v="4"/>
    <x v="3"/>
    <x v="0"/>
    <x v="1"/>
    <x v="0"/>
    <n v="63036"/>
    <n v="43495"/>
    <n v="19541"/>
    <n v="0.30999746176787868"/>
    <s v="OK"/>
  </r>
  <r>
    <s v="ORD223"/>
    <x v="6"/>
    <x v="3"/>
    <x v="0"/>
    <x v="4"/>
    <x v="0"/>
    <n v="65939"/>
    <n v="47476"/>
    <n v="18463"/>
    <n v="0.28000121324254235"/>
    <s v="OK"/>
  </r>
  <r>
    <s v="ORD224"/>
    <x v="20"/>
    <x v="3"/>
    <x v="1"/>
    <x v="4"/>
    <x v="0"/>
    <n v="34316"/>
    <n v="26080"/>
    <n v="8236"/>
    <n v="0.24000466254808253"/>
    <s v="OK"/>
  </r>
  <r>
    <s v="ORD225"/>
    <x v="0"/>
    <x v="3"/>
    <x v="1"/>
    <x v="8"/>
    <x v="0"/>
    <n v="80234"/>
    <n v="50547"/>
    <n v="29687"/>
    <n v="0.37000523468853602"/>
    <s v="OK"/>
  </r>
  <r>
    <s v="ORD226"/>
    <x v="19"/>
    <x v="1"/>
    <x v="2"/>
    <x v="2"/>
    <x v="1"/>
    <n v="94126"/>
    <n v="67771"/>
    <n v="26355"/>
    <n v="0.27999702526400783"/>
    <s v="OK"/>
  </r>
  <r>
    <s v="ORD227"/>
    <x v="9"/>
    <x v="3"/>
    <x v="0"/>
    <x v="7"/>
    <x v="0"/>
    <n v="94004"/>
    <n v="56402"/>
    <n v="37602"/>
    <n v="0.40000425513807925"/>
    <s v="OK"/>
  </r>
  <r>
    <s v="ORD228"/>
    <x v="14"/>
    <x v="3"/>
    <x v="1"/>
    <x v="3"/>
    <x v="0"/>
    <n v="43641"/>
    <n v="29676"/>
    <n v="13965"/>
    <n v="0.31999725029215648"/>
    <s v="OK"/>
  </r>
  <r>
    <s v="ORD229"/>
    <x v="25"/>
    <x v="1"/>
    <x v="2"/>
    <x v="9"/>
    <x v="1"/>
    <n v="31381"/>
    <n v="24163"/>
    <n v="7218"/>
    <n v="0.23001179057391416"/>
    <s v="OK"/>
  </r>
  <r>
    <s v="ORD230"/>
    <x v="16"/>
    <x v="3"/>
    <x v="1"/>
    <x v="6"/>
    <x v="1"/>
    <n v="90209"/>
    <n v="66755"/>
    <n v="23454"/>
    <n v="0.25999623097473645"/>
    <s v="OK"/>
  </r>
  <r>
    <s v="ORD231"/>
    <x v="12"/>
    <x v="2"/>
    <x v="0"/>
    <x v="6"/>
    <x v="0"/>
    <n v="15940"/>
    <n v="10520"/>
    <n v="5420"/>
    <n v="0.34002509410288584"/>
    <s v="OK"/>
  </r>
  <r>
    <s v="ORD232"/>
    <x v="21"/>
    <x v="2"/>
    <x v="1"/>
    <x v="2"/>
    <x v="0"/>
    <n v="24387"/>
    <n v="19022"/>
    <n v="5365"/>
    <n v="0.21999425923647845"/>
    <s v="OK"/>
  </r>
  <r>
    <s v="ORD233"/>
    <x v="24"/>
    <x v="2"/>
    <x v="1"/>
    <x v="3"/>
    <x v="1"/>
    <n v="64468"/>
    <n v="50285"/>
    <n v="14183"/>
    <n v="0.22000062046286531"/>
    <s v="OK"/>
  </r>
  <r>
    <s v="ORD234"/>
    <x v="16"/>
    <x v="2"/>
    <x v="1"/>
    <x v="6"/>
    <x v="0"/>
    <n v="26169"/>
    <n v="20150"/>
    <n v="6019"/>
    <n v="0.23000496770988574"/>
    <s v="OK"/>
  </r>
  <r>
    <s v="ORD235"/>
    <x v="1"/>
    <x v="0"/>
    <x v="2"/>
    <x v="7"/>
    <x v="1"/>
    <n v="70585"/>
    <n v="54350"/>
    <n v="16235"/>
    <n v="0.23000637529220089"/>
    <s v="OK"/>
  </r>
  <r>
    <s v="ORD236"/>
    <x v="23"/>
    <x v="2"/>
    <x v="2"/>
    <x v="6"/>
    <x v="1"/>
    <n v="79560"/>
    <n v="58079"/>
    <n v="21481"/>
    <n v="0.26999748617395675"/>
    <s v="OK"/>
  </r>
  <r>
    <s v="ORD237"/>
    <x v="2"/>
    <x v="0"/>
    <x v="1"/>
    <x v="7"/>
    <x v="0"/>
    <n v="30481"/>
    <n v="22861"/>
    <n v="7620"/>
    <n v="0.24999179816935141"/>
    <s v="OK"/>
  </r>
  <r>
    <s v="ORD238"/>
    <x v="8"/>
    <x v="0"/>
    <x v="1"/>
    <x v="9"/>
    <x v="1"/>
    <n v="34350"/>
    <n v="22671"/>
    <n v="11679"/>
    <n v="0.34"/>
    <s v="OK"/>
  </r>
  <r>
    <s v="ORD239"/>
    <x v="25"/>
    <x v="2"/>
    <x v="1"/>
    <x v="2"/>
    <x v="0"/>
    <n v="20093"/>
    <n v="12659"/>
    <n v="7434"/>
    <n v="0.3699795948837904"/>
    <s v="OK"/>
  </r>
  <r>
    <s v="ORD240"/>
    <x v="6"/>
    <x v="1"/>
    <x v="0"/>
    <x v="2"/>
    <x v="1"/>
    <n v="94217"/>
    <n v="68778"/>
    <n v="25439"/>
    <n v="0.27000435165628284"/>
    <s v="OK"/>
  </r>
  <r>
    <s v="ORD241"/>
    <x v="26"/>
    <x v="0"/>
    <x v="0"/>
    <x v="7"/>
    <x v="0"/>
    <n v="99379"/>
    <n v="63603"/>
    <n v="35776"/>
    <n v="0.35999557250525765"/>
    <s v="OK"/>
  </r>
  <r>
    <s v="ORD242"/>
    <x v="21"/>
    <x v="2"/>
    <x v="0"/>
    <x v="3"/>
    <x v="1"/>
    <n v="82930"/>
    <n v="63027"/>
    <n v="19903"/>
    <n v="0.23999758832750512"/>
    <s v="OK"/>
  </r>
  <r>
    <s v="ORD243"/>
    <x v="2"/>
    <x v="0"/>
    <x v="2"/>
    <x v="5"/>
    <x v="1"/>
    <n v="29449"/>
    <n v="19436"/>
    <n v="10013"/>
    <n v="0.34001154538354444"/>
    <s v="OK"/>
  </r>
  <r>
    <s v="ORD244"/>
    <x v="4"/>
    <x v="3"/>
    <x v="2"/>
    <x v="1"/>
    <x v="1"/>
    <n v="85547"/>
    <n v="53895"/>
    <n v="31652"/>
    <n v="0.36999544110255184"/>
    <s v="OK"/>
  </r>
  <r>
    <s v="ORD245"/>
    <x v="24"/>
    <x v="3"/>
    <x v="2"/>
    <x v="7"/>
    <x v="0"/>
    <n v="9018"/>
    <n v="6583"/>
    <n v="2435"/>
    <n v="0.27001552450654248"/>
    <s v="OK"/>
  </r>
  <r>
    <s v="ORD246"/>
    <x v="10"/>
    <x v="1"/>
    <x v="1"/>
    <x v="9"/>
    <x v="1"/>
    <n v="37398"/>
    <n v="28796"/>
    <n v="8602"/>
    <n v="0.23001230012300122"/>
    <s v="OK"/>
  </r>
  <r>
    <s v="ORD247"/>
    <x v="12"/>
    <x v="2"/>
    <x v="1"/>
    <x v="1"/>
    <x v="0"/>
    <n v="58924"/>
    <n v="45371"/>
    <n v="13553"/>
    <n v="0.23000814608648429"/>
    <s v="OK"/>
  </r>
  <r>
    <s v="ORD248"/>
    <x v="6"/>
    <x v="1"/>
    <x v="0"/>
    <x v="7"/>
    <x v="1"/>
    <n v="73507"/>
    <n v="52925"/>
    <n v="20582"/>
    <n v="0.28000054416586173"/>
    <s v="OK"/>
  </r>
  <r>
    <s v="ORD249"/>
    <x v="5"/>
    <x v="3"/>
    <x v="2"/>
    <x v="6"/>
    <x v="0"/>
    <n v="7311"/>
    <n v="4679"/>
    <n v="2632"/>
    <n v="0.3600054712077691"/>
    <s v="OK"/>
  </r>
  <r>
    <s v="ORD250"/>
    <x v="14"/>
    <x v="3"/>
    <x v="1"/>
    <x v="8"/>
    <x v="0"/>
    <n v="63348"/>
    <n v="39909"/>
    <n v="23439"/>
    <n v="0.37000378859632505"/>
    <s v="OK"/>
  </r>
  <r>
    <s v="ORD251"/>
    <x v="3"/>
    <x v="2"/>
    <x v="2"/>
    <x v="8"/>
    <x v="0"/>
    <n v="80651"/>
    <n v="59682"/>
    <n v="20969"/>
    <n v="0.25999677623340073"/>
    <s v="OK"/>
  </r>
  <r>
    <s v="ORD252"/>
    <x v="14"/>
    <x v="0"/>
    <x v="0"/>
    <x v="3"/>
    <x v="0"/>
    <n v="41435"/>
    <n v="29833"/>
    <n v="11602"/>
    <n v="0.28000482683721489"/>
    <s v="OK"/>
  </r>
  <r>
    <s v="ORD253"/>
    <x v="26"/>
    <x v="1"/>
    <x v="1"/>
    <x v="3"/>
    <x v="0"/>
    <n v="14255"/>
    <n v="9693"/>
    <n v="4562"/>
    <n v="0.32002806032970887"/>
    <s v="OK"/>
  </r>
  <r>
    <s v="ORD254"/>
    <x v="11"/>
    <x v="1"/>
    <x v="1"/>
    <x v="8"/>
    <x v="1"/>
    <n v="39869"/>
    <n v="27908"/>
    <n v="11961"/>
    <n v="0.30000752464320651"/>
    <s v="OK"/>
  </r>
  <r>
    <s v="ORD255"/>
    <x v="25"/>
    <x v="2"/>
    <x v="0"/>
    <x v="0"/>
    <x v="1"/>
    <n v="98472"/>
    <n v="64007"/>
    <n v="34465"/>
    <n v="0.34999796896579738"/>
    <s v="OK"/>
  </r>
  <r>
    <s v="ORD256"/>
    <x v="26"/>
    <x v="2"/>
    <x v="2"/>
    <x v="6"/>
    <x v="1"/>
    <n v="61524"/>
    <n v="46758"/>
    <n v="14766"/>
    <n v="0.24000390091671542"/>
    <s v="OK"/>
  </r>
  <r>
    <s v="ORD257"/>
    <x v="9"/>
    <x v="1"/>
    <x v="2"/>
    <x v="9"/>
    <x v="1"/>
    <n v="11842"/>
    <n v="7579"/>
    <n v="4263"/>
    <n v="0.35998986657659177"/>
    <s v="OK"/>
  </r>
  <r>
    <s v="ORD258"/>
    <x v="23"/>
    <x v="2"/>
    <x v="0"/>
    <x v="7"/>
    <x v="0"/>
    <n v="67073"/>
    <n v="48963"/>
    <n v="18110"/>
    <n v="0.27000432364736926"/>
    <s v="OK"/>
  </r>
  <r>
    <s v="ORD259"/>
    <x v="12"/>
    <x v="3"/>
    <x v="1"/>
    <x v="9"/>
    <x v="1"/>
    <n v="75188"/>
    <n v="50376"/>
    <n v="24812"/>
    <n v="0.32999946800021279"/>
    <s v="OK"/>
  </r>
  <r>
    <s v="ORD260"/>
    <x v="13"/>
    <x v="2"/>
    <x v="0"/>
    <x v="2"/>
    <x v="0"/>
    <n v="63466"/>
    <n v="47600"/>
    <n v="15866"/>
    <n v="0.24999212176598493"/>
    <s v="OK"/>
  </r>
  <r>
    <s v="ORD261"/>
    <x v="17"/>
    <x v="3"/>
    <x v="2"/>
    <x v="3"/>
    <x v="1"/>
    <n v="50500"/>
    <n v="30300"/>
    <n v="20200"/>
    <n v="0.4"/>
    <s v="OK"/>
  </r>
  <r>
    <s v="ORD262"/>
    <x v="26"/>
    <x v="0"/>
    <x v="0"/>
    <x v="1"/>
    <x v="0"/>
    <n v="52563"/>
    <n v="36268"/>
    <n v="16295"/>
    <n v="0.3100089416509712"/>
    <s v="OK"/>
  </r>
  <r>
    <s v="ORD263"/>
    <x v="8"/>
    <x v="0"/>
    <x v="1"/>
    <x v="1"/>
    <x v="1"/>
    <n v="40884"/>
    <n v="32707"/>
    <n v="8177"/>
    <n v="0.20000489188924764"/>
    <s v="OK"/>
  </r>
  <r>
    <s v="ORD264"/>
    <x v="15"/>
    <x v="3"/>
    <x v="1"/>
    <x v="0"/>
    <x v="0"/>
    <n v="98905"/>
    <n v="61321"/>
    <n v="37584"/>
    <n v="0.38000101107122997"/>
    <s v="OK"/>
  </r>
  <r>
    <s v="ORD265"/>
    <x v="23"/>
    <x v="0"/>
    <x v="2"/>
    <x v="6"/>
    <x v="1"/>
    <n v="11851"/>
    <n v="8414"/>
    <n v="3437"/>
    <n v="0.29001772002362669"/>
    <s v="OK"/>
  </r>
  <r>
    <s v="ORD266"/>
    <x v="11"/>
    <x v="0"/>
    <x v="2"/>
    <x v="8"/>
    <x v="1"/>
    <n v="26871"/>
    <n v="16660"/>
    <n v="10211"/>
    <n v="0.38000074429682557"/>
    <s v="OK"/>
  </r>
  <r>
    <s v="ORD267"/>
    <x v="7"/>
    <x v="0"/>
    <x v="2"/>
    <x v="7"/>
    <x v="0"/>
    <n v="46721"/>
    <n v="35041"/>
    <n v="11680"/>
    <n v="0.24999464908713426"/>
    <s v="OK"/>
  </r>
  <r>
    <s v="ORD268"/>
    <x v="4"/>
    <x v="1"/>
    <x v="0"/>
    <x v="0"/>
    <x v="1"/>
    <n v="95756"/>
    <n v="74690"/>
    <n v="21066"/>
    <n v="0.21999665817285602"/>
    <s v="OK"/>
  </r>
  <r>
    <s v="ORD269"/>
    <x v="18"/>
    <x v="0"/>
    <x v="2"/>
    <x v="2"/>
    <x v="0"/>
    <n v="70255"/>
    <n v="55501"/>
    <n v="14754"/>
    <n v="0.21000640523806136"/>
    <s v="OK"/>
  </r>
  <r>
    <s v="ORD270"/>
    <x v="3"/>
    <x v="0"/>
    <x v="1"/>
    <x v="1"/>
    <x v="0"/>
    <n v="26541"/>
    <n v="19375"/>
    <n v="7166"/>
    <n v="0.26999736257111639"/>
    <s v="OK"/>
  </r>
  <r>
    <s v="ORD271"/>
    <x v="21"/>
    <x v="1"/>
    <x v="1"/>
    <x v="1"/>
    <x v="0"/>
    <n v="80083"/>
    <n v="59261"/>
    <n v="20822"/>
    <n v="0.26000524455877028"/>
    <s v="OK"/>
  </r>
  <r>
    <s v="ORD272"/>
    <x v="15"/>
    <x v="0"/>
    <x v="1"/>
    <x v="0"/>
    <x v="0"/>
    <n v="13465"/>
    <n v="8887"/>
    <n v="4578"/>
    <n v="0.33999257333828442"/>
    <s v="OK"/>
  </r>
  <r>
    <s v="ORD273"/>
    <x v="8"/>
    <x v="3"/>
    <x v="1"/>
    <x v="1"/>
    <x v="0"/>
    <n v="6230"/>
    <n v="4859"/>
    <n v="1371"/>
    <n v="0.22006420545746389"/>
    <s v="OK"/>
  </r>
  <r>
    <s v="ORD274"/>
    <x v="0"/>
    <x v="1"/>
    <x v="1"/>
    <x v="8"/>
    <x v="1"/>
    <n v="17427"/>
    <n v="10456"/>
    <n v="6971"/>
    <n v="0.40001147644459745"/>
    <s v="OK"/>
  </r>
  <r>
    <s v="ORD275"/>
    <x v="14"/>
    <x v="1"/>
    <x v="2"/>
    <x v="9"/>
    <x v="0"/>
    <n v="98340"/>
    <n v="71788"/>
    <n v="26552"/>
    <n v="0.27000203376042303"/>
    <s v="OK"/>
  </r>
  <r>
    <s v="ORD276"/>
    <x v="2"/>
    <x v="0"/>
    <x v="1"/>
    <x v="9"/>
    <x v="1"/>
    <n v="53583"/>
    <n v="32150"/>
    <n v="21433"/>
    <n v="0.39999626747289252"/>
    <s v="OK"/>
  </r>
  <r>
    <s v="ORD277"/>
    <x v="27"/>
    <x v="0"/>
    <x v="1"/>
    <x v="0"/>
    <x v="1"/>
    <n v="82058"/>
    <n v="51697"/>
    <n v="30361"/>
    <n v="0.36999439420897412"/>
    <s v="OK"/>
  </r>
  <r>
    <s v="ORD278"/>
    <x v="14"/>
    <x v="0"/>
    <x v="2"/>
    <x v="0"/>
    <x v="0"/>
    <n v="49379"/>
    <n v="35553"/>
    <n v="13826"/>
    <n v="0.27999756981712876"/>
    <s v="OK"/>
  </r>
  <r>
    <s v="ORD279"/>
    <x v="18"/>
    <x v="1"/>
    <x v="0"/>
    <x v="2"/>
    <x v="0"/>
    <n v="42345"/>
    <n v="27101"/>
    <n v="15244"/>
    <n v="0.35999527689219507"/>
    <s v="OK"/>
  </r>
  <r>
    <s v="ORD280"/>
    <x v="18"/>
    <x v="2"/>
    <x v="2"/>
    <x v="2"/>
    <x v="0"/>
    <n v="76582"/>
    <n v="59734"/>
    <n v="16848"/>
    <n v="0.21999947768405109"/>
    <s v="OK"/>
  </r>
  <r>
    <s v="ORD281"/>
    <x v="15"/>
    <x v="3"/>
    <x v="0"/>
    <x v="2"/>
    <x v="1"/>
    <n v="81510"/>
    <n v="50536"/>
    <n v="30974"/>
    <n v="0.38000245368666419"/>
    <s v="OK"/>
  </r>
  <r>
    <s v="ORD282"/>
    <x v="26"/>
    <x v="0"/>
    <x v="1"/>
    <x v="3"/>
    <x v="0"/>
    <n v="68808"/>
    <n v="47478"/>
    <n v="21330"/>
    <n v="0.30999302406696894"/>
    <s v="OK"/>
  </r>
  <r>
    <s v="ORD283"/>
    <x v="16"/>
    <x v="3"/>
    <x v="1"/>
    <x v="8"/>
    <x v="1"/>
    <n v="41293"/>
    <n v="30557"/>
    <n v="10736"/>
    <n v="0.25999564090765992"/>
    <s v="OK"/>
  </r>
  <r>
    <s v="ORD284"/>
    <x v="21"/>
    <x v="0"/>
    <x v="1"/>
    <x v="6"/>
    <x v="0"/>
    <n v="57142"/>
    <n v="39428"/>
    <n v="17714"/>
    <n v="0.30999964999474994"/>
    <s v="OK"/>
  </r>
  <r>
    <s v="ORD285"/>
    <x v="11"/>
    <x v="1"/>
    <x v="0"/>
    <x v="1"/>
    <x v="0"/>
    <n v="35157"/>
    <n v="23204"/>
    <n v="11953"/>
    <n v="0.33998919134169581"/>
    <s v="OK"/>
  </r>
  <r>
    <s v="ORD286"/>
    <x v="17"/>
    <x v="1"/>
    <x v="0"/>
    <x v="6"/>
    <x v="1"/>
    <n v="90166"/>
    <n v="69428"/>
    <n v="20738"/>
    <n v="0.22999800368209747"/>
    <s v="OK"/>
  </r>
  <r>
    <s v="ORD287"/>
    <x v="1"/>
    <x v="3"/>
    <x v="0"/>
    <x v="5"/>
    <x v="0"/>
    <n v="38333"/>
    <n v="27600"/>
    <n v="10733"/>
    <n v="0.27999373907599195"/>
    <s v="OK"/>
  </r>
  <r>
    <s v="ORD288"/>
    <x v="19"/>
    <x v="2"/>
    <x v="2"/>
    <x v="9"/>
    <x v="1"/>
    <n v="78280"/>
    <n v="62624"/>
    <n v="15656"/>
    <n v="0.2"/>
    <s v="OK"/>
  </r>
  <r>
    <s v="ORD289"/>
    <x v="25"/>
    <x v="2"/>
    <x v="2"/>
    <x v="6"/>
    <x v="0"/>
    <n v="26421"/>
    <n v="21137"/>
    <n v="5284"/>
    <n v="0.19999243026380531"/>
    <s v="OK"/>
  </r>
  <r>
    <s v="ORD290"/>
    <x v="22"/>
    <x v="2"/>
    <x v="1"/>
    <x v="2"/>
    <x v="1"/>
    <n v="72238"/>
    <n v="44788"/>
    <n v="27450"/>
    <n v="0.37999390902295194"/>
    <s v="OK"/>
  </r>
  <r>
    <s v="ORD291"/>
    <x v="26"/>
    <x v="3"/>
    <x v="1"/>
    <x v="2"/>
    <x v="0"/>
    <n v="66651"/>
    <n v="41324"/>
    <n v="25327"/>
    <n v="0.37999429866018514"/>
    <s v="OK"/>
  </r>
  <r>
    <s v="ORD292"/>
    <x v="2"/>
    <x v="1"/>
    <x v="0"/>
    <x v="8"/>
    <x v="1"/>
    <n v="89971"/>
    <n v="63879"/>
    <n v="26092"/>
    <n v="0.29000455702392991"/>
    <s v="OK"/>
  </r>
  <r>
    <s v="ORD293"/>
    <x v="13"/>
    <x v="1"/>
    <x v="1"/>
    <x v="0"/>
    <x v="0"/>
    <n v="63863"/>
    <n v="42788"/>
    <n v="21075"/>
    <n v="0.33000328828899361"/>
    <s v="OK"/>
  </r>
  <r>
    <s v="ORD294"/>
    <x v="4"/>
    <x v="1"/>
    <x v="2"/>
    <x v="7"/>
    <x v="1"/>
    <n v="27365"/>
    <n v="21892"/>
    <n v="5473"/>
    <n v="0.2"/>
    <s v="OK"/>
  </r>
  <r>
    <s v="ORD295"/>
    <x v="22"/>
    <x v="3"/>
    <x v="0"/>
    <x v="1"/>
    <x v="0"/>
    <n v="39111"/>
    <n v="27378"/>
    <n v="11733"/>
    <n v="0.29999232952366339"/>
    <s v="OK"/>
  </r>
  <r>
    <s v="ORD296"/>
    <x v="16"/>
    <x v="0"/>
    <x v="1"/>
    <x v="3"/>
    <x v="0"/>
    <n v="70274"/>
    <n v="47786"/>
    <n v="22488"/>
    <n v="0.3200045536044625"/>
    <s v="OK"/>
  </r>
  <r>
    <s v="ORD297"/>
    <x v="20"/>
    <x v="2"/>
    <x v="0"/>
    <x v="7"/>
    <x v="1"/>
    <n v="25806"/>
    <n v="19096"/>
    <n v="6710"/>
    <n v="0.26001705029838024"/>
    <s v="OK"/>
  </r>
  <r>
    <s v="ORD298"/>
    <x v="5"/>
    <x v="1"/>
    <x v="2"/>
    <x v="2"/>
    <x v="0"/>
    <n v="75251"/>
    <n v="59448"/>
    <n v="15803"/>
    <n v="0.21000385376938513"/>
    <s v="OK"/>
  </r>
  <r>
    <s v="ORD299"/>
    <x v="2"/>
    <x v="3"/>
    <x v="2"/>
    <x v="6"/>
    <x v="0"/>
    <n v="69173"/>
    <n v="50496"/>
    <n v="18677"/>
    <n v="0.27000419238720308"/>
    <s v="OK"/>
  </r>
  <r>
    <s v="ORD300"/>
    <x v="18"/>
    <x v="2"/>
    <x v="1"/>
    <x v="2"/>
    <x v="0"/>
    <n v="48847"/>
    <n v="37124"/>
    <n v="11723"/>
    <n v="0.23999426781583311"/>
    <s v="OK"/>
  </r>
  <r>
    <s v="ORD301"/>
    <x v="7"/>
    <x v="1"/>
    <x v="0"/>
    <x v="3"/>
    <x v="0"/>
    <n v="75643"/>
    <n v="60514"/>
    <n v="15129"/>
    <n v="0.20000528799756753"/>
    <s v="OK"/>
  </r>
  <r>
    <s v="ORD302"/>
    <x v="21"/>
    <x v="1"/>
    <x v="2"/>
    <x v="2"/>
    <x v="1"/>
    <n v="20518"/>
    <n v="16414"/>
    <n v="4104"/>
    <n v="0.20001949507749292"/>
    <s v="OK"/>
  </r>
  <r>
    <s v="ORD303"/>
    <x v="22"/>
    <x v="3"/>
    <x v="1"/>
    <x v="3"/>
    <x v="1"/>
    <n v="94769"/>
    <n v="62548"/>
    <n v="32221"/>
    <n v="0.33999514609207654"/>
    <s v="OK"/>
  </r>
  <r>
    <s v="ORD304"/>
    <x v="2"/>
    <x v="1"/>
    <x v="0"/>
    <x v="3"/>
    <x v="0"/>
    <n v="10567"/>
    <n v="6552"/>
    <n v="4015"/>
    <n v="0.37995646825021295"/>
    <s v="OK"/>
  </r>
  <r>
    <s v="ORD305"/>
    <x v="1"/>
    <x v="1"/>
    <x v="1"/>
    <x v="2"/>
    <x v="1"/>
    <n v="28132"/>
    <n v="17723"/>
    <n v="10409"/>
    <n v="0.37000568747333995"/>
    <s v="OK"/>
  </r>
  <r>
    <s v="ORD306"/>
    <x v="22"/>
    <x v="3"/>
    <x v="2"/>
    <x v="4"/>
    <x v="0"/>
    <n v="12079"/>
    <n v="8697"/>
    <n v="3382"/>
    <n v="0.27999006540276511"/>
    <s v="OK"/>
  </r>
  <r>
    <s v="ORD307"/>
    <x v="27"/>
    <x v="0"/>
    <x v="0"/>
    <x v="6"/>
    <x v="0"/>
    <n v="87275"/>
    <n v="58474"/>
    <n v="28801"/>
    <n v="0.33000286450873673"/>
    <s v="OK"/>
  </r>
  <r>
    <s v="ORD308"/>
    <x v="26"/>
    <x v="3"/>
    <x v="1"/>
    <x v="8"/>
    <x v="0"/>
    <n v="40893"/>
    <n v="28216"/>
    <n v="12677"/>
    <n v="0.31000415719071722"/>
    <s v="OK"/>
  </r>
  <r>
    <s v="ORD309"/>
    <x v="11"/>
    <x v="1"/>
    <x v="1"/>
    <x v="7"/>
    <x v="0"/>
    <n v="92255"/>
    <n v="59966"/>
    <n v="32289"/>
    <n v="0.34999729011977671"/>
    <s v="OK"/>
  </r>
  <r>
    <s v="ORD310"/>
    <x v="21"/>
    <x v="3"/>
    <x v="1"/>
    <x v="7"/>
    <x v="1"/>
    <n v="94066"/>
    <n v="68668"/>
    <n v="25398"/>
    <n v="0.27000191355006059"/>
    <s v="OK"/>
  </r>
  <r>
    <s v="ORD311"/>
    <x v="15"/>
    <x v="3"/>
    <x v="0"/>
    <x v="6"/>
    <x v="0"/>
    <n v="54720"/>
    <n v="40493"/>
    <n v="14227"/>
    <n v="0.25999634502923974"/>
    <s v="OK"/>
  </r>
  <r>
    <s v="ORD312"/>
    <x v="10"/>
    <x v="2"/>
    <x v="2"/>
    <x v="4"/>
    <x v="0"/>
    <n v="74946"/>
    <n v="59957"/>
    <n v="14989"/>
    <n v="0.19999733141194995"/>
    <s v="OK"/>
  </r>
  <r>
    <s v="ORD313"/>
    <x v="7"/>
    <x v="3"/>
    <x v="1"/>
    <x v="6"/>
    <x v="0"/>
    <n v="69738"/>
    <n v="50211"/>
    <n v="19527"/>
    <n v="0.28000516217843929"/>
    <s v="OK"/>
  </r>
  <r>
    <s v="ORD314"/>
    <x v="7"/>
    <x v="1"/>
    <x v="0"/>
    <x v="1"/>
    <x v="0"/>
    <n v="19611"/>
    <n v="13532"/>
    <n v="6079"/>
    <n v="0.30997909336596807"/>
    <s v="OK"/>
  </r>
  <r>
    <s v="ORD315"/>
    <x v="18"/>
    <x v="3"/>
    <x v="0"/>
    <x v="0"/>
    <x v="0"/>
    <n v="53155"/>
    <n v="41992"/>
    <n v="11163"/>
    <n v="0.21000846580754398"/>
    <s v="OK"/>
  </r>
  <r>
    <s v="ORD316"/>
    <x v="17"/>
    <x v="0"/>
    <x v="0"/>
    <x v="3"/>
    <x v="0"/>
    <n v="92014"/>
    <n v="69931"/>
    <n v="22083"/>
    <n v="0.23999608755189428"/>
    <s v="OK"/>
  </r>
  <r>
    <s v="ORD317"/>
    <x v="24"/>
    <x v="1"/>
    <x v="1"/>
    <x v="5"/>
    <x v="1"/>
    <n v="62908"/>
    <n v="47181"/>
    <n v="15727"/>
    <n v="0.25"/>
    <s v="OK"/>
  </r>
  <r>
    <s v="ORD318"/>
    <x v="2"/>
    <x v="1"/>
    <x v="2"/>
    <x v="0"/>
    <x v="1"/>
    <n v="58037"/>
    <n v="44688"/>
    <n v="13349"/>
    <n v="0.23000844288988059"/>
    <s v="OK"/>
  </r>
  <r>
    <s v="ORD319"/>
    <x v="22"/>
    <x v="2"/>
    <x v="1"/>
    <x v="1"/>
    <x v="1"/>
    <n v="22398"/>
    <n v="14783"/>
    <n v="7615"/>
    <n v="0.33998571301009017"/>
    <s v="OK"/>
  </r>
  <r>
    <s v="ORD320"/>
    <x v="25"/>
    <x v="1"/>
    <x v="0"/>
    <x v="7"/>
    <x v="1"/>
    <n v="58063"/>
    <n v="40644"/>
    <n v="17419"/>
    <n v="0.30000172226719252"/>
    <s v="OK"/>
  </r>
  <r>
    <s v="ORD321"/>
    <x v="16"/>
    <x v="0"/>
    <x v="2"/>
    <x v="3"/>
    <x v="1"/>
    <n v="94961"/>
    <n v="65523"/>
    <n v="29438"/>
    <n v="0.31000094775750042"/>
    <s v="OK"/>
  </r>
  <r>
    <s v="ORD322"/>
    <x v="14"/>
    <x v="2"/>
    <x v="2"/>
    <x v="9"/>
    <x v="1"/>
    <n v="54989"/>
    <n v="36843"/>
    <n v="18146"/>
    <n v="0.32999327138154905"/>
    <s v="OK"/>
  </r>
  <r>
    <s v="ORD323"/>
    <x v="16"/>
    <x v="2"/>
    <x v="0"/>
    <x v="5"/>
    <x v="0"/>
    <n v="41832"/>
    <n v="31374"/>
    <n v="10458"/>
    <n v="0.25"/>
    <s v="OK"/>
  </r>
  <r>
    <s v="ORD324"/>
    <x v="11"/>
    <x v="3"/>
    <x v="0"/>
    <x v="1"/>
    <x v="0"/>
    <n v="60153"/>
    <n v="40904"/>
    <n v="19249"/>
    <n v="0.32000066497099067"/>
    <s v="OK"/>
  </r>
  <r>
    <s v="ORD325"/>
    <x v="2"/>
    <x v="0"/>
    <x v="1"/>
    <x v="0"/>
    <x v="1"/>
    <n v="90901"/>
    <n v="63631"/>
    <n v="27270"/>
    <n v="0.29999669970627385"/>
    <s v="OK"/>
  </r>
  <r>
    <s v="ORD326"/>
    <x v="27"/>
    <x v="1"/>
    <x v="0"/>
    <x v="3"/>
    <x v="1"/>
    <n v="23141"/>
    <n v="15504"/>
    <n v="7637"/>
    <n v="0.33002031027181195"/>
    <s v="OK"/>
  </r>
  <r>
    <s v="ORD327"/>
    <x v="13"/>
    <x v="2"/>
    <x v="0"/>
    <x v="0"/>
    <x v="0"/>
    <n v="61011"/>
    <n v="40267"/>
    <n v="20744"/>
    <n v="0.34000426152660995"/>
    <s v="OK"/>
  </r>
  <r>
    <s v="ORD328"/>
    <x v="26"/>
    <x v="3"/>
    <x v="1"/>
    <x v="7"/>
    <x v="1"/>
    <n v="96142"/>
    <n v="74029"/>
    <n v="22113"/>
    <n v="0.23000353643568888"/>
    <s v="OK"/>
  </r>
  <r>
    <s v="ORD329"/>
    <x v="15"/>
    <x v="2"/>
    <x v="0"/>
    <x v="8"/>
    <x v="0"/>
    <n v="22264"/>
    <n v="15585"/>
    <n v="6679"/>
    <n v="0.29999101688825008"/>
    <s v="OK"/>
  </r>
  <r>
    <s v="ORD330"/>
    <x v="26"/>
    <x v="0"/>
    <x v="2"/>
    <x v="1"/>
    <x v="0"/>
    <n v="39809"/>
    <n v="24283"/>
    <n v="15526"/>
    <n v="0.39001230877439774"/>
    <s v="OK"/>
  </r>
  <r>
    <s v="ORD331"/>
    <x v="24"/>
    <x v="1"/>
    <x v="1"/>
    <x v="0"/>
    <x v="0"/>
    <n v="45843"/>
    <n v="32090"/>
    <n v="13753"/>
    <n v="0.30000218135811357"/>
    <s v="OK"/>
  </r>
  <r>
    <s v="ORD332"/>
    <x v="2"/>
    <x v="3"/>
    <x v="1"/>
    <x v="3"/>
    <x v="0"/>
    <n v="68533"/>
    <n v="50029"/>
    <n v="18504"/>
    <n v="0.27000131323595933"/>
    <s v="OK"/>
  </r>
  <r>
    <s v="ORD333"/>
    <x v="8"/>
    <x v="3"/>
    <x v="0"/>
    <x v="0"/>
    <x v="1"/>
    <n v="26581"/>
    <n v="20202"/>
    <n v="6379"/>
    <n v="0.23998344682291864"/>
    <s v="OK"/>
  </r>
  <r>
    <s v="ORD334"/>
    <x v="22"/>
    <x v="0"/>
    <x v="0"/>
    <x v="5"/>
    <x v="1"/>
    <n v="73122"/>
    <n v="46067"/>
    <n v="27055"/>
    <n v="0.36999808539153745"/>
    <s v="OK"/>
  </r>
  <r>
    <s v="ORD335"/>
    <x v="22"/>
    <x v="3"/>
    <x v="0"/>
    <x v="1"/>
    <x v="0"/>
    <n v="90842"/>
    <n v="59047"/>
    <n v="31795"/>
    <n v="0.35000330243719863"/>
    <s v="OK"/>
  </r>
  <r>
    <s v="ORD336"/>
    <x v="19"/>
    <x v="2"/>
    <x v="1"/>
    <x v="5"/>
    <x v="0"/>
    <n v="39645"/>
    <n v="26959"/>
    <n v="12686"/>
    <n v="0.31998991045529068"/>
    <s v="OK"/>
  </r>
  <r>
    <s v="ORD337"/>
    <x v="1"/>
    <x v="1"/>
    <x v="1"/>
    <x v="9"/>
    <x v="0"/>
    <n v="14673"/>
    <n v="11298"/>
    <n v="3375"/>
    <n v="0.23001431200163566"/>
    <s v="OK"/>
  </r>
  <r>
    <s v="ORD338"/>
    <x v="0"/>
    <x v="3"/>
    <x v="1"/>
    <x v="3"/>
    <x v="0"/>
    <n v="35042"/>
    <n v="26282"/>
    <n v="8760"/>
    <n v="0.24998573140802466"/>
    <s v="OK"/>
  </r>
  <r>
    <s v="ORD339"/>
    <x v="17"/>
    <x v="2"/>
    <x v="0"/>
    <x v="2"/>
    <x v="0"/>
    <n v="13157"/>
    <n v="8947"/>
    <n v="4210"/>
    <n v="0.31998175875959567"/>
    <s v="OK"/>
  </r>
  <r>
    <s v="ORD340"/>
    <x v="27"/>
    <x v="3"/>
    <x v="2"/>
    <x v="6"/>
    <x v="1"/>
    <n v="32983"/>
    <n v="23088"/>
    <n v="9895"/>
    <n v="0.30000303186490013"/>
    <s v="OK"/>
  </r>
  <r>
    <s v="ORD341"/>
    <x v="5"/>
    <x v="2"/>
    <x v="0"/>
    <x v="4"/>
    <x v="0"/>
    <n v="40102"/>
    <n v="31280"/>
    <n v="8822"/>
    <n v="0.21998902797865444"/>
    <s v="OK"/>
  </r>
  <r>
    <s v="ORD342"/>
    <x v="10"/>
    <x v="0"/>
    <x v="2"/>
    <x v="8"/>
    <x v="1"/>
    <n v="7016"/>
    <n v="4560"/>
    <n v="2456"/>
    <n v="0.35005701254275939"/>
    <s v="OK"/>
  </r>
  <r>
    <s v="ORD343"/>
    <x v="2"/>
    <x v="3"/>
    <x v="0"/>
    <x v="2"/>
    <x v="1"/>
    <n v="63691"/>
    <n v="45858"/>
    <n v="17833"/>
    <n v="0.27999246361338337"/>
    <s v="OK"/>
  </r>
  <r>
    <s v="ORD344"/>
    <x v="23"/>
    <x v="2"/>
    <x v="1"/>
    <x v="9"/>
    <x v="1"/>
    <n v="65339"/>
    <n v="41164"/>
    <n v="24175"/>
    <n v="0.36999341893815335"/>
    <s v="OK"/>
  </r>
  <r>
    <s v="ORD345"/>
    <x v="14"/>
    <x v="3"/>
    <x v="2"/>
    <x v="3"/>
    <x v="0"/>
    <n v="52690"/>
    <n v="32668"/>
    <n v="20022"/>
    <n v="0.3799962042133232"/>
    <s v="OK"/>
  </r>
  <r>
    <s v="ORD346"/>
    <x v="25"/>
    <x v="3"/>
    <x v="2"/>
    <x v="3"/>
    <x v="1"/>
    <n v="54827"/>
    <n v="40572"/>
    <n v="14255"/>
    <n v="0.2599996352162256"/>
    <s v="OK"/>
  </r>
  <r>
    <s v="ORD347"/>
    <x v="14"/>
    <x v="1"/>
    <x v="0"/>
    <x v="1"/>
    <x v="1"/>
    <n v="60452"/>
    <n v="47153"/>
    <n v="13299"/>
    <n v="0.21999272149804805"/>
    <s v="OK"/>
  </r>
  <r>
    <s v="ORD348"/>
    <x v="19"/>
    <x v="1"/>
    <x v="2"/>
    <x v="6"/>
    <x v="0"/>
    <n v="49619"/>
    <n v="34733"/>
    <n v="14886"/>
    <n v="0.30000604607106152"/>
    <s v="OK"/>
  </r>
  <r>
    <s v="ORD349"/>
    <x v="23"/>
    <x v="0"/>
    <x v="2"/>
    <x v="1"/>
    <x v="0"/>
    <n v="71309"/>
    <n v="49916"/>
    <n v="21393"/>
    <n v="0.30000420704258929"/>
    <s v="OK"/>
  </r>
  <r>
    <s v="ORD350"/>
    <x v="8"/>
    <x v="1"/>
    <x v="1"/>
    <x v="9"/>
    <x v="0"/>
    <n v="63631"/>
    <n v="45178"/>
    <n v="18453"/>
    <n v="0.29000015715610317"/>
    <s v="OK"/>
  </r>
  <r>
    <s v="ORD351"/>
    <x v="19"/>
    <x v="1"/>
    <x v="2"/>
    <x v="8"/>
    <x v="0"/>
    <n v="73299"/>
    <n v="46178"/>
    <n v="27121"/>
    <n v="0.37000504781784199"/>
    <s v="OK"/>
  </r>
  <r>
    <s v="ORD352"/>
    <x v="3"/>
    <x v="1"/>
    <x v="0"/>
    <x v="0"/>
    <x v="1"/>
    <n v="16391"/>
    <n v="12785"/>
    <n v="3606"/>
    <n v="0.21999877981819291"/>
    <s v="OK"/>
  </r>
  <r>
    <s v="ORD353"/>
    <x v="24"/>
    <x v="2"/>
    <x v="1"/>
    <x v="1"/>
    <x v="0"/>
    <n v="54426"/>
    <n v="39187"/>
    <n v="15239"/>
    <n v="0.27999485539999264"/>
    <s v="OK"/>
  </r>
  <r>
    <s v="ORD354"/>
    <x v="7"/>
    <x v="2"/>
    <x v="2"/>
    <x v="0"/>
    <x v="1"/>
    <n v="65118"/>
    <n v="41676"/>
    <n v="23442"/>
    <n v="0.35999262876623978"/>
    <s v="OK"/>
  </r>
  <r>
    <s v="ORD355"/>
    <x v="0"/>
    <x v="2"/>
    <x v="1"/>
    <x v="0"/>
    <x v="0"/>
    <n v="95803"/>
    <n v="73768"/>
    <n v="22035"/>
    <n v="0.2300032358068119"/>
    <s v="OK"/>
  </r>
  <r>
    <s v="ORD356"/>
    <x v="24"/>
    <x v="3"/>
    <x v="2"/>
    <x v="7"/>
    <x v="1"/>
    <n v="47652"/>
    <n v="37645"/>
    <n v="10007"/>
    <n v="0.21000167883824394"/>
    <s v="OK"/>
  </r>
  <r>
    <s v="ORD357"/>
    <x v="25"/>
    <x v="3"/>
    <x v="1"/>
    <x v="6"/>
    <x v="1"/>
    <n v="8742"/>
    <n v="6119"/>
    <n v="2623"/>
    <n v="0.30004575611988105"/>
    <s v="OK"/>
  </r>
  <r>
    <s v="ORD358"/>
    <x v="3"/>
    <x v="0"/>
    <x v="2"/>
    <x v="5"/>
    <x v="0"/>
    <n v="68546"/>
    <n v="45926"/>
    <n v="22620"/>
    <n v="0.32999737402620138"/>
    <s v="OK"/>
  </r>
  <r>
    <s v="ORD359"/>
    <x v="18"/>
    <x v="1"/>
    <x v="2"/>
    <x v="5"/>
    <x v="0"/>
    <n v="66002"/>
    <n v="52142"/>
    <n v="13860"/>
    <n v="0.20999363655646799"/>
    <s v="OK"/>
  </r>
  <r>
    <s v="ORD360"/>
    <x v="0"/>
    <x v="3"/>
    <x v="1"/>
    <x v="6"/>
    <x v="0"/>
    <n v="80310"/>
    <n v="53005"/>
    <n v="27305"/>
    <n v="0.3399950193002117"/>
    <s v="OK"/>
  </r>
  <r>
    <s v="ORD361"/>
    <x v="23"/>
    <x v="3"/>
    <x v="2"/>
    <x v="4"/>
    <x v="0"/>
    <n v="20734"/>
    <n v="16380"/>
    <n v="4354"/>
    <n v="0.2099932478055368"/>
    <s v="OK"/>
  </r>
  <r>
    <s v="ORD362"/>
    <x v="13"/>
    <x v="2"/>
    <x v="1"/>
    <x v="0"/>
    <x v="0"/>
    <n v="57880"/>
    <n v="44568"/>
    <n v="13312"/>
    <n v="0.22999308914996544"/>
    <s v="OK"/>
  </r>
  <r>
    <s v="ORD363"/>
    <x v="13"/>
    <x v="2"/>
    <x v="1"/>
    <x v="1"/>
    <x v="0"/>
    <n v="97812"/>
    <n v="59665"/>
    <n v="38147"/>
    <n v="0.39000327158221892"/>
    <s v="OK"/>
  </r>
  <r>
    <s v="ORD364"/>
    <x v="2"/>
    <x v="0"/>
    <x v="0"/>
    <x v="7"/>
    <x v="0"/>
    <n v="26905"/>
    <n v="16681"/>
    <n v="10224"/>
    <n v="0.38000371678126743"/>
    <s v="OK"/>
  </r>
  <r>
    <s v="ORD365"/>
    <x v="6"/>
    <x v="0"/>
    <x v="1"/>
    <x v="3"/>
    <x v="1"/>
    <n v="38613"/>
    <n v="24326"/>
    <n v="14287"/>
    <n v="0.37000492062258827"/>
    <s v="OK"/>
  </r>
  <r>
    <s v="ORD366"/>
    <x v="7"/>
    <x v="2"/>
    <x v="0"/>
    <x v="6"/>
    <x v="0"/>
    <n v="30219"/>
    <n v="23269"/>
    <n v="6950"/>
    <n v="0.22998775604751978"/>
    <s v="OK"/>
  </r>
  <r>
    <s v="ORD367"/>
    <x v="19"/>
    <x v="1"/>
    <x v="2"/>
    <x v="2"/>
    <x v="1"/>
    <n v="25346"/>
    <n v="17996"/>
    <n v="7350"/>
    <n v="0.28998658565454116"/>
    <s v="OK"/>
  </r>
  <r>
    <s v="ORD368"/>
    <x v="4"/>
    <x v="1"/>
    <x v="0"/>
    <x v="6"/>
    <x v="1"/>
    <n v="63626"/>
    <n v="43266"/>
    <n v="20360"/>
    <n v="0.31999497060949927"/>
    <s v="OK"/>
  </r>
  <r>
    <s v="ORD369"/>
    <x v="12"/>
    <x v="3"/>
    <x v="2"/>
    <x v="5"/>
    <x v="1"/>
    <n v="22205"/>
    <n v="15988"/>
    <n v="6217"/>
    <n v="0.27998198603918034"/>
    <s v="OK"/>
  </r>
  <r>
    <s v="ORD370"/>
    <x v="13"/>
    <x v="3"/>
    <x v="1"/>
    <x v="8"/>
    <x v="0"/>
    <n v="41107"/>
    <n v="30830"/>
    <n v="10277"/>
    <n v="0.25000608168924998"/>
    <s v="OK"/>
  </r>
  <r>
    <s v="ORD371"/>
    <x v="0"/>
    <x v="2"/>
    <x v="0"/>
    <x v="7"/>
    <x v="1"/>
    <n v="21970"/>
    <n v="16478"/>
    <n v="5492"/>
    <n v="0.24997724169321803"/>
    <s v="OK"/>
  </r>
  <r>
    <s v="ORD372"/>
    <x v="19"/>
    <x v="1"/>
    <x v="1"/>
    <x v="1"/>
    <x v="0"/>
    <n v="81999"/>
    <n v="59859"/>
    <n v="22140"/>
    <n v="0.27000329272308199"/>
    <s v="OK"/>
  </r>
  <r>
    <s v="ORD373"/>
    <x v="17"/>
    <x v="3"/>
    <x v="2"/>
    <x v="4"/>
    <x v="0"/>
    <n v="56898"/>
    <n v="45518"/>
    <n v="11380"/>
    <n v="0.20000703012408169"/>
    <s v="OK"/>
  </r>
  <r>
    <s v="ORD374"/>
    <x v="11"/>
    <x v="1"/>
    <x v="1"/>
    <x v="3"/>
    <x v="1"/>
    <n v="52845"/>
    <n v="35406"/>
    <n v="17439"/>
    <n v="0.33000283848992334"/>
    <s v="OK"/>
  </r>
  <r>
    <s v="ORD375"/>
    <x v="27"/>
    <x v="1"/>
    <x v="2"/>
    <x v="5"/>
    <x v="1"/>
    <n v="87567"/>
    <n v="53416"/>
    <n v="34151"/>
    <n v="0.38999851542247649"/>
    <s v="OK"/>
  </r>
  <r>
    <s v="ORD376"/>
    <x v="18"/>
    <x v="1"/>
    <x v="0"/>
    <x v="1"/>
    <x v="1"/>
    <n v="70328"/>
    <n v="46416"/>
    <n v="23912"/>
    <n v="0.34000682516209763"/>
    <s v="OK"/>
  </r>
  <r>
    <s v="ORD377"/>
    <x v="27"/>
    <x v="3"/>
    <x v="1"/>
    <x v="0"/>
    <x v="1"/>
    <n v="11896"/>
    <n v="9160"/>
    <n v="2736"/>
    <n v="0.22999327505043712"/>
    <s v="OK"/>
  </r>
  <r>
    <s v="ORD378"/>
    <x v="17"/>
    <x v="1"/>
    <x v="2"/>
    <x v="6"/>
    <x v="0"/>
    <n v="22385"/>
    <n v="13431"/>
    <n v="8954"/>
    <n v="0.4"/>
    <s v="OK"/>
  </r>
  <r>
    <s v="ORD379"/>
    <x v="10"/>
    <x v="2"/>
    <x v="1"/>
    <x v="0"/>
    <x v="1"/>
    <n v="57652"/>
    <n v="36897"/>
    <n v="20755"/>
    <n v="0.36000485672656629"/>
    <s v="OK"/>
  </r>
  <r>
    <s v="ORD380"/>
    <x v="15"/>
    <x v="1"/>
    <x v="2"/>
    <x v="2"/>
    <x v="0"/>
    <n v="83304"/>
    <n v="51648"/>
    <n v="31656"/>
    <n v="0.38000576202823394"/>
    <s v="OK"/>
  </r>
  <r>
    <s v="ORD381"/>
    <x v="13"/>
    <x v="3"/>
    <x v="2"/>
    <x v="1"/>
    <x v="0"/>
    <n v="59832"/>
    <n v="41882"/>
    <n v="17950"/>
    <n v="0.30000668538574676"/>
    <s v="OK"/>
  </r>
  <r>
    <s v="ORD382"/>
    <x v="21"/>
    <x v="2"/>
    <x v="2"/>
    <x v="7"/>
    <x v="1"/>
    <n v="70871"/>
    <n v="48192"/>
    <n v="22679"/>
    <n v="0.32000395084025907"/>
    <s v="OK"/>
  </r>
  <r>
    <s v="ORD383"/>
    <x v="7"/>
    <x v="3"/>
    <x v="0"/>
    <x v="7"/>
    <x v="0"/>
    <n v="14396"/>
    <n v="10941"/>
    <n v="3455"/>
    <n v="0.23999722145040289"/>
    <s v="OK"/>
  </r>
  <r>
    <s v="ORD384"/>
    <x v="23"/>
    <x v="1"/>
    <x v="1"/>
    <x v="5"/>
    <x v="0"/>
    <n v="55300"/>
    <n v="35392"/>
    <n v="19908"/>
    <n v="0.36"/>
    <s v="OK"/>
  </r>
  <r>
    <s v="ORD385"/>
    <x v="24"/>
    <x v="3"/>
    <x v="1"/>
    <x v="1"/>
    <x v="1"/>
    <n v="59300"/>
    <n v="46847"/>
    <n v="12453"/>
    <n v="0.21"/>
    <s v="OK"/>
  </r>
  <r>
    <s v="ORD386"/>
    <x v="14"/>
    <x v="3"/>
    <x v="2"/>
    <x v="9"/>
    <x v="0"/>
    <n v="16322"/>
    <n v="10446"/>
    <n v="5876"/>
    <n v="0.36000490136012742"/>
    <s v="OK"/>
  </r>
  <r>
    <s v="ORD387"/>
    <x v="8"/>
    <x v="2"/>
    <x v="2"/>
    <x v="8"/>
    <x v="1"/>
    <n v="71137"/>
    <n v="46239"/>
    <n v="24898"/>
    <n v="0.35000070286911172"/>
    <s v="OK"/>
  </r>
  <r>
    <s v="ORD388"/>
    <x v="25"/>
    <x v="2"/>
    <x v="1"/>
    <x v="6"/>
    <x v="0"/>
    <n v="52791"/>
    <n v="40121"/>
    <n v="12670"/>
    <n v="0.2400030308196473"/>
    <s v="OK"/>
  </r>
  <r>
    <s v="ORD389"/>
    <x v="13"/>
    <x v="2"/>
    <x v="0"/>
    <x v="4"/>
    <x v="0"/>
    <n v="93211"/>
    <n v="74569"/>
    <n v="18642"/>
    <n v="0.19999785433049747"/>
    <s v="OK"/>
  </r>
  <r>
    <s v="ORD390"/>
    <x v="11"/>
    <x v="2"/>
    <x v="0"/>
    <x v="1"/>
    <x v="0"/>
    <n v="50968"/>
    <n v="40774"/>
    <n v="10194"/>
    <n v="0.2000078480615288"/>
    <s v="OK"/>
  </r>
  <r>
    <s v="ORD391"/>
    <x v="16"/>
    <x v="3"/>
    <x v="0"/>
    <x v="9"/>
    <x v="0"/>
    <n v="90029"/>
    <n v="62120"/>
    <n v="27909"/>
    <n v="0.31000011107532016"/>
    <s v="OK"/>
  </r>
  <r>
    <s v="ORD392"/>
    <x v="9"/>
    <x v="3"/>
    <x v="1"/>
    <x v="9"/>
    <x v="1"/>
    <n v="49446"/>
    <n v="29668"/>
    <n v="19778"/>
    <n v="0.39999191036686488"/>
    <s v="OK"/>
  </r>
  <r>
    <s v="ORD393"/>
    <x v="1"/>
    <x v="2"/>
    <x v="2"/>
    <x v="6"/>
    <x v="0"/>
    <n v="19037"/>
    <n v="12564"/>
    <n v="6473"/>
    <n v="0.34002206229973209"/>
    <s v="OK"/>
  </r>
  <r>
    <s v="ORD394"/>
    <x v="6"/>
    <x v="0"/>
    <x v="2"/>
    <x v="7"/>
    <x v="1"/>
    <n v="85415"/>
    <n v="62353"/>
    <n v="23062"/>
    <n v="0.26999941462272437"/>
    <s v="OK"/>
  </r>
  <r>
    <s v="ORD395"/>
    <x v="27"/>
    <x v="2"/>
    <x v="1"/>
    <x v="7"/>
    <x v="0"/>
    <n v="71700"/>
    <n v="45171"/>
    <n v="26529"/>
    <n v="0.37"/>
    <s v="OK"/>
  </r>
  <r>
    <s v="ORD396"/>
    <x v="12"/>
    <x v="3"/>
    <x v="1"/>
    <x v="7"/>
    <x v="1"/>
    <n v="81720"/>
    <n v="53935"/>
    <n v="27785"/>
    <n v="0.34000244738130203"/>
    <s v="OK"/>
  </r>
  <r>
    <s v="ORD397"/>
    <x v="26"/>
    <x v="3"/>
    <x v="1"/>
    <x v="8"/>
    <x v="0"/>
    <n v="5012"/>
    <n v="3408"/>
    <n v="1604"/>
    <n v="0.3200319233838787"/>
    <s v="OK"/>
  </r>
  <r>
    <s v="ORD398"/>
    <x v="17"/>
    <x v="3"/>
    <x v="1"/>
    <x v="4"/>
    <x v="0"/>
    <n v="87093"/>
    <n v="60965"/>
    <n v="26128"/>
    <n v="0.30000114819790341"/>
    <s v="OK"/>
  </r>
  <r>
    <s v="ORD399"/>
    <x v="27"/>
    <x v="3"/>
    <x v="1"/>
    <x v="1"/>
    <x v="0"/>
    <n v="67143"/>
    <n v="42972"/>
    <n v="24171"/>
    <n v="0.35999285107904028"/>
    <s v="OK"/>
  </r>
  <r>
    <s v="ORD400"/>
    <x v="26"/>
    <x v="3"/>
    <x v="2"/>
    <x v="0"/>
    <x v="0"/>
    <n v="62289"/>
    <n v="39865"/>
    <n v="22424"/>
    <n v="0.35999935783204096"/>
    <s v="OK"/>
  </r>
  <r>
    <s v="ORD401"/>
    <x v="13"/>
    <x v="1"/>
    <x v="1"/>
    <x v="4"/>
    <x v="1"/>
    <n v="22527"/>
    <n v="17346"/>
    <n v="5181"/>
    <n v="0.22999067785324279"/>
    <s v="OK"/>
  </r>
  <r>
    <s v="ORD402"/>
    <x v="12"/>
    <x v="3"/>
    <x v="1"/>
    <x v="9"/>
    <x v="0"/>
    <n v="33921"/>
    <n v="22388"/>
    <n v="11533"/>
    <n v="0.33999587276318505"/>
    <s v="OK"/>
  </r>
  <r>
    <s v="ORD403"/>
    <x v="20"/>
    <x v="1"/>
    <x v="0"/>
    <x v="8"/>
    <x v="0"/>
    <n v="6870"/>
    <n v="4740"/>
    <n v="2130"/>
    <n v="0.31004366812227074"/>
    <s v="OK"/>
  </r>
  <r>
    <s v="ORD404"/>
    <x v="22"/>
    <x v="3"/>
    <x v="0"/>
    <x v="1"/>
    <x v="0"/>
    <n v="12398"/>
    <n v="8803"/>
    <n v="3595"/>
    <n v="0.28996612356831747"/>
    <s v="OK"/>
  </r>
  <r>
    <s v="ORD405"/>
    <x v="1"/>
    <x v="2"/>
    <x v="0"/>
    <x v="1"/>
    <x v="1"/>
    <n v="76276"/>
    <n v="53393"/>
    <n v="22883"/>
    <n v="0.30000262205674133"/>
    <s v="OK"/>
  </r>
  <r>
    <s v="ORD406"/>
    <x v="8"/>
    <x v="0"/>
    <x v="2"/>
    <x v="2"/>
    <x v="0"/>
    <n v="29170"/>
    <n v="21878"/>
    <n v="7292"/>
    <n v="0.24998285910181695"/>
    <s v="OK"/>
  </r>
  <r>
    <s v="ORD407"/>
    <x v="22"/>
    <x v="3"/>
    <x v="0"/>
    <x v="8"/>
    <x v="0"/>
    <n v="42278"/>
    <n v="31286"/>
    <n v="10992"/>
    <n v="0.25999337717015941"/>
    <s v="OK"/>
  </r>
  <r>
    <s v="ORD408"/>
    <x v="12"/>
    <x v="0"/>
    <x v="1"/>
    <x v="4"/>
    <x v="1"/>
    <n v="17442"/>
    <n v="10988"/>
    <n v="6454"/>
    <n v="0.37002637312234837"/>
    <s v="OK"/>
  </r>
  <r>
    <s v="ORD409"/>
    <x v="20"/>
    <x v="3"/>
    <x v="0"/>
    <x v="9"/>
    <x v="0"/>
    <n v="96715"/>
    <n v="75438"/>
    <n v="21277"/>
    <n v="0.21999689810267281"/>
    <s v="OK"/>
  </r>
  <r>
    <s v="ORD410"/>
    <x v="18"/>
    <x v="2"/>
    <x v="1"/>
    <x v="7"/>
    <x v="0"/>
    <n v="44437"/>
    <n v="27551"/>
    <n v="16886"/>
    <n v="0.37999864977383713"/>
    <s v="OK"/>
  </r>
  <r>
    <s v="ORD411"/>
    <x v="4"/>
    <x v="1"/>
    <x v="2"/>
    <x v="9"/>
    <x v="0"/>
    <n v="20760"/>
    <n v="14324"/>
    <n v="6436"/>
    <n v="0.31001926782273603"/>
    <s v="OK"/>
  </r>
  <r>
    <s v="ORD412"/>
    <x v="14"/>
    <x v="1"/>
    <x v="0"/>
    <x v="6"/>
    <x v="1"/>
    <n v="66592"/>
    <n v="43951"/>
    <n v="22641"/>
    <n v="0.3399957952907256"/>
    <s v="OK"/>
  </r>
  <r>
    <s v="ORD413"/>
    <x v="12"/>
    <x v="1"/>
    <x v="1"/>
    <x v="4"/>
    <x v="1"/>
    <n v="18232"/>
    <n v="11851"/>
    <n v="6381"/>
    <n v="0.34998903027643702"/>
    <s v="OK"/>
  </r>
  <r>
    <s v="ORD414"/>
    <x v="12"/>
    <x v="1"/>
    <x v="2"/>
    <x v="5"/>
    <x v="0"/>
    <n v="39000"/>
    <n v="26130"/>
    <n v="12870"/>
    <n v="0.33"/>
    <s v="OK"/>
  </r>
  <r>
    <s v="ORD415"/>
    <x v="4"/>
    <x v="2"/>
    <x v="1"/>
    <x v="5"/>
    <x v="0"/>
    <n v="48239"/>
    <n v="33285"/>
    <n v="14954"/>
    <n v="0.30999813428968265"/>
    <s v="OK"/>
  </r>
  <r>
    <s v="ORD416"/>
    <x v="14"/>
    <x v="3"/>
    <x v="0"/>
    <x v="8"/>
    <x v="0"/>
    <n v="75623"/>
    <n v="49911"/>
    <n v="25712"/>
    <n v="0.34000238022823742"/>
    <s v="OK"/>
  </r>
  <r>
    <s v="ORD417"/>
    <x v="7"/>
    <x v="2"/>
    <x v="2"/>
    <x v="3"/>
    <x v="0"/>
    <n v="25542"/>
    <n v="17369"/>
    <n v="8173"/>
    <n v="0.31998277347114557"/>
    <s v="OK"/>
  </r>
  <r>
    <s v="ORD418"/>
    <x v="1"/>
    <x v="3"/>
    <x v="2"/>
    <x v="2"/>
    <x v="1"/>
    <n v="28045"/>
    <n v="17388"/>
    <n v="10657"/>
    <n v="0.37999643430201463"/>
    <s v="OK"/>
  </r>
  <r>
    <s v="ORD419"/>
    <x v="16"/>
    <x v="1"/>
    <x v="1"/>
    <x v="8"/>
    <x v="0"/>
    <n v="90559"/>
    <n v="66108"/>
    <n v="24451"/>
    <n v="0.27000077297673342"/>
    <s v="OK"/>
  </r>
  <r>
    <s v="ORD420"/>
    <x v="23"/>
    <x v="0"/>
    <x v="0"/>
    <x v="1"/>
    <x v="1"/>
    <n v="90206"/>
    <n v="69459"/>
    <n v="20747"/>
    <n v="0.22999578741990556"/>
    <s v="OK"/>
  </r>
  <r>
    <s v="ORD421"/>
    <x v="20"/>
    <x v="0"/>
    <x v="1"/>
    <x v="8"/>
    <x v="0"/>
    <n v="59252"/>
    <n v="40291"/>
    <n v="18961"/>
    <n v="0.3200060757442787"/>
    <s v="OK"/>
  </r>
  <r>
    <s v="ORD422"/>
    <x v="22"/>
    <x v="3"/>
    <x v="2"/>
    <x v="4"/>
    <x v="0"/>
    <n v="31024"/>
    <n v="19235"/>
    <n v="11789"/>
    <n v="0.37999613202681792"/>
    <s v="OK"/>
  </r>
  <r>
    <s v="ORD423"/>
    <x v="1"/>
    <x v="3"/>
    <x v="1"/>
    <x v="5"/>
    <x v="1"/>
    <n v="95367"/>
    <n v="61989"/>
    <n v="33378"/>
    <n v="0.34999528138664315"/>
    <s v="OK"/>
  </r>
  <r>
    <s v="ORD424"/>
    <x v="24"/>
    <x v="2"/>
    <x v="1"/>
    <x v="6"/>
    <x v="1"/>
    <n v="20764"/>
    <n v="14327"/>
    <n v="6437"/>
    <n v="0.31000770564438451"/>
    <s v="OK"/>
  </r>
  <r>
    <s v="ORD425"/>
    <x v="24"/>
    <x v="0"/>
    <x v="2"/>
    <x v="3"/>
    <x v="0"/>
    <n v="59929"/>
    <n v="47943"/>
    <n v="11986"/>
    <n v="0.2000033372824509"/>
    <s v="OK"/>
  </r>
  <r>
    <s v="ORD426"/>
    <x v="16"/>
    <x v="2"/>
    <x v="0"/>
    <x v="8"/>
    <x v="1"/>
    <n v="51789"/>
    <n v="31073"/>
    <n v="20716"/>
    <n v="0.4000077236478789"/>
    <s v="OK"/>
  </r>
  <r>
    <s v="ORD427"/>
    <x v="1"/>
    <x v="0"/>
    <x v="0"/>
    <x v="3"/>
    <x v="1"/>
    <n v="46647"/>
    <n v="28455"/>
    <n v="18192"/>
    <n v="0.38999292559007009"/>
    <s v="OK"/>
  </r>
  <r>
    <s v="ORD428"/>
    <x v="8"/>
    <x v="1"/>
    <x v="2"/>
    <x v="5"/>
    <x v="1"/>
    <n v="17458"/>
    <n v="12221"/>
    <n v="5237"/>
    <n v="0.29997708786802613"/>
    <s v="OK"/>
  </r>
  <r>
    <s v="ORD429"/>
    <x v="6"/>
    <x v="3"/>
    <x v="0"/>
    <x v="2"/>
    <x v="0"/>
    <n v="33183"/>
    <n v="26215"/>
    <n v="6968"/>
    <n v="0.20998704155742398"/>
    <s v="OK"/>
  </r>
  <r>
    <s v="ORD430"/>
    <x v="7"/>
    <x v="3"/>
    <x v="0"/>
    <x v="6"/>
    <x v="0"/>
    <n v="95608"/>
    <n v="63101"/>
    <n v="32507"/>
    <n v="0.34000292862521964"/>
    <s v="OK"/>
  </r>
  <r>
    <s v="ORD431"/>
    <x v="3"/>
    <x v="0"/>
    <x v="0"/>
    <x v="5"/>
    <x v="1"/>
    <n v="67013"/>
    <n v="51600"/>
    <n v="15413"/>
    <n v="0.23000014922477729"/>
    <s v="OK"/>
  </r>
  <r>
    <s v="ORD432"/>
    <x v="9"/>
    <x v="0"/>
    <x v="0"/>
    <x v="5"/>
    <x v="0"/>
    <n v="38106"/>
    <n v="30485"/>
    <n v="7621"/>
    <n v="0.19999475148270612"/>
    <s v="OK"/>
  </r>
  <r>
    <s v="ORD433"/>
    <x v="17"/>
    <x v="0"/>
    <x v="2"/>
    <x v="5"/>
    <x v="0"/>
    <n v="57751"/>
    <n v="42158"/>
    <n v="15593"/>
    <n v="0.27000398261501968"/>
    <s v="OK"/>
  </r>
  <r>
    <s v="ORD434"/>
    <x v="2"/>
    <x v="3"/>
    <x v="0"/>
    <x v="6"/>
    <x v="1"/>
    <n v="64693"/>
    <n v="47873"/>
    <n v="16820"/>
    <n v="0.2599972176278732"/>
    <s v="OK"/>
  </r>
  <r>
    <s v="ORD435"/>
    <x v="2"/>
    <x v="0"/>
    <x v="2"/>
    <x v="7"/>
    <x v="1"/>
    <n v="16005"/>
    <n v="10883"/>
    <n v="5122"/>
    <n v="0.32002499218994063"/>
    <s v="OK"/>
  </r>
  <r>
    <s v="ORD436"/>
    <x v="5"/>
    <x v="0"/>
    <x v="2"/>
    <x v="8"/>
    <x v="0"/>
    <n v="90808"/>
    <n v="54485"/>
    <n v="36323"/>
    <n v="0.39999779755087655"/>
    <s v="OK"/>
  </r>
  <r>
    <s v="ORD437"/>
    <x v="20"/>
    <x v="2"/>
    <x v="1"/>
    <x v="5"/>
    <x v="1"/>
    <n v="69645"/>
    <n v="48752"/>
    <n v="20893"/>
    <n v="0.29999282073372102"/>
    <s v="OK"/>
  </r>
  <r>
    <s v="ORD438"/>
    <x v="22"/>
    <x v="2"/>
    <x v="2"/>
    <x v="3"/>
    <x v="0"/>
    <n v="40193"/>
    <n v="25724"/>
    <n v="14469"/>
    <n v="0.359988057621974"/>
    <s v="OK"/>
  </r>
  <r>
    <s v="ORD439"/>
    <x v="14"/>
    <x v="0"/>
    <x v="1"/>
    <x v="0"/>
    <x v="1"/>
    <n v="8470"/>
    <n v="5675"/>
    <n v="2795"/>
    <n v="0.32998819362455728"/>
    <s v="OK"/>
  </r>
  <r>
    <s v="ORD440"/>
    <x v="21"/>
    <x v="1"/>
    <x v="2"/>
    <x v="6"/>
    <x v="1"/>
    <n v="19387"/>
    <n v="11826"/>
    <n v="7561"/>
    <n v="0.39000361066694178"/>
    <s v="OK"/>
  </r>
  <r>
    <s v="ORD441"/>
    <x v="4"/>
    <x v="2"/>
    <x v="2"/>
    <x v="6"/>
    <x v="0"/>
    <n v="51663"/>
    <n v="40814"/>
    <n v="10849"/>
    <n v="0.20999554807115345"/>
    <s v="OK"/>
  </r>
  <r>
    <s v="ORD442"/>
    <x v="11"/>
    <x v="2"/>
    <x v="1"/>
    <x v="3"/>
    <x v="1"/>
    <n v="90751"/>
    <n v="56266"/>
    <n v="34485"/>
    <n v="0.37999581271831717"/>
    <s v="OK"/>
  </r>
  <r>
    <s v="ORD443"/>
    <x v="25"/>
    <x v="2"/>
    <x v="1"/>
    <x v="9"/>
    <x v="0"/>
    <n v="34584"/>
    <n v="21442"/>
    <n v="13142"/>
    <n v="0.38000231320842009"/>
    <s v="OK"/>
  </r>
  <r>
    <s v="ORD444"/>
    <x v="6"/>
    <x v="1"/>
    <x v="0"/>
    <x v="3"/>
    <x v="1"/>
    <n v="69270"/>
    <n v="47104"/>
    <n v="22166"/>
    <n v="0.31999422549444206"/>
    <s v="OK"/>
  </r>
  <r>
    <s v="ORD445"/>
    <x v="17"/>
    <x v="0"/>
    <x v="2"/>
    <x v="4"/>
    <x v="1"/>
    <n v="83176"/>
    <n v="57391"/>
    <n v="25785"/>
    <n v="0.31000528998749638"/>
    <s v="OK"/>
  </r>
  <r>
    <s v="ORD446"/>
    <x v="9"/>
    <x v="0"/>
    <x v="2"/>
    <x v="8"/>
    <x v="0"/>
    <n v="62216"/>
    <n v="37330"/>
    <n v="24886"/>
    <n v="0.39999357078565001"/>
    <s v="OK"/>
  </r>
  <r>
    <s v="ORD447"/>
    <x v="6"/>
    <x v="1"/>
    <x v="2"/>
    <x v="4"/>
    <x v="0"/>
    <n v="47745"/>
    <n v="29124"/>
    <n v="18621"/>
    <n v="0.39000942507068803"/>
    <s v="OK"/>
  </r>
  <r>
    <s v="ORD448"/>
    <x v="7"/>
    <x v="0"/>
    <x v="1"/>
    <x v="0"/>
    <x v="0"/>
    <n v="78899"/>
    <n v="47339"/>
    <n v="31560"/>
    <n v="0.40000506977274741"/>
    <s v="OK"/>
  </r>
  <r>
    <s v="ORD449"/>
    <x v="5"/>
    <x v="1"/>
    <x v="2"/>
    <x v="8"/>
    <x v="0"/>
    <n v="65967"/>
    <n v="39580"/>
    <n v="26387"/>
    <n v="0.40000303181893976"/>
    <s v="OK"/>
  </r>
  <r>
    <s v="ORD450"/>
    <x v="16"/>
    <x v="0"/>
    <x v="1"/>
    <x v="5"/>
    <x v="1"/>
    <n v="30587"/>
    <n v="19576"/>
    <n v="11011"/>
    <n v="0.35998953803903622"/>
    <s v="OK"/>
  </r>
  <r>
    <s v="ORD451"/>
    <x v="21"/>
    <x v="3"/>
    <x v="1"/>
    <x v="9"/>
    <x v="0"/>
    <n v="6905"/>
    <n v="4143"/>
    <n v="2762"/>
    <n v="0.4"/>
    <s v="OK"/>
  </r>
  <r>
    <s v="ORD452"/>
    <x v="27"/>
    <x v="2"/>
    <x v="0"/>
    <x v="5"/>
    <x v="1"/>
    <n v="86808"/>
    <n v="59898"/>
    <n v="26910"/>
    <n v="0.30999447055570917"/>
    <s v="OK"/>
  </r>
  <r>
    <s v="ORD453"/>
    <x v="7"/>
    <x v="2"/>
    <x v="2"/>
    <x v="7"/>
    <x v="0"/>
    <n v="94432"/>
    <n v="67047"/>
    <n v="27385"/>
    <n v="0.28999703490342255"/>
    <s v="OK"/>
  </r>
  <r>
    <s v="ORD454"/>
    <x v="23"/>
    <x v="1"/>
    <x v="0"/>
    <x v="6"/>
    <x v="0"/>
    <n v="21388"/>
    <n v="16897"/>
    <n v="4491"/>
    <n v="0.20997755750888347"/>
    <s v="OK"/>
  </r>
  <r>
    <s v="ORD455"/>
    <x v="26"/>
    <x v="0"/>
    <x v="2"/>
    <x v="5"/>
    <x v="0"/>
    <n v="47257"/>
    <n v="32607"/>
    <n v="14650"/>
    <n v="0.31000698309245189"/>
    <s v="OK"/>
  </r>
  <r>
    <s v="ORD456"/>
    <x v="5"/>
    <x v="0"/>
    <x v="0"/>
    <x v="7"/>
    <x v="0"/>
    <n v="31593"/>
    <n v="19272"/>
    <n v="12321"/>
    <n v="0.38999145380305766"/>
    <s v="OK"/>
  </r>
  <r>
    <s v="ORD457"/>
    <x v="19"/>
    <x v="1"/>
    <x v="1"/>
    <x v="3"/>
    <x v="0"/>
    <n v="30067"/>
    <n v="20746"/>
    <n v="9321"/>
    <n v="0.31000764958259885"/>
    <s v="OK"/>
  </r>
  <r>
    <s v="ORD458"/>
    <x v="22"/>
    <x v="3"/>
    <x v="1"/>
    <x v="3"/>
    <x v="1"/>
    <n v="22005"/>
    <n v="13203"/>
    <n v="8802"/>
    <n v="0.4"/>
    <s v="OK"/>
  </r>
  <r>
    <s v="ORD459"/>
    <x v="6"/>
    <x v="3"/>
    <x v="1"/>
    <x v="5"/>
    <x v="0"/>
    <n v="37305"/>
    <n v="27979"/>
    <n v="9326"/>
    <n v="0.2499932984854577"/>
    <s v="OK"/>
  </r>
  <r>
    <s v="ORD460"/>
    <x v="12"/>
    <x v="2"/>
    <x v="1"/>
    <x v="1"/>
    <x v="0"/>
    <n v="17069"/>
    <n v="13314"/>
    <n v="3755"/>
    <n v="0.21998945456675845"/>
    <s v="OK"/>
  </r>
  <r>
    <s v="ORD461"/>
    <x v="18"/>
    <x v="2"/>
    <x v="2"/>
    <x v="1"/>
    <x v="0"/>
    <n v="42421"/>
    <n v="26301"/>
    <n v="16120"/>
    <n v="0.38000047146460481"/>
    <s v="OK"/>
  </r>
  <r>
    <s v="ORD462"/>
    <x v="11"/>
    <x v="0"/>
    <x v="0"/>
    <x v="3"/>
    <x v="1"/>
    <n v="83243"/>
    <n v="57438"/>
    <n v="25805"/>
    <n v="0.30999603570270173"/>
    <s v="OK"/>
  </r>
  <r>
    <s v="ORD463"/>
    <x v="25"/>
    <x v="3"/>
    <x v="2"/>
    <x v="5"/>
    <x v="1"/>
    <n v="12159"/>
    <n v="8390"/>
    <n v="3769"/>
    <n v="0.30997614935438772"/>
    <s v="OK"/>
  </r>
  <r>
    <s v="ORD464"/>
    <x v="25"/>
    <x v="1"/>
    <x v="1"/>
    <x v="8"/>
    <x v="0"/>
    <n v="78001"/>
    <n v="61621"/>
    <n v="16380"/>
    <n v="0.20999730772682401"/>
    <s v="OK"/>
  </r>
  <r>
    <s v="ORD465"/>
    <x v="12"/>
    <x v="2"/>
    <x v="2"/>
    <x v="3"/>
    <x v="0"/>
    <n v="63053"/>
    <n v="38462"/>
    <n v="24591"/>
    <n v="0.39000523369229062"/>
    <s v="OK"/>
  </r>
  <r>
    <s v="ORD466"/>
    <x v="9"/>
    <x v="2"/>
    <x v="0"/>
    <x v="6"/>
    <x v="1"/>
    <n v="89947"/>
    <n v="62963"/>
    <n v="26984"/>
    <n v="0.29999888823418236"/>
    <s v="OK"/>
  </r>
  <r>
    <s v="ORD467"/>
    <x v="9"/>
    <x v="0"/>
    <x v="0"/>
    <x v="8"/>
    <x v="0"/>
    <n v="35657"/>
    <n v="24247"/>
    <n v="11410"/>
    <n v="0.31999326920380289"/>
    <s v="OK"/>
  </r>
  <r>
    <s v="ORD468"/>
    <x v="27"/>
    <x v="2"/>
    <x v="2"/>
    <x v="6"/>
    <x v="0"/>
    <n v="33986"/>
    <n v="22431"/>
    <n v="11555"/>
    <n v="0.33999293826869886"/>
    <s v="OK"/>
  </r>
  <r>
    <s v="ORD469"/>
    <x v="8"/>
    <x v="1"/>
    <x v="2"/>
    <x v="2"/>
    <x v="0"/>
    <n v="88217"/>
    <n v="65281"/>
    <n v="22936"/>
    <n v="0.25999523901288868"/>
    <s v="OK"/>
  </r>
  <r>
    <s v="ORD470"/>
    <x v="9"/>
    <x v="1"/>
    <x v="1"/>
    <x v="9"/>
    <x v="0"/>
    <n v="50316"/>
    <n v="30693"/>
    <n v="19623"/>
    <n v="0.38999523014548054"/>
    <s v="OK"/>
  </r>
  <r>
    <s v="ORD471"/>
    <x v="25"/>
    <x v="3"/>
    <x v="2"/>
    <x v="2"/>
    <x v="0"/>
    <n v="5425"/>
    <n v="4069"/>
    <n v="1356"/>
    <n v="0.24995391705069125"/>
    <s v="OK"/>
  </r>
  <r>
    <s v="ORD472"/>
    <x v="26"/>
    <x v="3"/>
    <x v="1"/>
    <x v="3"/>
    <x v="0"/>
    <n v="52461"/>
    <n v="36198"/>
    <n v="16263"/>
    <n v="0.3100017155601304"/>
    <s v="OK"/>
  </r>
  <r>
    <s v="ORD473"/>
    <x v="16"/>
    <x v="3"/>
    <x v="2"/>
    <x v="1"/>
    <x v="1"/>
    <n v="39016"/>
    <n v="29262"/>
    <n v="9754"/>
    <n v="0.25"/>
    <s v="OK"/>
  </r>
  <r>
    <s v="ORD474"/>
    <x v="12"/>
    <x v="2"/>
    <x v="0"/>
    <x v="0"/>
    <x v="0"/>
    <n v="30839"/>
    <n v="19737"/>
    <n v="11102"/>
    <n v="0.35999870294108111"/>
    <s v="OK"/>
  </r>
  <r>
    <s v="ORD475"/>
    <x v="11"/>
    <x v="3"/>
    <x v="0"/>
    <x v="8"/>
    <x v="0"/>
    <n v="20016"/>
    <n v="13010"/>
    <n v="7006"/>
    <n v="0.35001998401278978"/>
    <s v="OK"/>
  </r>
  <r>
    <s v="ORD476"/>
    <x v="11"/>
    <x v="2"/>
    <x v="0"/>
    <x v="4"/>
    <x v="0"/>
    <n v="53791"/>
    <n v="32275"/>
    <n v="21516"/>
    <n v="0.3999925638117901"/>
    <s v="OK"/>
  </r>
  <r>
    <s v="ORD477"/>
    <x v="2"/>
    <x v="2"/>
    <x v="0"/>
    <x v="8"/>
    <x v="0"/>
    <n v="92006"/>
    <n v="57044"/>
    <n v="34962"/>
    <n v="0.37999695672021389"/>
    <s v="OK"/>
  </r>
  <r>
    <s v="ORD478"/>
    <x v="15"/>
    <x v="1"/>
    <x v="1"/>
    <x v="5"/>
    <x v="1"/>
    <n v="44546"/>
    <n v="26728"/>
    <n v="17818"/>
    <n v="0.39999102051811608"/>
    <s v="OK"/>
  </r>
  <r>
    <s v="ORD479"/>
    <x v="6"/>
    <x v="2"/>
    <x v="1"/>
    <x v="2"/>
    <x v="0"/>
    <n v="72271"/>
    <n v="46253"/>
    <n v="26018"/>
    <n v="0.36000608819581853"/>
    <s v="OK"/>
  </r>
  <r>
    <s v="ORD480"/>
    <x v="21"/>
    <x v="1"/>
    <x v="2"/>
    <x v="3"/>
    <x v="1"/>
    <n v="32751"/>
    <n v="22926"/>
    <n v="9825"/>
    <n v="0.29999083997435194"/>
    <s v="OK"/>
  </r>
  <r>
    <s v="ORD481"/>
    <x v="26"/>
    <x v="0"/>
    <x v="2"/>
    <x v="6"/>
    <x v="0"/>
    <n v="14079"/>
    <n v="8870"/>
    <n v="5209"/>
    <n v="0.36998366361247248"/>
    <s v="OK"/>
  </r>
  <r>
    <s v="ORD482"/>
    <x v="16"/>
    <x v="2"/>
    <x v="1"/>
    <x v="5"/>
    <x v="1"/>
    <n v="62139"/>
    <n v="43497"/>
    <n v="18642"/>
    <n v="0.3000048278858688"/>
    <s v="OK"/>
  </r>
  <r>
    <s v="ORD483"/>
    <x v="13"/>
    <x v="2"/>
    <x v="1"/>
    <x v="7"/>
    <x v="0"/>
    <n v="58260"/>
    <n v="46025"/>
    <n v="12235"/>
    <n v="0.21000686577411604"/>
    <s v="OK"/>
  </r>
  <r>
    <s v="ORD484"/>
    <x v="6"/>
    <x v="3"/>
    <x v="2"/>
    <x v="6"/>
    <x v="1"/>
    <n v="44267"/>
    <n v="29659"/>
    <n v="14608"/>
    <n v="0.3299975150789527"/>
    <s v="OK"/>
  </r>
  <r>
    <s v="ORD485"/>
    <x v="21"/>
    <x v="2"/>
    <x v="1"/>
    <x v="7"/>
    <x v="1"/>
    <n v="20005"/>
    <n v="14404"/>
    <n v="5601"/>
    <n v="0.27998000499875031"/>
    <s v="OK"/>
  </r>
  <r>
    <s v="ORD486"/>
    <x v="10"/>
    <x v="2"/>
    <x v="2"/>
    <x v="3"/>
    <x v="1"/>
    <n v="62969"/>
    <n v="48486"/>
    <n v="14483"/>
    <n v="0.23000206450793248"/>
    <s v="OK"/>
  </r>
  <r>
    <s v="ORD487"/>
    <x v="18"/>
    <x v="1"/>
    <x v="2"/>
    <x v="0"/>
    <x v="0"/>
    <n v="18304"/>
    <n v="14643"/>
    <n v="3661"/>
    <n v="0.20001092657342656"/>
    <s v="OK"/>
  </r>
  <r>
    <s v="ORD488"/>
    <x v="9"/>
    <x v="3"/>
    <x v="1"/>
    <x v="0"/>
    <x v="1"/>
    <n v="58038"/>
    <n v="35984"/>
    <n v="22054"/>
    <n v="0.37999241876012269"/>
    <s v="OK"/>
  </r>
  <r>
    <s v="ORD489"/>
    <x v="0"/>
    <x v="2"/>
    <x v="0"/>
    <x v="4"/>
    <x v="0"/>
    <n v="57620"/>
    <n v="36301"/>
    <n v="21319"/>
    <n v="0.36999305796598403"/>
    <s v="OK"/>
  </r>
  <r>
    <s v="ORD490"/>
    <x v="10"/>
    <x v="1"/>
    <x v="1"/>
    <x v="4"/>
    <x v="1"/>
    <n v="13595"/>
    <n v="8429"/>
    <n v="5166"/>
    <n v="0.37999264435454211"/>
    <s v="OK"/>
  </r>
  <r>
    <s v="ORD491"/>
    <x v="23"/>
    <x v="2"/>
    <x v="2"/>
    <x v="3"/>
    <x v="0"/>
    <n v="75979"/>
    <n v="57744"/>
    <n v="18235"/>
    <n v="0.24000052646125902"/>
    <s v="OK"/>
  </r>
  <r>
    <s v="ORD492"/>
    <x v="13"/>
    <x v="1"/>
    <x v="0"/>
    <x v="0"/>
    <x v="1"/>
    <n v="77200"/>
    <n v="49408"/>
    <n v="27792"/>
    <n v="0.36"/>
    <s v="OK"/>
  </r>
  <r>
    <s v="ORD493"/>
    <x v="19"/>
    <x v="2"/>
    <x v="0"/>
    <x v="4"/>
    <x v="1"/>
    <n v="61136"/>
    <n v="36682"/>
    <n v="24454"/>
    <n v="0.39999345721015439"/>
    <s v="OK"/>
  </r>
  <r>
    <s v="ORD494"/>
    <x v="24"/>
    <x v="1"/>
    <x v="2"/>
    <x v="2"/>
    <x v="0"/>
    <n v="30496"/>
    <n v="20432"/>
    <n v="10064"/>
    <n v="0.33001049317943337"/>
    <s v="OK"/>
  </r>
  <r>
    <s v="ORD495"/>
    <x v="16"/>
    <x v="1"/>
    <x v="0"/>
    <x v="1"/>
    <x v="0"/>
    <n v="94839"/>
    <n v="69232"/>
    <n v="25607"/>
    <n v="0.27000495576714223"/>
    <s v="OK"/>
  </r>
  <r>
    <s v="ORD496"/>
    <x v="22"/>
    <x v="0"/>
    <x v="0"/>
    <x v="1"/>
    <x v="1"/>
    <n v="10595"/>
    <n v="7522"/>
    <n v="3073"/>
    <n v="0.29004247286455875"/>
    <s v="OK"/>
  </r>
  <r>
    <s v="ORD497"/>
    <x v="13"/>
    <x v="1"/>
    <x v="0"/>
    <x v="5"/>
    <x v="1"/>
    <n v="46502"/>
    <n v="31156"/>
    <n v="15346"/>
    <n v="0.33000731151348328"/>
    <s v="OK"/>
  </r>
  <r>
    <s v="ORD498"/>
    <x v="12"/>
    <x v="3"/>
    <x v="0"/>
    <x v="4"/>
    <x v="0"/>
    <n v="35955"/>
    <n v="23730"/>
    <n v="12225"/>
    <n v="0.34000834376303712"/>
    <s v="OK"/>
  </r>
  <r>
    <s v="ORD499"/>
    <x v="12"/>
    <x v="2"/>
    <x v="0"/>
    <x v="1"/>
    <x v="0"/>
    <n v="36692"/>
    <n v="25684"/>
    <n v="11008"/>
    <n v="0.3000109015589229"/>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44091-2302-4084-8905-53DD39B89510}" name="PivotTable5" cacheId="37"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5" rowHeaderCaption="product">
  <location ref="F28:G33" firstHeaderRow="1" firstDataRow="1" firstDataCol="1"/>
  <pivotFields count="11">
    <pivotField showAll="0"/>
    <pivotField numFmtId="14" showAll="0"/>
    <pivotField showAll="0">
      <items count="5">
        <item x="3"/>
        <item x="1"/>
        <item x="0"/>
        <item x="2"/>
        <item t="default"/>
      </items>
    </pivotField>
    <pivotField showAll="0">
      <items count="4">
        <item x="0"/>
        <item x="1"/>
        <item x="2"/>
        <item t="default"/>
      </items>
    </pivotField>
    <pivotField axis="axisRow" showAll="0" measureFilter="1" sortType="descending">
      <items count="11">
        <item x="4"/>
        <item x="2"/>
        <item x="6"/>
        <item x="0"/>
        <item x="3"/>
        <item x="8"/>
        <item x="1"/>
        <item x="7"/>
        <item x="9"/>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pivotField showAll="0"/>
    <pivotField numFmtId="9" showAll="0"/>
    <pivotField showAll="0"/>
  </pivotFields>
  <rowFields count="1">
    <field x="4"/>
  </rowFields>
  <rowItems count="5">
    <i>
      <x v="9"/>
    </i>
    <i>
      <x v="4"/>
    </i>
    <i>
      <x v="6"/>
    </i>
    <i>
      <x v="2"/>
    </i>
    <i>
      <x v="5"/>
    </i>
  </rowItems>
  <colItems count="1">
    <i/>
  </colItems>
  <dataFields count="1">
    <dataField name="Total Revenue" fld="6" baseField="0" baseItem="1" numFmtId="3"/>
  </dataFields>
  <formats count="3">
    <format dxfId="18">
      <pivotArea outline="0" collapsedLevelsAreSubtotals="1" fieldPosition="0"/>
    </format>
    <format dxfId="19">
      <pivotArea outline="0" collapsedLevelsAreSubtotals="1" fieldPosition="0"/>
    </format>
    <format dxfId="2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12DD7-3ABA-496D-9FFB-7A433F6D5259}" name="PivotTable1" cacheId="37" dataOnRows="1" applyNumberFormats="0" applyBorderFormats="0" applyFontFormats="0" applyPatternFormats="0" applyAlignmentFormats="0" applyWidthHeightFormats="1" dataCaption="KPI" updatedVersion="8" minRefreshableVersion="3" itemPrintTitles="1" createdVersion="8" indent="0" outline="1" outlineData="1" multipleFieldFilters="0">
  <location ref="B3:C6" firstHeaderRow="1" firstDataRow="1" firstDataCol="1"/>
  <pivotFields count="11">
    <pivotField dataField="1" showAll="0"/>
    <pivotField numFmtId="14" showAll="0"/>
    <pivotField showAll="0">
      <items count="5">
        <item x="3"/>
        <item x="1"/>
        <item x="0"/>
        <item x="2"/>
        <item t="default"/>
      </items>
    </pivotField>
    <pivotField showAll="0">
      <items count="4">
        <item x="0"/>
        <item x="1"/>
        <item x="2"/>
        <item t="default"/>
      </items>
    </pivotField>
    <pivotField showAll="0"/>
    <pivotField showAll="0">
      <items count="3">
        <item x="1"/>
        <item x="0"/>
        <item t="default"/>
      </items>
    </pivotField>
    <pivotField dataField="1" showAll="0"/>
    <pivotField showAll="0"/>
    <pivotField dataField="1" showAll="0"/>
    <pivotField numFmtId="9" showAll="0"/>
    <pivotField showAll="0"/>
  </pivotFields>
  <rowFields count="1">
    <field x="-2"/>
  </rowFields>
  <rowItems count="3">
    <i>
      <x/>
    </i>
    <i i="1">
      <x v="1"/>
    </i>
    <i i="2">
      <x v="2"/>
    </i>
  </rowItems>
  <colItems count="1">
    <i/>
  </colItems>
  <dataFields count="3">
    <dataField name="Total Revenue" fld="6" baseField="0" baseItem="1" numFmtId="3"/>
    <dataField name="Total Orders" fld="0" subtotal="count" baseField="0" baseItem="1"/>
    <dataField name="Total Profit" fld="8" baseField="0" baseItem="2"/>
  </dataFields>
  <formats count="5">
    <format dxfId="35">
      <pivotArea outline="0" collapsedLevelsAreSubtotals="1" fieldPosition="0"/>
    </format>
    <format dxfId="34">
      <pivotArea outline="0" collapsedLevelsAreSubtotals="1" fieldPosition="0"/>
    </format>
    <format dxfId="33">
      <pivotArea collapsedLevelsAreSubtotals="1" fieldPosition="0">
        <references count="1">
          <reference field="4294967294" count="1">
            <x v="0"/>
          </reference>
        </references>
      </pivotArea>
    </format>
    <format dxfId="32">
      <pivotArea outline="0" fieldPosition="0">
        <references count="1">
          <reference field="4294967294" count="1">
            <x v="0"/>
          </reference>
        </references>
      </pivotArea>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AFA78-AB28-4171-A1DA-78D693F47685}" name="PivotTable4" cacheId="37"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9" rowHeaderCaption="order_date">
  <location ref="B23:C51" firstHeaderRow="1" firstDataRow="1" firstDataCol="1"/>
  <pivotFields count="11">
    <pivotField showAll="0"/>
    <pivotField axis="axisRow" numFmtId="14" showAll="0" sortType="ascending">
      <items count="29">
        <item x="5"/>
        <item x="20"/>
        <item x="8"/>
        <item x="7"/>
        <item x="19"/>
        <item x="15"/>
        <item x="22"/>
        <item x="27"/>
        <item x="13"/>
        <item x="10"/>
        <item x="2"/>
        <item x="0"/>
        <item x="26"/>
        <item x="23"/>
        <item x="17"/>
        <item x="16"/>
        <item x="25"/>
        <item x="14"/>
        <item x="6"/>
        <item x="1"/>
        <item x="3"/>
        <item x="18"/>
        <item x="24"/>
        <item x="9"/>
        <item x="21"/>
        <item x="12"/>
        <item x="4"/>
        <item x="1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dataField="1" showAll="0"/>
    <pivotField showAll="0"/>
    <pivotField showAll="0"/>
    <pivotField numFmtId="9"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Items count="1">
    <i/>
  </colItems>
  <dataFields count="1">
    <dataField name="Total Revenue" fld="6" baseField="0" baseItem="1" numFmtId="3"/>
  </dataFields>
  <formats count="4">
    <format dxfId="39">
      <pivotArea outline="0" collapsedLevelsAreSubtotals="1" fieldPosition="0"/>
    </format>
    <format dxfId="38">
      <pivotArea outline="0" collapsedLevelsAreSubtotals="1" fieldPosition="0"/>
    </format>
    <format dxfId="37">
      <pivotArea outline="0" fieldPosition="0">
        <references count="1">
          <reference field="4294967294" count="1">
            <x v="0"/>
          </reference>
        </references>
      </pivotArea>
    </format>
    <format dxfId="36">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14DE1C-DEFB-431E-A9BE-940DE225BE63}" name="PivotTable3" cacheId="37"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4" rowHeaderCaption="Region">
  <location ref="B16:D20" firstHeaderRow="0" firstDataRow="1" firstDataCol="1"/>
  <pivotFields count="11">
    <pivotField showAll="0"/>
    <pivotField numFmtId="14"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dataField="1" showAll="0"/>
    <pivotField showAll="0"/>
    <pivotField dataField="1" showAll="0"/>
    <pivotField numFmtId="9" showAll="0"/>
    <pivotField showAll="0"/>
  </pivotFields>
  <rowFields count="1">
    <field x="2"/>
  </rowFields>
  <rowItems count="4">
    <i>
      <x v="3"/>
    </i>
    <i>
      <x v="1"/>
    </i>
    <i>
      <x/>
    </i>
    <i>
      <x v="2"/>
    </i>
  </rowItems>
  <colFields count="1">
    <field x="-2"/>
  </colFields>
  <colItems count="2">
    <i>
      <x/>
    </i>
    <i i="1">
      <x v="1"/>
    </i>
  </colItems>
  <dataFields count="2">
    <dataField name="Total Revenue" fld="6" baseField="0" baseItem="1" numFmtId="3"/>
    <dataField name="Total Profit" fld="8" baseField="0" baseItem="2"/>
  </dataFields>
  <formats count="5">
    <format dxfId="44">
      <pivotArea outline="0" collapsedLevelsAreSubtotals="1" fieldPosition="0"/>
    </format>
    <format dxfId="43">
      <pivotArea outline="0" collapsedLevelsAreSubtotals="1" fieldPosition="0"/>
    </format>
    <format dxfId="42">
      <pivotArea outline="0" fieldPosition="0">
        <references count="1">
          <reference field="4294967294" count="1">
            <x v="0"/>
          </reference>
        </references>
      </pivotArea>
    </format>
    <format dxfId="41">
      <pivotArea collapsedLevelsAreSubtotals="1" fieldPosition="0">
        <references count="2">
          <reference field="4294967294" count="1" selected="0">
            <x v="1"/>
          </reference>
          <reference field="2" count="1">
            <x v="2"/>
          </reference>
        </references>
      </pivotArea>
    </format>
    <format dxfId="40">
      <pivotArea collapsedLevelsAreSubtotals="1" fieldPosition="0">
        <references count="2">
          <reference field="4294967294" count="1" selected="0">
            <x v="1"/>
          </reference>
          <reference field="2"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5B6D52-FE0E-4A05-A810-F956CBCDF5CA}" name="PivotTable2" cacheId="37"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7" rowHeaderCaption="category">
  <location ref="B10:D13" firstHeaderRow="0" firstDataRow="1" firstDataCol="1"/>
  <pivotFields count="11">
    <pivotField showAll="0"/>
    <pivotField numFmtId="14" showAll="0"/>
    <pivotField showAll="0">
      <items count="5">
        <item x="3"/>
        <item x="1"/>
        <item x="0"/>
        <item x="2"/>
        <item t="default"/>
      </items>
    </pivotField>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dataField="1" showAll="0"/>
    <pivotField showAll="0"/>
    <pivotField dataField="1" showAll="0"/>
    <pivotField numFmtId="9" showAll="0"/>
    <pivotField showAll="0"/>
  </pivotFields>
  <rowFields count="1">
    <field x="3"/>
  </rowFields>
  <rowItems count="3">
    <i>
      <x v="1"/>
    </i>
    <i>
      <x/>
    </i>
    <i>
      <x v="2"/>
    </i>
  </rowItems>
  <colFields count="1">
    <field x="-2"/>
  </colFields>
  <colItems count="2">
    <i>
      <x/>
    </i>
    <i i="1">
      <x v="1"/>
    </i>
  </colItems>
  <dataFields count="2">
    <dataField name="Total Revenue" fld="6" baseField="0" baseItem="1" numFmtId="3"/>
    <dataField name="Total Profit" fld="8" baseField="0" baseItem="2"/>
  </dataFields>
  <formats count="4">
    <format dxfId="48">
      <pivotArea outline="0" collapsedLevelsAreSubtotals="1" fieldPosition="0"/>
    </format>
    <format dxfId="47">
      <pivotArea outline="0" collapsedLevelsAreSubtotals="1" fieldPosition="0"/>
    </format>
    <format dxfId="46">
      <pivotArea outline="0" fieldPosition="0">
        <references count="1">
          <reference field="4294967294" count="1">
            <x v="0"/>
          </reference>
        </references>
      </pivotArea>
    </format>
    <format dxfId="45">
      <pivotArea collapsedLevelsAreSubtotals="1" fieldPosition="0">
        <references count="2">
          <reference field="4294967294" count="1" selected="0">
            <x v="1"/>
          </reference>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33883D-5CD6-4B14-AC4F-F012EF31D64F}" name="PivotTable6" cacheId="37"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hartFormat="5" rowHeaderCaption="product">
  <location ref="N10:O15" firstHeaderRow="1" firstDataRow="1" firstDataCol="1"/>
  <pivotFields count="11">
    <pivotField showAll="0"/>
    <pivotField numFmtId="14" showAll="0"/>
    <pivotField showAll="0">
      <items count="5">
        <item x="3"/>
        <item x="1"/>
        <item x="0"/>
        <item x="2"/>
        <item t="default"/>
      </items>
    </pivotField>
    <pivotField showAll="0">
      <items count="4">
        <item x="0"/>
        <item x="1"/>
        <item x="2"/>
        <item t="default"/>
      </items>
    </pivotField>
    <pivotField axis="axisRow" showAll="0" measureFilter="1" sortType="descending">
      <items count="11">
        <item x="4"/>
        <item x="2"/>
        <item x="6"/>
        <item x="0"/>
        <item x="3"/>
        <item x="8"/>
        <item x="1"/>
        <item x="7"/>
        <item x="9"/>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pivotField showAll="0"/>
    <pivotField numFmtId="9" showAll="0"/>
    <pivotField showAll="0"/>
  </pivotFields>
  <rowFields count="1">
    <field x="4"/>
  </rowFields>
  <rowItems count="5">
    <i>
      <x v="9"/>
    </i>
    <i>
      <x v="4"/>
    </i>
    <i>
      <x v="6"/>
    </i>
    <i>
      <x v="2"/>
    </i>
    <i>
      <x v="5"/>
    </i>
  </rowItems>
  <colItems count="1">
    <i/>
  </colItems>
  <dataFields count="1">
    <dataField name="Total Revenue" fld="6" baseField="0" baseItem="1" numFmtId="3"/>
  </dataFields>
  <formats count="13">
    <format dxfId="12">
      <pivotArea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5">
            <x v="2"/>
            <x v="4"/>
            <x v="5"/>
            <x v="6"/>
            <x v="9"/>
          </reference>
        </references>
      </pivotArea>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5">
            <x v="2"/>
            <x v="4"/>
            <x v="5"/>
            <x v="6"/>
            <x v="9"/>
          </reference>
        </references>
      </pivotArea>
    </format>
    <format dxfId="2">
      <pivotArea dataOnly="0" labelOnly="1" outline="0" axis="axisValues" fieldPosition="0"/>
    </format>
    <format dxfId="1">
      <pivotArea field="4" type="button" dataOnly="0" labelOnly="1" outline="0" axis="axisRow"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FD67AD-EAAF-41CE-A261-23A4D23BFBD8}" name="PivotTable1" cacheId="37" dataOnRows="1" applyNumberFormats="0" applyBorderFormats="0" applyFontFormats="0" applyPatternFormats="0" applyAlignmentFormats="0" applyWidthHeightFormats="1" dataCaption="KPI" updatedVersion="8" minRefreshableVersion="3" itemPrintTitles="1" createdVersion="8" indent="0" outline="1" outlineData="1" multipleFieldFilters="0">
  <location ref="K9:L12" firstHeaderRow="1" firstDataRow="1" firstDataCol="1"/>
  <pivotFields count="11">
    <pivotField dataField="1" showAll="0"/>
    <pivotField numFmtId="14" showAll="0"/>
    <pivotField showAll="0">
      <items count="5">
        <item x="3"/>
        <item x="1"/>
        <item x="0"/>
        <item x="2"/>
        <item t="default"/>
      </items>
    </pivotField>
    <pivotField showAll="0">
      <items count="4">
        <item x="0"/>
        <item x="1"/>
        <item x="2"/>
        <item t="default"/>
      </items>
    </pivotField>
    <pivotField showAll="0"/>
    <pivotField showAll="0">
      <items count="3">
        <item x="1"/>
        <item x="0"/>
        <item t="default"/>
      </items>
    </pivotField>
    <pivotField dataField="1" showAll="0"/>
    <pivotField showAll="0"/>
    <pivotField dataField="1" showAll="0"/>
    <pivotField numFmtId="9" showAll="0"/>
    <pivotField showAll="0"/>
  </pivotFields>
  <rowFields count="1">
    <field x="-2"/>
  </rowFields>
  <rowItems count="3">
    <i>
      <x/>
    </i>
    <i i="1">
      <x v="1"/>
    </i>
    <i i="2">
      <x v="2"/>
    </i>
  </rowItems>
  <colItems count="1">
    <i/>
  </colItems>
  <dataFields count="3">
    <dataField name="Total Revenue" fld="6" baseField="0" baseItem="1" numFmtId="3"/>
    <dataField name="Total Orders" fld="0" subtotal="count" baseField="0" baseItem="1"/>
    <dataField name="Total Profit" fld="8" baseField="0" baseItem="2"/>
  </dataFields>
  <formats count="15">
    <format dxfId="26">
      <pivotArea outline="0" collapsedLevelsAreSubtotals="1" fieldPosition="0"/>
    </format>
    <format dxfId="27">
      <pivotArea outline="0" collapsedLevelsAreSubtotals="1" fieldPosition="0"/>
    </format>
    <format dxfId="28">
      <pivotArea collapsedLevelsAreSubtotals="1" fieldPosition="0">
        <references count="1">
          <reference field="4294967294" count="1">
            <x v="0"/>
          </reference>
        </references>
      </pivotArea>
    </format>
    <format dxfId="29">
      <pivotArea outline="0" fieldPosition="0">
        <references count="1">
          <reference field="4294967294" count="1">
            <x v="0"/>
          </reference>
        </references>
      </pivotArea>
    </format>
    <format dxfId="30">
      <pivotArea outline="0" collapsedLevelsAreSubtotals="1"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outline="0" fieldPosition="0">
        <references count="1">
          <reference field="4294967294" count="3">
            <x v="0"/>
            <x v="1"/>
            <x v="2"/>
          </reference>
        </references>
      </pivotArea>
    </format>
    <format dxfId="21">
      <pivotArea dataOnly="0" labelOnly="1" grandCol="1" outline="0" axis="axisCol" fieldPosition="0"/>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outline="0" fieldPosition="0">
        <references count="1">
          <reference field="4294967294" count="3">
            <x v="0"/>
            <x v="1"/>
            <x v="2"/>
          </reference>
        </references>
      </pivotArea>
    </format>
    <format dxfId="13">
      <pivotArea dataOnly="0" labelOnly="1" grandCol="1" outline="0" axis="axisCol"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DCDEC9-0E28-4886-9B89-99B2042423E2}" sourceName="region">
  <pivotTables>
    <pivotTable tabId="2" name="PivotTable3"/>
    <pivotTable tabId="2" name="PivotTable1"/>
    <pivotTable tabId="2" name="PivotTable2"/>
    <pivotTable tabId="3" name="PivotTable1"/>
    <pivotTable tabId="2" name="PivotTable5"/>
    <pivotTable tabId="3" name="PivotTable6"/>
  </pivotTables>
  <data>
    <tabular pivotCacheId="33719056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C7B502-65D2-4E3D-BE7A-922D3255AD4A}" sourceName="category">
  <pivotTables>
    <pivotTable tabId="2" name="PivotTable2"/>
    <pivotTable tabId="2" name="PivotTable1"/>
    <pivotTable tabId="2" name="PivotTable3"/>
    <pivotTable tabId="3" name="PivotTable1"/>
    <pivotTable tabId="2" name="PivotTable5"/>
    <pivotTable tabId="3" name="PivotTable6"/>
  </pivotTables>
  <data>
    <tabular pivotCacheId="3371905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57F9C9C-4F20-49C6-AC61-4C3E64E95BE8}" sourceName="customer_type">
  <pivotTables>
    <pivotTable tabId="2" name="PivotTable2"/>
    <pivotTable tabId="2" name="PivotTable1"/>
    <pivotTable tabId="2" name="PivotTable3"/>
    <pivotTable tabId="2" name="PivotTable4"/>
    <pivotTable tabId="3" name="PivotTable1"/>
    <pivotTable tabId="2" name="PivotTable5"/>
    <pivotTable tabId="3" name="PivotTable6"/>
  </pivotTables>
  <data>
    <tabular pivotCacheId="33719056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C4D67D-1AF7-48F5-B079-889666ECF11C}" cache="Slicer_region" caption="region" rowHeight="234950"/>
  <slicer name="category" xr10:uid="{BB84A86D-7165-45AD-8C84-6CC085840E9E}" cache="Slicer_category" caption="category" rowHeight="234950"/>
  <slicer name="customer_type" xr10:uid="{70C01ED5-B598-41F2-A9CA-D7C882082085}" cache="Slicer_customer_type" caption="customer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55B0CCB-4A2C-4285-84AF-E031F547D110}" cache="Slicer_region" caption="region" style="SlicerStyleLight2" rowHeight="288000"/>
  <slicer name="category 1" xr10:uid="{8C065780-1DE8-496D-A5A9-39F9FB250AC0}" cache="Slicer_category" caption="category" style="SlicerStyleLight2" rowHeight="288000"/>
  <slicer name="customer_type 1" xr10:uid="{AD939672-33D7-4C4E-A430-F4F47951B675}" cache="Slicer_customer_type" caption="customer_type" startItem="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41D923-0247-4304-A8F8-7DF48822D4D0}" name="sales_data" displayName="sales_data" ref="A1:K500" totalsRowShown="0">
  <autoFilter ref="A1:K500" xr:uid="{9441D923-0247-4304-A8F8-7DF48822D4D0}"/>
  <tableColumns count="11">
    <tableColumn id="1" xr3:uid="{0F90E520-E0FD-4337-8FDA-8177FB18FB09}" name="order_id"/>
    <tableColumn id="2" xr3:uid="{C2D7DC34-8979-44A6-BAF2-288D419B5819}" name="order_date"/>
    <tableColumn id="3" xr3:uid="{3EA6578A-1268-4E3C-BA7B-CA4A00369E0E}" name="region"/>
    <tableColumn id="4" xr3:uid="{96056C00-0872-4C8F-B9D5-D0FC98698728}" name="category"/>
    <tableColumn id="5" xr3:uid="{E60B5552-8640-4A28-9A75-B7BDA3F15C27}" name="product"/>
    <tableColumn id="6" xr3:uid="{4EAF5CC6-7425-48D3-89C7-425AD66B22A2}" name="customer_type"/>
    <tableColumn id="7" xr3:uid="{BD96E7AE-99C8-49C4-BFB9-F0D802D08342}" name="revenue"/>
    <tableColumn id="8" xr3:uid="{13B5992C-4DFC-4FC8-A712-4E12CB4D6F78}" name="cost"/>
    <tableColumn id="9" xr3:uid="{6C242338-3C59-45AE-B423-67134AD60D20}" name="profit">
      <calculatedColumnFormula>sales_data[[#This Row],[revenue]]-sales_data[[#This Row],[cost]]</calculatedColumnFormula>
    </tableColumn>
    <tableColumn id="10" xr3:uid="{C177D433-87C0-48D6-8AD7-99D33B5A94AC}" name="profit_margin" dataCellStyle="Percent">
      <calculatedColumnFormula>sales_data[[#This Row],[profit]]/sales_data[[#This Row],[revenue]]</calculatedColumnFormula>
    </tableColumn>
    <tableColumn id="11" xr3:uid="{4A73B8D8-DB9D-42D0-A340-945A0DB2B226}" name="Data_check">
      <calculatedColumnFormula>IF(OR(sales_data[[#This Row],[revenue]]="",sales_data[[#This Row],[cost]]=""),"Check","OK")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0"/>
  <sheetViews>
    <sheetView zoomScale="145" zoomScaleNormal="145" workbookViewId="0">
      <selection activeCell="I101" sqref="I101"/>
    </sheetView>
  </sheetViews>
  <sheetFormatPr defaultRowHeight="14.4" x14ac:dyDescent="0.3"/>
  <cols>
    <col min="1" max="1" width="10.33203125" customWidth="1"/>
    <col min="2" max="2" width="12.5546875" customWidth="1"/>
    <col min="4" max="4" width="10.33203125" customWidth="1"/>
    <col min="5" max="5" width="9.5546875" customWidth="1"/>
    <col min="6" max="6" width="15.88671875" customWidth="1"/>
    <col min="7" max="7" width="10.109375" customWidth="1"/>
    <col min="10" max="10" width="14.77734375" bestFit="1" customWidth="1"/>
    <col min="11" max="11" width="13.44140625" bestFit="1" customWidth="1"/>
  </cols>
  <sheetData>
    <row r="1" spans="1:11" x14ac:dyDescent="0.3">
      <c r="A1" t="s">
        <v>0</v>
      </c>
      <c r="B1" t="s">
        <v>1</v>
      </c>
      <c r="C1" t="s">
        <v>2</v>
      </c>
      <c r="D1" t="s">
        <v>3</v>
      </c>
      <c r="E1" t="s">
        <v>4</v>
      </c>
      <c r="F1" t="s">
        <v>5</v>
      </c>
      <c r="G1" t="s">
        <v>6</v>
      </c>
      <c r="H1" t="s">
        <v>7</v>
      </c>
      <c r="I1" t="s">
        <v>39</v>
      </c>
      <c r="J1" t="s">
        <v>40</v>
      </c>
      <c r="K1" t="s">
        <v>49</v>
      </c>
    </row>
    <row r="2" spans="1:11" x14ac:dyDescent="0.3">
      <c r="A2" t="s">
        <v>308</v>
      </c>
      <c r="B2" s="2">
        <v>45700</v>
      </c>
      <c r="C2" t="s">
        <v>14</v>
      </c>
      <c r="D2" t="s">
        <v>23</v>
      </c>
      <c r="E2" t="s">
        <v>29</v>
      </c>
      <c r="F2" t="s">
        <v>17</v>
      </c>
      <c r="G2">
        <v>49980</v>
      </c>
      <c r="H2">
        <v>33986</v>
      </c>
      <c r="I2">
        <f>sales_data[[#This Row],[revenue]]-sales_data[[#This Row],[cost]]</f>
        <v>15994</v>
      </c>
      <c r="J2" s="1">
        <f>sales_data[[#This Row],[profit]]/sales_data[[#This Row],[revenue]]</f>
        <v>0.32000800320128053</v>
      </c>
      <c r="K2" t="str">
        <f>IF(OR(sales_data[[#This Row],[revenue]]="",sales_data[[#This Row],[cost]]=""),"Check","OK")</f>
        <v>OK</v>
      </c>
    </row>
    <row r="3" spans="1:11" x14ac:dyDescent="0.3">
      <c r="A3" t="s">
        <v>309</v>
      </c>
      <c r="B3" s="2">
        <v>45708</v>
      </c>
      <c r="C3" t="s">
        <v>14</v>
      </c>
      <c r="D3" t="s">
        <v>10</v>
      </c>
      <c r="E3" t="s">
        <v>24</v>
      </c>
      <c r="F3" t="s">
        <v>12</v>
      </c>
      <c r="G3">
        <v>81933</v>
      </c>
      <c r="H3">
        <v>52437</v>
      </c>
      <c r="I3">
        <f>sales_data[[#This Row],[revenue]]-sales_data[[#This Row],[cost]]</f>
        <v>29496</v>
      </c>
      <c r="J3" s="1">
        <f>sales_data[[#This Row],[profit]]/sales_data[[#This Row],[revenue]]</f>
        <v>0.36000146461132876</v>
      </c>
      <c r="K3" t="str">
        <f>IF(OR(sales_data[[#This Row],[revenue]]="",sales_data[[#This Row],[cost]]=""),"Check","OK")</f>
        <v>OK</v>
      </c>
    </row>
    <row r="4" spans="1:11" x14ac:dyDescent="0.3">
      <c r="A4" t="s">
        <v>310</v>
      </c>
      <c r="B4" s="2">
        <v>45699</v>
      </c>
      <c r="C4" t="s">
        <v>9</v>
      </c>
      <c r="D4" t="s">
        <v>10</v>
      </c>
      <c r="E4" t="s">
        <v>16</v>
      </c>
      <c r="F4" t="s">
        <v>12</v>
      </c>
      <c r="G4">
        <v>82508</v>
      </c>
      <c r="H4">
        <v>52805</v>
      </c>
      <c r="I4">
        <f>sales_data[[#This Row],[revenue]]-sales_data[[#This Row],[cost]]</f>
        <v>29703</v>
      </c>
      <c r="J4" s="1">
        <f>sales_data[[#This Row],[profit]]/sales_data[[#This Row],[revenue]]</f>
        <v>0.36000145440442138</v>
      </c>
      <c r="K4" t="str">
        <f>IF(OR(sales_data[[#This Row],[revenue]]="",sales_data[[#This Row],[cost]]=""),"Check","OK")</f>
        <v>OK</v>
      </c>
    </row>
    <row r="5" spans="1:11" x14ac:dyDescent="0.3">
      <c r="A5" t="s">
        <v>311</v>
      </c>
      <c r="B5" s="2">
        <v>45709</v>
      </c>
      <c r="C5" t="s">
        <v>19</v>
      </c>
      <c r="D5" t="s">
        <v>23</v>
      </c>
      <c r="E5" t="s">
        <v>24</v>
      </c>
      <c r="F5" t="s">
        <v>17</v>
      </c>
      <c r="G5">
        <v>76439</v>
      </c>
      <c r="H5">
        <v>58094</v>
      </c>
      <c r="I5">
        <f>sales_data[[#This Row],[revenue]]-sales_data[[#This Row],[cost]]</f>
        <v>18345</v>
      </c>
      <c r="J5" s="1">
        <f>sales_data[[#This Row],[profit]]/sales_data[[#This Row],[revenue]]</f>
        <v>0.23999529036224965</v>
      </c>
      <c r="K5" t="str">
        <f>IF(OR(sales_data[[#This Row],[revenue]]="",sales_data[[#This Row],[cost]]=""),"Check","OK")</f>
        <v>OK</v>
      </c>
    </row>
    <row r="6" spans="1:11" x14ac:dyDescent="0.3">
      <c r="A6" t="s">
        <v>312</v>
      </c>
      <c r="B6" s="2">
        <v>45715</v>
      </c>
      <c r="C6" t="s">
        <v>22</v>
      </c>
      <c r="D6" t="s">
        <v>15</v>
      </c>
      <c r="E6" t="s">
        <v>11</v>
      </c>
      <c r="F6" t="s">
        <v>12</v>
      </c>
      <c r="G6">
        <v>84174</v>
      </c>
      <c r="H6">
        <v>63972</v>
      </c>
      <c r="I6">
        <f>sales_data[[#This Row],[revenue]]-sales_data[[#This Row],[cost]]</f>
        <v>20202</v>
      </c>
      <c r="J6" s="1">
        <f>sales_data[[#This Row],[profit]]/sales_data[[#This Row],[revenue]]</f>
        <v>0.24000285123672394</v>
      </c>
      <c r="K6" t="str">
        <f>IF(OR(sales_data[[#This Row],[revenue]]="",sales_data[[#This Row],[cost]]=""),"Check","OK")</f>
        <v>OK</v>
      </c>
    </row>
    <row r="7" spans="1:11" x14ac:dyDescent="0.3">
      <c r="A7" t="s">
        <v>313</v>
      </c>
      <c r="B7" s="2">
        <v>45689</v>
      </c>
      <c r="C7" t="s">
        <v>14</v>
      </c>
      <c r="D7" t="s">
        <v>10</v>
      </c>
      <c r="E7" t="s">
        <v>38</v>
      </c>
      <c r="F7" t="s">
        <v>17</v>
      </c>
      <c r="G7">
        <v>14678</v>
      </c>
      <c r="H7">
        <v>9394</v>
      </c>
      <c r="I7">
        <f>sales_data[[#This Row],[revenue]]-sales_data[[#This Row],[cost]]</f>
        <v>5284</v>
      </c>
      <c r="J7" s="1">
        <f>sales_data[[#This Row],[profit]]/sales_data[[#This Row],[revenue]]</f>
        <v>0.35999454966616706</v>
      </c>
      <c r="K7" t="str">
        <f>IF(OR(sales_data[[#This Row],[revenue]]="",sales_data[[#This Row],[cost]]=""),"Check","OK")</f>
        <v>OK</v>
      </c>
    </row>
    <row r="8" spans="1:11" x14ac:dyDescent="0.3">
      <c r="A8" t="s">
        <v>314</v>
      </c>
      <c r="B8" s="2">
        <v>45707</v>
      </c>
      <c r="C8" t="s">
        <v>9</v>
      </c>
      <c r="D8" t="s">
        <v>10</v>
      </c>
      <c r="E8" t="s">
        <v>38</v>
      </c>
      <c r="F8" t="s">
        <v>12</v>
      </c>
      <c r="G8">
        <v>12017</v>
      </c>
      <c r="H8">
        <v>7811</v>
      </c>
      <c r="I8">
        <f>sales_data[[#This Row],[revenue]]-sales_data[[#This Row],[cost]]</f>
        <v>4206</v>
      </c>
      <c r="J8" s="1">
        <f>sales_data[[#This Row],[profit]]/sales_data[[#This Row],[revenue]]</f>
        <v>0.35000416077223934</v>
      </c>
      <c r="K8" t="str">
        <f>IF(OR(sales_data[[#This Row],[revenue]]="",sales_data[[#This Row],[cost]]=""),"Check","OK")</f>
        <v>OK</v>
      </c>
    </row>
    <row r="9" spans="1:11" x14ac:dyDescent="0.3">
      <c r="A9" t="s">
        <v>315</v>
      </c>
      <c r="B9" s="2">
        <v>45692</v>
      </c>
      <c r="C9" t="s">
        <v>9</v>
      </c>
      <c r="D9" t="s">
        <v>10</v>
      </c>
      <c r="E9" t="s">
        <v>36</v>
      </c>
      <c r="F9" t="s">
        <v>17</v>
      </c>
      <c r="G9">
        <v>29313</v>
      </c>
      <c r="H9">
        <v>21105</v>
      </c>
      <c r="I9">
        <f>sales_data[[#This Row],[revenue]]-sales_data[[#This Row],[cost]]</f>
        <v>8208</v>
      </c>
      <c r="J9" s="1">
        <f>sales_data[[#This Row],[profit]]/sales_data[[#This Row],[revenue]]</f>
        <v>0.28001228124040528</v>
      </c>
      <c r="K9" t="str">
        <f>IF(OR(sales_data[[#This Row],[revenue]]="",sales_data[[#This Row],[cost]]=""),"Check","OK")</f>
        <v>OK</v>
      </c>
    </row>
    <row r="10" spans="1:11" x14ac:dyDescent="0.3">
      <c r="A10" t="s">
        <v>316</v>
      </c>
      <c r="B10" s="2">
        <v>45691</v>
      </c>
      <c r="C10" t="s">
        <v>9</v>
      </c>
      <c r="D10" t="s">
        <v>15</v>
      </c>
      <c r="E10" t="s">
        <v>11</v>
      </c>
      <c r="F10" t="s">
        <v>17</v>
      </c>
      <c r="G10">
        <v>58620</v>
      </c>
      <c r="H10">
        <v>44551</v>
      </c>
      <c r="I10">
        <f>sales_data[[#This Row],[revenue]]-sales_data[[#This Row],[cost]]</f>
        <v>14069</v>
      </c>
      <c r="J10" s="1">
        <f>sales_data[[#This Row],[profit]]/sales_data[[#This Row],[revenue]]</f>
        <v>0.24000341180484477</v>
      </c>
      <c r="K10" t="str">
        <f>IF(OR(sales_data[[#This Row],[revenue]]="",sales_data[[#This Row],[cost]]=""),"Check","OK")</f>
        <v>OK</v>
      </c>
    </row>
    <row r="11" spans="1:11" x14ac:dyDescent="0.3">
      <c r="A11" t="s">
        <v>317</v>
      </c>
      <c r="B11" s="2">
        <v>45712</v>
      </c>
      <c r="C11" t="s">
        <v>19</v>
      </c>
      <c r="D11" t="s">
        <v>23</v>
      </c>
      <c r="E11" t="s">
        <v>32</v>
      </c>
      <c r="F11" t="s">
        <v>12</v>
      </c>
      <c r="G11">
        <v>10033</v>
      </c>
      <c r="H11">
        <v>8026</v>
      </c>
      <c r="I11">
        <f>sales_data[[#This Row],[revenue]]-sales_data[[#This Row],[cost]]</f>
        <v>2007</v>
      </c>
      <c r="J11" s="1">
        <f>sales_data[[#This Row],[profit]]/sales_data[[#This Row],[revenue]]</f>
        <v>0.20003986843416724</v>
      </c>
      <c r="K11" t="str">
        <f>IF(OR(sales_data[[#This Row],[revenue]]="",sales_data[[#This Row],[cost]]=""),"Check","OK")</f>
        <v>OK</v>
      </c>
    </row>
    <row r="12" spans="1:11" x14ac:dyDescent="0.3">
      <c r="A12" t="s">
        <v>318</v>
      </c>
      <c r="B12" s="2">
        <v>45698</v>
      </c>
      <c r="C12" t="s">
        <v>19</v>
      </c>
      <c r="D12" t="s">
        <v>15</v>
      </c>
      <c r="E12" t="s">
        <v>36</v>
      </c>
      <c r="F12" t="s">
        <v>12</v>
      </c>
      <c r="G12">
        <v>99734</v>
      </c>
      <c r="H12">
        <v>78790</v>
      </c>
      <c r="I12">
        <f>sales_data[[#This Row],[revenue]]-sales_data[[#This Row],[cost]]</f>
        <v>20944</v>
      </c>
      <c r="J12" s="1">
        <f>sales_data[[#This Row],[profit]]/sales_data[[#This Row],[revenue]]</f>
        <v>0.20999859626606773</v>
      </c>
      <c r="K12" t="str">
        <f>IF(OR(sales_data[[#This Row],[revenue]]="",sales_data[[#This Row],[cost]]=""),"Check","OK")</f>
        <v>OK</v>
      </c>
    </row>
    <row r="13" spans="1:11" x14ac:dyDescent="0.3">
      <c r="A13" t="s">
        <v>319</v>
      </c>
      <c r="B13" s="2">
        <v>45698</v>
      </c>
      <c r="C13" t="s">
        <v>9</v>
      </c>
      <c r="D13" t="s">
        <v>23</v>
      </c>
      <c r="E13" t="s">
        <v>29</v>
      </c>
      <c r="F13" t="s">
        <v>17</v>
      </c>
      <c r="G13">
        <v>93843</v>
      </c>
      <c r="H13">
        <v>71321</v>
      </c>
      <c r="I13">
        <f>sales_data[[#This Row],[revenue]]-sales_data[[#This Row],[cost]]</f>
        <v>22522</v>
      </c>
      <c r="J13" s="1">
        <f>sales_data[[#This Row],[profit]]/sales_data[[#This Row],[revenue]]</f>
        <v>0.23999659004933771</v>
      </c>
      <c r="K13" t="str">
        <f>IF(OR(sales_data[[#This Row],[revenue]]="",sales_data[[#This Row],[cost]]=""),"Check","OK")</f>
        <v>OK</v>
      </c>
    </row>
    <row r="14" spans="1:11" x14ac:dyDescent="0.3">
      <c r="A14" t="s">
        <v>320</v>
      </c>
      <c r="B14" s="2">
        <v>45716</v>
      </c>
      <c r="C14" t="s">
        <v>14</v>
      </c>
      <c r="D14" t="s">
        <v>23</v>
      </c>
      <c r="E14" t="s">
        <v>34</v>
      </c>
      <c r="F14" t="s">
        <v>12</v>
      </c>
      <c r="G14">
        <v>56144</v>
      </c>
      <c r="H14">
        <v>33686</v>
      </c>
      <c r="I14">
        <f>sales_data[[#This Row],[revenue]]-sales_data[[#This Row],[cost]]</f>
        <v>22458</v>
      </c>
      <c r="J14" s="1">
        <f>sales_data[[#This Row],[profit]]/sales_data[[#This Row],[revenue]]</f>
        <v>0.40000712453690512</v>
      </c>
      <c r="K14" t="str">
        <f>IF(OR(sales_data[[#This Row],[revenue]]="",sales_data[[#This Row],[cost]]=""),"Check","OK")</f>
        <v>OK</v>
      </c>
    </row>
    <row r="15" spans="1:11" x14ac:dyDescent="0.3">
      <c r="A15" t="s">
        <v>321</v>
      </c>
      <c r="B15" s="2">
        <v>45714</v>
      </c>
      <c r="C15" t="s">
        <v>19</v>
      </c>
      <c r="D15" t="s">
        <v>23</v>
      </c>
      <c r="E15" t="s">
        <v>36</v>
      </c>
      <c r="F15" t="s">
        <v>12</v>
      </c>
      <c r="G15">
        <v>13631</v>
      </c>
      <c r="H15">
        <v>10496</v>
      </c>
      <c r="I15">
        <f>sales_data[[#This Row],[revenue]]-sales_data[[#This Row],[cost]]</f>
        <v>3135</v>
      </c>
      <c r="J15" s="1">
        <f>sales_data[[#This Row],[profit]]/sales_data[[#This Row],[revenue]]</f>
        <v>0.22999046291541339</v>
      </c>
      <c r="K15" t="str">
        <f>IF(OR(sales_data[[#This Row],[revenue]]="",sales_data[[#This Row],[cost]]=""),"Check","OK")</f>
        <v>OK</v>
      </c>
    </row>
    <row r="16" spans="1:11" x14ac:dyDescent="0.3">
      <c r="A16" t="s">
        <v>322</v>
      </c>
      <c r="B16" s="2">
        <v>45697</v>
      </c>
      <c r="C16" t="s">
        <v>19</v>
      </c>
      <c r="D16" t="s">
        <v>15</v>
      </c>
      <c r="E16" t="s">
        <v>11</v>
      </c>
      <c r="F16" t="s">
        <v>12</v>
      </c>
      <c r="G16">
        <v>65141</v>
      </c>
      <c r="H16">
        <v>47553</v>
      </c>
      <c r="I16">
        <f>sales_data[[#This Row],[revenue]]-sales_data[[#This Row],[cost]]</f>
        <v>17588</v>
      </c>
      <c r="J16" s="1">
        <f>sales_data[[#This Row],[profit]]/sales_data[[#This Row],[revenue]]</f>
        <v>0.26999892540796117</v>
      </c>
      <c r="K16" t="str">
        <f>IF(OR(sales_data[[#This Row],[revenue]]="",sales_data[[#This Row],[cost]]=""),"Check","OK")</f>
        <v>OK</v>
      </c>
    </row>
    <row r="17" spans="1:11" x14ac:dyDescent="0.3">
      <c r="A17" t="s">
        <v>323</v>
      </c>
      <c r="B17" s="2">
        <v>45706</v>
      </c>
      <c r="C17" t="s">
        <v>14</v>
      </c>
      <c r="D17" t="s">
        <v>23</v>
      </c>
      <c r="E17" t="s">
        <v>36</v>
      </c>
      <c r="F17" t="s">
        <v>12</v>
      </c>
      <c r="G17">
        <v>60324</v>
      </c>
      <c r="H17">
        <v>41624</v>
      </c>
      <c r="I17">
        <f>sales_data[[#This Row],[revenue]]-sales_data[[#This Row],[cost]]</f>
        <v>18700</v>
      </c>
      <c r="J17" s="1">
        <f>sales_data[[#This Row],[profit]]/sales_data[[#This Row],[revenue]]</f>
        <v>0.30999270605397522</v>
      </c>
      <c r="K17" t="str">
        <f>IF(OR(sales_data[[#This Row],[revenue]]="",sales_data[[#This Row],[cost]]=""),"Check","OK")</f>
        <v>OK</v>
      </c>
    </row>
    <row r="18" spans="1:11" x14ac:dyDescent="0.3">
      <c r="A18" t="s">
        <v>324</v>
      </c>
      <c r="B18" s="2">
        <v>45694</v>
      </c>
      <c r="C18" t="s">
        <v>22</v>
      </c>
      <c r="D18" t="s">
        <v>15</v>
      </c>
      <c r="E18" t="s">
        <v>20</v>
      </c>
      <c r="F18" t="s">
        <v>12</v>
      </c>
      <c r="G18">
        <v>75915</v>
      </c>
      <c r="H18">
        <v>46308</v>
      </c>
      <c r="I18">
        <f>sales_data[[#This Row],[revenue]]-sales_data[[#This Row],[cost]]</f>
        <v>29607</v>
      </c>
      <c r="J18" s="1">
        <f>sales_data[[#This Row],[profit]]/sales_data[[#This Row],[revenue]]</f>
        <v>0.39000197589409208</v>
      </c>
      <c r="K18" t="str">
        <f>IF(OR(sales_data[[#This Row],[revenue]]="",sales_data[[#This Row],[cost]]=""),"Check","OK")</f>
        <v>OK</v>
      </c>
    </row>
    <row r="19" spans="1:11" x14ac:dyDescent="0.3">
      <c r="A19" t="s">
        <v>325</v>
      </c>
      <c r="B19" s="2">
        <v>45704</v>
      </c>
      <c r="C19" t="s">
        <v>19</v>
      </c>
      <c r="D19" t="s">
        <v>10</v>
      </c>
      <c r="E19" t="s">
        <v>29</v>
      </c>
      <c r="F19" t="s">
        <v>12</v>
      </c>
      <c r="G19">
        <v>76568</v>
      </c>
      <c r="H19">
        <v>47472</v>
      </c>
      <c r="I19">
        <f>sales_data[[#This Row],[revenue]]-sales_data[[#This Row],[cost]]</f>
        <v>29096</v>
      </c>
      <c r="J19" s="1">
        <f>sales_data[[#This Row],[profit]]/sales_data[[#This Row],[revenue]]</f>
        <v>0.38000208964580506</v>
      </c>
      <c r="K19" t="str">
        <f>IF(OR(sales_data[[#This Row],[revenue]]="",sales_data[[#This Row],[cost]]=""),"Check","OK")</f>
        <v>OK</v>
      </c>
    </row>
    <row r="20" spans="1:11" x14ac:dyDescent="0.3">
      <c r="A20" t="s">
        <v>326</v>
      </c>
      <c r="B20" s="2">
        <v>45703</v>
      </c>
      <c r="C20" t="s">
        <v>19</v>
      </c>
      <c r="D20" t="s">
        <v>15</v>
      </c>
      <c r="E20" t="s">
        <v>24</v>
      </c>
      <c r="F20" t="s">
        <v>12</v>
      </c>
      <c r="G20">
        <v>82082</v>
      </c>
      <c r="H20">
        <v>57457</v>
      </c>
      <c r="I20">
        <f>sales_data[[#This Row],[revenue]]-sales_data[[#This Row],[cost]]</f>
        <v>24625</v>
      </c>
      <c r="J20" s="1">
        <f>sales_data[[#This Row],[profit]]/sales_data[[#This Row],[revenue]]</f>
        <v>0.30000487317560487</v>
      </c>
      <c r="K20" t="str">
        <f>IF(OR(sales_data[[#This Row],[revenue]]="",sales_data[[#This Row],[cost]]=""),"Check","OK")</f>
        <v>OK</v>
      </c>
    </row>
    <row r="21" spans="1:11" x14ac:dyDescent="0.3">
      <c r="A21" t="s">
        <v>327</v>
      </c>
      <c r="B21" s="2">
        <v>45708</v>
      </c>
      <c r="C21" t="s">
        <v>14</v>
      </c>
      <c r="D21" t="s">
        <v>10</v>
      </c>
      <c r="E21" t="s">
        <v>16</v>
      </c>
      <c r="F21" t="s">
        <v>12</v>
      </c>
      <c r="G21">
        <v>29691</v>
      </c>
      <c r="H21">
        <v>21378</v>
      </c>
      <c r="I21">
        <f>sales_data[[#This Row],[revenue]]-sales_data[[#This Row],[cost]]</f>
        <v>8313</v>
      </c>
      <c r="J21" s="1">
        <f>sales_data[[#This Row],[profit]]/sales_data[[#This Row],[revenue]]</f>
        <v>0.27998383348489442</v>
      </c>
      <c r="K21" t="str">
        <f>IF(OR(sales_data[[#This Row],[revenue]]="",sales_data[[#This Row],[cost]]=""),"Check","OK")</f>
        <v>OK</v>
      </c>
    </row>
    <row r="22" spans="1:11" x14ac:dyDescent="0.3">
      <c r="A22" t="s">
        <v>328</v>
      </c>
      <c r="B22" s="2">
        <v>45689</v>
      </c>
      <c r="C22" t="s">
        <v>14</v>
      </c>
      <c r="D22" t="s">
        <v>10</v>
      </c>
      <c r="E22" t="s">
        <v>38</v>
      </c>
      <c r="F22" t="s">
        <v>17</v>
      </c>
      <c r="G22">
        <v>99119</v>
      </c>
      <c r="H22">
        <v>60463</v>
      </c>
      <c r="I22">
        <f>sales_data[[#This Row],[revenue]]-sales_data[[#This Row],[cost]]</f>
        <v>38656</v>
      </c>
      <c r="J22" s="1">
        <f>sales_data[[#This Row],[profit]]/sales_data[[#This Row],[revenue]]</f>
        <v>0.38999586355794552</v>
      </c>
      <c r="K22" t="str">
        <f>IF(OR(sales_data[[#This Row],[revenue]]="",sales_data[[#This Row],[cost]]=""),"Check","OK")</f>
        <v>OK</v>
      </c>
    </row>
    <row r="23" spans="1:11" x14ac:dyDescent="0.3">
      <c r="A23" t="s">
        <v>329</v>
      </c>
      <c r="B23" s="2">
        <v>45692</v>
      </c>
      <c r="C23" t="s">
        <v>22</v>
      </c>
      <c r="D23" t="s">
        <v>15</v>
      </c>
      <c r="E23" t="s">
        <v>24</v>
      </c>
      <c r="F23" t="s">
        <v>12</v>
      </c>
      <c r="G23">
        <v>41077</v>
      </c>
      <c r="H23">
        <v>31629</v>
      </c>
      <c r="I23">
        <f>sales_data[[#This Row],[revenue]]-sales_data[[#This Row],[cost]]</f>
        <v>9448</v>
      </c>
      <c r="J23" s="1">
        <f>sales_data[[#This Row],[profit]]/sales_data[[#This Row],[revenue]]</f>
        <v>0.23000705991187281</v>
      </c>
      <c r="K23" t="str">
        <f>IF(OR(sales_data[[#This Row],[revenue]]="",sales_data[[#This Row],[cost]]=""),"Check","OK")</f>
        <v>OK</v>
      </c>
    </row>
    <row r="24" spans="1:11" x14ac:dyDescent="0.3">
      <c r="A24" t="s">
        <v>330</v>
      </c>
      <c r="B24" s="2">
        <v>45710</v>
      </c>
      <c r="C24" t="s">
        <v>14</v>
      </c>
      <c r="D24" t="s">
        <v>15</v>
      </c>
      <c r="E24" t="s">
        <v>29</v>
      </c>
      <c r="F24" t="s">
        <v>12</v>
      </c>
      <c r="G24">
        <v>88369</v>
      </c>
      <c r="H24">
        <v>61858</v>
      </c>
      <c r="I24">
        <f>sales_data[[#This Row],[revenue]]-sales_data[[#This Row],[cost]]</f>
        <v>26511</v>
      </c>
      <c r="J24" s="1">
        <f>sales_data[[#This Row],[profit]]/sales_data[[#This Row],[revenue]]</f>
        <v>0.30000339485566208</v>
      </c>
      <c r="K24" t="str">
        <f>IF(OR(sales_data[[#This Row],[revenue]]="",sales_data[[#This Row],[cost]]=""),"Check","OK")</f>
        <v>OK</v>
      </c>
    </row>
    <row r="25" spans="1:11" x14ac:dyDescent="0.3">
      <c r="A25" t="s">
        <v>331</v>
      </c>
      <c r="B25" s="2">
        <v>45693</v>
      </c>
      <c r="C25" t="s">
        <v>9</v>
      </c>
      <c r="D25" t="s">
        <v>10</v>
      </c>
      <c r="E25" t="s">
        <v>11</v>
      </c>
      <c r="F25" t="s">
        <v>12</v>
      </c>
      <c r="G25">
        <v>69361</v>
      </c>
      <c r="H25">
        <v>55489</v>
      </c>
      <c r="I25">
        <f>sales_data[[#This Row],[revenue]]-sales_data[[#This Row],[cost]]</f>
        <v>13872</v>
      </c>
      <c r="J25" s="1">
        <f>sales_data[[#This Row],[profit]]/sales_data[[#This Row],[revenue]]</f>
        <v>0.19999711653522873</v>
      </c>
      <c r="K25" t="str">
        <f>IF(OR(sales_data[[#This Row],[revenue]]="",sales_data[[#This Row],[cost]]=""),"Check","OK")</f>
        <v>OK</v>
      </c>
    </row>
    <row r="26" spans="1:11" x14ac:dyDescent="0.3">
      <c r="A26" t="s">
        <v>332</v>
      </c>
      <c r="B26" s="2">
        <v>45710</v>
      </c>
      <c r="C26" t="s">
        <v>19</v>
      </c>
      <c r="D26" t="s">
        <v>23</v>
      </c>
      <c r="E26" t="s">
        <v>36</v>
      </c>
      <c r="F26" t="s">
        <v>17</v>
      </c>
      <c r="G26">
        <v>37654</v>
      </c>
      <c r="H26">
        <v>25605</v>
      </c>
      <c r="I26">
        <f>sales_data[[#This Row],[revenue]]-sales_data[[#This Row],[cost]]</f>
        <v>12049</v>
      </c>
      <c r="J26" s="1">
        <f>sales_data[[#This Row],[profit]]/sales_data[[#This Row],[revenue]]</f>
        <v>0.31999256387103625</v>
      </c>
      <c r="K26" t="str">
        <f>IF(OR(sales_data[[#This Row],[revenue]]="",sales_data[[#This Row],[cost]]=""),"Check","OK")</f>
        <v>OK</v>
      </c>
    </row>
    <row r="27" spans="1:11" x14ac:dyDescent="0.3">
      <c r="A27" t="s">
        <v>333</v>
      </c>
      <c r="B27" s="2">
        <v>45694</v>
      </c>
      <c r="C27" t="s">
        <v>9</v>
      </c>
      <c r="D27" t="s">
        <v>15</v>
      </c>
      <c r="E27" t="s">
        <v>32</v>
      </c>
      <c r="F27" t="s">
        <v>17</v>
      </c>
      <c r="G27">
        <v>68740</v>
      </c>
      <c r="H27">
        <v>51555</v>
      </c>
      <c r="I27">
        <f>sales_data[[#This Row],[revenue]]-sales_data[[#This Row],[cost]]</f>
        <v>17185</v>
      </c>
      <c r="J27" s="1">
        <f>sales_data[[#This Row],[profit]]/sales_data[[#This Row],[revenue]]</f>
        <v>0.25</v>
      </c>
      <c r="K27" t="str">
        <f>IF(OR(sales_data[[#This Row],[revenue]]="",sales_data[[#This Row],[cost]]=""),"Check","OK")</f>
        <v>OK</v>
      </c>
    </row>
    <row r="28" spans="1:11" x14ac:dyDescent="0.3">
      <c r="A28" t="s">
        <v>334</v>
      </c>
      <c r="B28" s="2">
        <v>45703</v>
      </c>
      <c r="C28" t="s">
        <v>22</v>
      </c>
      <c r="D28" t="s">
        <v>15</v>
      </c>
      <c r="E28" t="s">
        <v>24</v>
      </c>
      <c r="F28" t="s">
        <v>17</v>
      </c>
      <c r="G28">
        <v>75815</v>
      </c>
      <c r="H28">
        <v>48522</v>
      </c>
      <c r="I28">
        <f>sales_data[[#This Row],[revenue]]-sales_data[[#This Row],[cost]]</f>
        <v>27293</v>
      </c>
      <c r="J28" s="1">
        <f>sales_data[[#This Row],[profit]]/sales_data[[#This Row],[revenue]]</f>
        <v>0.35999472399920862</v>
      </c>
      <c r="K28" t="str">
        <f>IF(OR(sales_data[[#This Row],[revenue]]="",sales_data[[#This Row],[cost]]=""),"Check","OK")</f>
        <v>OK</v>
      </c>
    </row>
    <row r="29" spans="1:11" x14ac:dyDescent="0.3">
      <c r="A29" t="s">
        <v>335</v>
      </c>
      <c r="B29" s="2">
        <v>45714</v>
      </c>
      <c r="C29" t="s">
        <v>9</v>
      </c>
      <c r="D29" t="s">
        <v>15</v>
      </c>
      <c r="E29" t="s">
        <v>16</v>
      </c>
      <c r="F29" t="s">
        <v>12</v>
      </c>
      <c r="G29">
        <v>59856</v>
      </c>
      <c r="H29">
        <v>37111</v>
      </c>
      <c r="I29">
        <f>sales_data[[#This Row],[revenue]]-sales_data[[#This Row],[cost]]</f>
        <v>22745</v>
      </c>
      <c r="J29" s="1">
        <f>sales_data[[#This Row],[profit]]/sales_data[[#This Row],[revenue]]</f>
        <v>0.37999532210638864</v>
      </c>
      <c r="K29" t="str">
        <f>IF(OR(sales_data[[#This Row],[revenue]]="",sales_data[[#This Row],[cost]]=""),"Check","OK")</f>
        <v>OK</v>
      </c>
    </row>
    <row r="30" spans="1:11" x14ac:dyDescent="0.3">
      <c r="A30" t="s">
        <v>336</v>
      </c>
      <c r="B30" s="2">
        <v>45707</v>
      </c>
      <c r="C30" t="s">
        <v>9</v>
      </c>
      <c r="D30" t="s">
        <v>10</v>
      </c>
      <c r="E30" t="s">
        <v>36</v>
      </c>
      <c r="F30" t="s">
        <v>17</v>
      </c>
      <c r="G30">
        <v>12817</v>
      </c>
      <c r="H30">
        <v>7947</v>
      </c>
      <c r="I30">
        <f>sales_data[[#This Row],[revenue]]-sales_data[[#This Row],[cost]]</f>
        <v>4870</v>
      </c>
      <c r="J30" s="1">
        <f>sales_data[[#This Row],[profit]]/sales_data[[#This Row],[revenue]]</f>
        <v>0.37996411016618553</v>
      </c>
      <c r="K30" t="str">
        <f>IF(OR(sales_data[[#This Row],[revenue]]="",sales_data[[#This Row],[cost]]=""),"Check","OK")</f>
        <v>OK</v>
      </c>
    </row>
    <row r="31" spans="1:11" x14ac:dyDescent="0.3">
      <c r="A31" t="s">
        <v>337</v>
      </c>
      <c r="B31" s="2">
        <v>45691</v>
      </c>
      <c r="C31" t="s">
        <v>14</v>
      </c>
      <c r="D31" t="s">
        <v>23</v>
      </c>
      <c r="E31" t="s">
        <v>36</v>
      </c>
      <c r="F31" t="s">
        <v>12</v>
      </c>
      <c r="G31">
        <v>56855</v>
      </c>
      <c r="H31">
        <v>39230</v>
      </c>
      <c r="I31">
        <f>sales_data[[#This Row],[revenue]]-sales_data[[#This Row],[cost]]</f>
        <v>17625</v>
      </c>
      <c r="J31" s="1">
        <f>sales_data[[#This Row],[profit]]/sales_data[[#This Row],[revenue]]</f>
        <v>0.30999912056987072</v>
      </c>
      <c r="K31" t="str">
        <f>IF(OR(sales_data[[#This Row],[revenue]]="",sales_data[[#This Row],[cost]]=""),"Check","OK")</f>
        <v>OK</v>
      </c>
    </row>
    <row r="32" spans="1:11" x14ac:dyDescent="0.3">
      <c r="A32" t="s">
        <v>338</v>
      </c>
      <c r="B32" s="2">
        <v>45690</v>
      </c>
      <c r="C32" t="s">
        <v>22</v>
      </c>
      <c r="D32" t="s">
        <v>15</v>
      </c>
      <c r="E32" t="s">
        <v>29</v>
      </c>
      <c r="F32" t="s">
        <v>12</v>
      </c>
      <c r="G32">
        <v>85478</v>
      </c>
      <c r="H32">
        <v>68382</v>
      </c>
      <c r="I32">
        <f>sales_data[[#This Row],[revenue]]-sales_data[[#This Row],[cost]]</f>
        <v>17096</v>
      </c>
      <c r="J32" s="1">
        <f>sales_data[[#This Row],[profit]]/sales_data[[#This Row],[revenue]]</f>
        <v>0.20000467956667212</v>
      </c>
      <c r="K32" t="str">
        <f>IF(OR(sales_data[[#This Row],[revenue]]="",sales_data[[#This Row],[cost]]=""),"Check","OK")</f>
        <v>OK</v>
      </c>
    </row>
    <row r="33" spans="1:11" x14ac:dyDescent="0.3">
      <c r="A33" t="s">
        <v>339</v>
      </c>
      <c r="B33" s="2">
        <v>45713</v>
      </c>
      <c r="C33" t="s">
        <v>14</v>
      </c>
      <c r="D33" t="s">
        <v>23</v>
      </c>
      <c r="E33" t="s">
        <v>11</v>
      </c>
      <c r="F33" t="s">
        <v>17</v>
      </c>
      <c r="G33">
        <v>88646</v>
      </c>
      <c r="H33">
        <v>57620</v>
      </c>
      <c r="I33">
        <f>sales_data[[#This Row],[revenue]]-sales_data[[#This Row],[cost]]</f>
        <v>31026</v>
      </c>
      <c r="J33" s="1">
        <f>sales_data[[#This Row],[profit]]/sales_data[[#This Row],[revenue]]</f>
        <v>0.34999887191751461</v>
      </c>
      <c r="K33" t="str">
        <f>IF(OR(sales_data[[#This Row],[revenue]]="",sales_data[[#This Row],[cost]]=""),"Check","OK")</f>
        <v>OK</v>
      </c>
    </row>
    <row r="34" spans="1:11" x14ac:dyDescent="0.3">
      <c r="A34" t="s">
        <v>340</v>
      </c>
      <c r="B34" s="2">
        <v>45712</v>
      </c>
      <c r="C34" t="s">
        <v>14</v>
      </c>
      <c r="D34" t="s">
        <v>10</v>
      </c>
      <c r="E34" t="s">
        <v>34</v>
      </c>
      <c r="F34" t="s">
        <v>12</v>
      </c>
      <c r="G34">
        <v>14956</v>
      </c>
      <c r="H34">
        <v>10918</v>
      </c>
      <c r="I34">
        <f>sales_data[[#This Row],[revenue]]-sales_data[[#This Row],[cost]]</f>
        <v>4038</v>
      </c>
      <c r="J34" s="1">
        <f>sales_data[[#This Row],[profit]]/sales_data[[#This Row],[revenue]]</f>
        <v>0.26999197646429529</v>
      </c>
      <c r="K34" t="str">
        <f>IF(OR(sales_data[[#This Row],[revenue]]="",sales_data[[#This Row],[cost]]=""),"Check","OK")</f>
        <v>OK</v>
      </c>
    </row>
    <row r="35" spans="1:11" x14ac:dyDescent="0.3">
      <c r="A35" t="s">
        <v>341</v>
      </c>
      <c r="B35" s="2">
        <v>45695</v>
      </c>
      <c r="C35" t="s">
        <v>22</v>
      </c>
      <c r="D35" t="s">
        <v>15</v>
      </c>
      <c r="E35" t="s">
        <v>32</v>
      </c>
      <c r="F35" t="s">
        <v>17</v>
      </c>
      <c r="G35">
        <v>48591</v>
      </c>
      <c r="H35">
        <v>31098</v>
      </c>
      <c r="I35">
        <f>sales_data[[#This Row],[revenue]]-sales_data[[#This Row],[cost]]</f>
        <v>17493</v>
      </c>
      <c r="J35" s="1">
        <f>sales_data[[#This Row],[profit]]/sales_data[[#This Row],[revenue]]</f>
        <v>0.36000493918626908</v>
      </c>
      <c r="K35" t="str">
        <f>IF(OR(sales_data[[#This Row],[revenue]]="",sales_data[[#This Row],[cost]]=""),"Check","OK")</f>
        <v>OK</v>
      </c>
    </row>
    <row r="36" spans="1:11" x14ac:dyDescent="0.3">
      <c r="A36" t="s">
        <v>342</v>
      </c>
      <c r="B36" s="2">
        <v>45702</v>
      </c>
      <c r="C36" t="s">
        <v>9</v>
      </c>
      <c r="D36" t="s">
        <v>23</v>
      </c>
      <c r="E36" t="s">
        <v>11</v>
      </c>
      <c r="F36" t="s">
        <v>17</v>
      </c>
      <c r="G36">
        <v>55839</v>
      </c>
      <c r="H36">
        <v>38529</v>
      </c>
      <c r="I36">
        <f>sales_data[[#This Row],[revenue]]-sales_data[[#This Row],[cost]]</f>
        <v>17310</v>
      </c>
      <c r="J36" s="1">
        <f>sales_data[[#This Row],[profit]]/sales_data[[#This Row],[revenue]]</f>
        <v>0.30999838822328479</v>
      </c>
      <c r="K36" t="str">
        <f>IF(OR(sales_data[[#This Row],[revenue]]="",sales_data[[#This Row],[cost]]=""),"Check","OK")</f>
        <v>OK</v>
      </c>
    </row>
    <row r="37" spans="1:11" x14ac:dyDescent="0.3">
      <c r="A37" t="s">
        <v>343</v>
      </c>
      <c r="B37" s="2">
        <v>45706</v>
      </c>
      <c r="C37" t="s">
        <v>14</v>
      </c>
      <c r="D37" t="s">
        <v>15</v>
      </c>
      <c r="E37" t="s">
        <v>20</v>
      </c>
      <c r="F37" t="s">
        <v>12</v>
      </c>
      <c r="G37">
        <v>66395</v>
      </c>
      <c r="H37">
        <v>39837</v>
      </c>
      <c r="I37">
        <f>sales_data[[#This Row],[revenue]]-sales_data[[#This Row],[cost]]</f>
        <v>26558</v>
      </c>
      <c r="J37" s="1">
        <f>sales_data[[#This Row],[profit]]/sales_data[[#This Row],[revenue]]</f>
        <v>0.4</v>
      </c>
      <c r="K37" t="str">
        <f>IF(OR(sales_data[[#This Row],[revenue]]="",sales_data[[#This Row],[cost]]=""),"Check","OK")</f>
        <v>OK</v>
      </c>
    </row>
    <row r="38" spans="1:11" x14ac:dyDescent="0.3">
      <c r="A38" t="s">
        <v>344</v>
      </c>
      <c r="B38" s="2">
        <v>45711</v>
      </c>
      <c r="C38" t="s">
        <v>14</v>
      </c>
      <c r="D38" t="s">
        <v>15</v>
      </c>
      <c r="E38" t="s">
        <v>20</v>
      </c>
      <c r="F38" t="s">
        <v>17</v>
      </c>
      <c r="G38">
        <v>63643</v>
      </c>
      <c r="H38">
        <v>44550</v>
      </c>
      <c r="I38">
        <f>sales_data[[#This Row],[revenue]]-sales_data[[#This Row],[cost]]</f>
        <v>19093</v>
      </c>
      <c r="J38" s="1">
        <f>sales_data[[#This Row],[profit]]/sales_data[[#This Row],[revenue]]</f>
        <v>0.30000157126471094</v>
      </c>
      <c r="K38" t="str">
        <f>IF(OR(sales_data[[#This Row],[revenue]]="",sales_data[[#This Row],[cost]]=""),"Check","OK")</f>
        <v>OK</v>
      </c>
    </row>
    <row r="39" spans="1:11" x14ac:dyDescent="0.3">
      <c r="A39" t="s">
        <v>345</v>
      </c>
      <c r="B39" s="2">
        <v>45716</v>
      </c>
      <c r="C39" t="s">
        <v>9</v>
      </c>
      <c r="D39" t="s">
        <v>15</v>
      </c>
      <c r="E39" t="s">
        <v>38</v>
      </c>
      <c r="F39" t="s">
        <v>12</v>
      </c>
      <c r="G39">
        <v>50691</v>
      </c>
      <c r="H39">
        <v>30922</v>
      </c>
      <c r="I39">
        <f>sales_data[[#This Row],[revenue]]-sales_data[[#This Row],[cost]]</f>
        <v>19769</v>
      </c>
      <c r="J39" s="1">
        <f>sales_data[[#This Row],[profit]]/sales_data[[#This Row],[revenue]]</f>
        <v>0.38999033358978913</v>
      </c>
      <c r="K39" t="str">
        <f>IF(OR(sales_data[[#This Row],[revenue]]="",sales_data[[#This Row],[cost]]=""),"Check","OK")</f>
        <v>OK</v>
      </c>
    </row>
    <row r="40" spans="1:11" x14ac:dyDescent="0.3">
      <c r="A40" t="s">
        <v>346</v>
      </c>
      <c r="B40" s="2">
        <v>45700</v>
      </c>
      <c r="C40" t="s">
        <v>22</v>
      </c>
      <c r="D40" t="s">
        <v>10</v>
      </c>
      <c r="E40" t="s">
        <v>24</v>
      </c>
      <c r="F40" t="s">
        <v>12</v>
      </c>
      <c r="G40">
        <v>76459</v>
      </c>
      <c r="H40">
        <v>61167</v>
      </c>
      <c r="I40">
        <f>sales_data[[#This Row],[revenue]]-sales_data[[#This Row],[cost]]</f>
        <v>15292</v>
      </c>
      <c r="J40" s="1">
        <f>sales_data[[#This Row],[profit]]/sales_data[[#This Row],[revenue]]</f>
        <v>0.20000261578100681</v>
      </c>
      <c r="K40" t="str">
        <f>IF(OR(sales_data[[#This Row],[revenue]]="",sales_data[[#This Row],[cost]]=""),"Check","OK")</f>
        <v>OK</v>
      </c>
    </row>
    <row r="41" spans="1:11" x14ac:dyDescent="0.3">
      <c r="A41" t="s">
        <v>347</v>
      </c>
      <c r="B41" s="2">
        <v>45712</v>
      </c>
      <c r="C41" t="s">
        <v>22</v>
      </c>
      <c r="D41" t="s">
        <v>23</v>
      </c>
      <c r="E41" t="s">
        <v>32</v>
      </c>
      <c r="F41" t="s">
        <v>17</v>
      </c>
      <c r="G41">
        <v>72071</v>
      </c>
      <c r="H41">
        <v>45405</v>
      </c>
      <c r="I41">
        <f>sales_data[[#This Row],[revenue]]-sales_data[[#This Row],[cost]]</f>
        <v>26666</v>
      </c>
      <c r="J41" s="1">
        <f>sales_data[[#This Row],[profit]]/sales_data[[#This Row],[revenue]]</f>
        <v>0.36999625369427369</v>
      </c>
      <c r="K41" t="str">
        <f>IF(OR(sales_data[[#This Row],[revenue]]="",sales_data[[#This Row],[cost]]=""),"Check","OK")</f>
        <v>OK</v>
      </c>
    </row>
    <row r="42" spans="1:11" x14ac:dyDescent="0.3">
      <c r="A42" t="s">
        <v>348</v>
      </c>
      <c r="B42" s="2">
        <v>45697</v>
      </c>
      <c r="C42" t="s">
        <v>14</v>
      </c>
      <c r="D42" t="s">
        <v>10</v>
      </c>
      <c r="E42" t="s">
        <v>11</v>
      </c>
      <c r="F42" t="s">
        <v>17</v>
      </c>
      <c r="G42">
        <v>41030</v>
      </c>
      <c r="H42">
        <v>30773</v>
      </c>
      <c r="I42">
        <f>sales_data[[#This Row],[revenue]]-sales_data[[#This Row],[cost]]</f>
        <v>10257</v>
      </c>
      <c r="J42" s="1">
        <f>sales_data[[#This Row],[profit]]/sales_data[[#This Row],[revenue]]</f>
        <v>0.2499878137947843</v>
      </c>
      <c r="K42" t="str">
        <f>IF(OR(sales_data[[#This Row],[revenue]]="",sales_data[[#This Row],[cost]]=""),"Check","OK")</f>
        <v>OK</v>
      </c>
    </row>
    <row r="43" spans="1:11" x14ac:dyDescent="0.3">
      <c r="A43" t="s">
        <v>349</v>
      </c>
      <c r="B43" s="2">
        <v>45711</v>
      </c>
      <c r="C43" t="s">
        <v>14</v>
      </c>
      <c r="D43" t="s">
        <v>15</v>
      </c>
      <c r="E43" t="s">
        <v>29</v>
      </c>
      <c r="F43" t="s">
        <v>12</v>
      </c>
      <c r="G43">
        <v>97709</v>
      </c>
      <c r="H43">
        <v>60580</v>
      </c>
      <c r="I43">
        <f>sales_data[[#This Row],[revenue]]-sales_data[[#This Row],[cost]]</f>
        <v>37129</v>
      </c>
      <c r="J43" s="1">
        <f>sales_data[[#This Row],[profit]]/sales_data[[#This Row],[revenue]]</f>
        <v>0.37999570152186596</v>
      </c>
      <c r="K43" t="str">
        <f>IF(OR(sales_data[[#This Row],[revenue]]="",sales_data[[#This Row],[cost]]=""),"Check","OK")</f>
        <v>OK</v>
      </c>
    </row>
    <row r="44" spans="1:11" x14ac:dyDescent="0.3">
      <c r="A44" t="s">
        <v>350</v>
      </c>
      <c r="B44" s="2">
        <v>45708</v>
      </c>
      <c r="C44" t="s">
        <v>22</v>
      </c>
      <c r="D44" t="s">
        <v>15</v>
      </c>
      <c r="E44" t="s">
        <v>11</v>
      </c>
      <c r="F44" t="s">
        <v>17</v>
      </c>
      <c r="G44">
        <v>60960</v>
      </c>
      <c r="H44">
        <v>37186</v>
      </c>
      <c r="I44">
        <f>sales_data[[#This Row],[revenue]]-sales_data[[#This Row],[cost]]</f>
        <v>23774</v>
      </c>
      <c r="J44" s="1">
        <f>sales_data[[#This Row],[profit]]/sales_data[[#This Row],[revenue]]</f>
        <v>0.38999343832021</v>
      </c>
      <c r="K44" t="str">
        <f>IF(OR(sales_data[[#This Row],[revenue]]="",sales_data[[#This Row],[cost]]=""),"Check","OK")</f>
        <v>OK</v>
      </c>
    </row>
    <row r="45" spans="1:11" x14ac:dyDescent="0.3">
      <c r="A45" t="s">
        <v>351</v>
      </c>
      <c r="B45" s="2">
        <v>45707</v>
      </c>
      <c r="C45" t="s">
        <v>14</v>
      </c>
      <c r="D45" t="s">
        <v>23</v>
      </c>
      <c r="E45" t="s">
        <v>11</v>
      </c>
      <c r="F45" t="s">
        <v>17</v>
      </c>
      <c r="G45">
        <v>20547</v>
      </c>
      <c r="H45">
        <v>14383</v>
      </c>
      <c r="I45">
        <f>sales_data[[#This Row],[revenue]]-sales_data[[#This Row],[cost]]</f>
        <v>6164</v>
      </c>
      <c r="J45" s="1">
        <f>sales_data[[#This Row],[profit]]/sales_data[[#This Row],[revenue]]</f>
        <v>0.29999513310945636</v>
      </c>
      <c r="K45" t="str">
        <f>IF(OR(sales_data[[#This Row],[revenue]]="",sales_data[[#This Row],[cost]]=""),"Check","OK")</f>
        <v>OK</v>
      </c>
    </row>
    <row r="46" spans="1:11" x14ac:dyDescent="0.3">
      <c r="A46" t="s">
        <v>352</v>
      </c>
      <c r="B46" s="2">
        <v>45700</v>
      </c>
      <c r="C46" t="s">
        <v>9</v>
      </c>
      <c r="D46" t="s">
        <v>23</v>
      </c>
      <c r="E46" t="s">
        <v>36</v>
      </c>
      <c r="F46" t="s">
        <v>17</v>
      </c>
      <c r="G46">
        <v>40463</v>
      </c>
      <c r="H46">
        <v>31966</v>
      </c>
      <c r="I46">
        <f>sales_data[[#This Row],[revenue]]-sales_data[[#This Row],[cost]]</f>
        <v>8497</v>
      </c>
      <c r="J46" s="1">
        <f>sales_data[[#This Row],[profit]]/sales_data[[#This Row],[revenue]]</f>
        <v>0.20999431579467662</v>
      </c>
      <c r="K46" t="str">
        <f>IF(OR(sales_data[[#This Row],[revenue]]="",sales_data[[#This Row],[cost]]=""),"Check","OK")</f>
        <v>OK</v>
      </c>
    </row>
    <row r="47" spans="1:11" x14ac:dyDescent="0.3">
      <c r="A47" t="s">
        <v>353</v>
      </c>
      <c r="B47" s="2">
        <v>45697</v>
      </c>
      <c r="C47" t="s">
        <v>9</v>
      </c>
      <c r="D47" t="s">
        <v>23</v>
      </c>
      <c r="E47" t="s">
        <v>11</v>
      </c>
      <c r="F47" t="s">
        <v>12</v>
      </c>
      <c r="G47">
        <v>6681</v>
      </c>
      <c r="H47">
        <v>5011</v>
      </c>
      <c r="I47">
        <f>sales_data[[#This Row],[revenue]]-sales_data[[#This Row],[cost]]</f>
        <v>1670</v>
      </c>
      <c r="J47" s="1">
        <f>sales_data[[#This Row],[profit]]/sales_data[[#This Row],[revenue]]</f>
        <v>0.24996258045202813</v>
      </c>
      <c r="K47" t="str">
        <f>IF(OR(sales_data[[#This Row],[revenue]]="",sales_data[[#This Row],[cost]]=""),"Check","OK")</f>
        <v>OK</v>
      </c>
    </row>
    <row r="48" spans="1:11" x14ac:dyDescent="0.3">
      <c r="A48" t="s">
        <v>354</v>
      </c>
      <c r="B48" s="2">
        <v>45702</v>
      </c>
      <c r="C48" t="s">
        <v>22</v>
      </c>
      <c r="D48" t="s">
        <v>15</v>
      </c>
      <c r="E48" t="s">
        <v>20</v>
      </c>
      <c r="F48" t="s">
        <v>12</v>
      </c>
      <c r="G48">
        <v>28255</v>
      </c>
      <c r="H48">
        <v>21756</v>
      </c>
      <c r="I48">
        <f>sales_data[[#This Row],[revenue]]-sales_data[[#This Row],[cost]]</f>
        <v>6499</v>
      </c>
      <c r="J48" s="1">
        <f>sales_data[[#This Row],[profit]]/sales_data[[#This Row],[revenue]]</f>
        <v>0.23001238718810829</v>
      </c>
      <c r="K48" t="str">
        <f>IF(OR(sales_data[[#This Row],[revenue]]="",sales_data[[#This Row],[cost]]=""),"Check","OK")</f>
        <v>OK</v>
      </c>
    </row>
    <row r="49" spans="1:11" x14ac:dyDescent="0.3">
      <c r="A49" t="s">
        <v>355</v>
      </c>
      <c r="B49" s="2">
        <v>45700</v>
      </c>
      <c r="C49" t="s">
        <v>19</v>
      </c>
      <c r="D49" t="s">
        <v>10</v>
      </c>
      <c r="E49" t="s">
        <v>11</v>
      </c>
      <c r="F49" t="s">
        <v>12</v>
      </c>
      <c r="G49">
        <v>73109</v>
      </c>
      <c r="H49">
        <v>57025</v>
      </c>
      <c r="I49">
        <f>sales_data[[#This Row],[revenue]]-sales_data[[#This Row],[cost]]</f>
        <v>16084</v>
      </c>
      <c r="J49" s="1">
        <f>sales_data[[#This Row],[profit]]/sales_data[[#This Row],[revenue]]</f>
        <v>0.22000027356413027</v>
      </c>
      <c r="K49" t="str">
        <f>IF(OR(sales_data[[#This Row],[revenue]]="",sales_data[[#This Row],[cost]]=""),"Check","OK")</f>
        <v>OK</v>
      </c>
    </row>
    <row r="50" spans="1:11" x14ac:dyDescent="0.3">
      <c r="A50" t="s">
        <v>356</v>
      </c>
      <c r="B50" s="2">
        <v>45712</v>
      </c>
      <c r="C50" t="s">
        <v>22</v>
      </c>
      <c r="D50" t="s">
        <v>23</v>
      </c>
      <c r="E50" t="s">
        <v>32</v>
      </c>
      <c r="F50" t="s">
        <v>12</v>
      </c>
      <c r="G50">
        <v>93038</v>
      </c>
      <c r="H50">
        <v>64196</v>
      </c>
      <c r="I50">
        <f>sales_data[[#This Row],[revenue]]-sales_data[[#This Row],[cost]]</f>
        <v>28842</v>
      </c>
      <c r="J50" s="1">
        <f>sales_data[[#This Row],[profit]]/sales_data[[#This Row],[revenue]]</f>
        <v>0.31000236462520692</v>
      </c>
      <c r="K50" t="str">
        <f>IF(OR(sales_data[[#This Row],[revenue]]="",sales_data[[#This Row],[cost]]=""),"Check","OK")</f>
        <v>OK</v>
      </c>
    </row>
    <row r="51" spans="1:11" x14ac:dyDescent="0.3">
      <c r="A51" t="s">
        <v>357</v>
      </c>
      <c r="B51" s="2">
        <v>45699</v>
      </c>
      <c r="C51" t="s">
        <v>19</v>
      </c>
      <c r="D51" t="s">
        <v>23</v>
      </c>
      <c r="E51" t="s">
        <v>29</v>
      </c>
      <c r="F51" t="s">
        <v>17</v>
      </c>
      <c r="G51">
        <v>77963</v>
      </c>
      <c r="H51">
        <v>62370</v>
      </c>
      <c r="I51">
        <f>sales_data[[#This Row],[revenue]]-sales_data[[#This Row],[cost]]</f>
        <v>15593</v>
      </c>
      <c r="J51" s="1">
        <f>sales_data[[#This Row],[profit]]/sales_data[[#This Row],[revenue]]</f>
        <v>0.2000051306388928</v>
      </c>
      <c r="K51" t="str">
        <f>IF(OR(sales_data[[#This Row],[revenue]]="",sales_data[[#This Row],[cost]]=""),"Check","OK")</f>
        <v>OK</v>
      </c>
    </row>
    <row r="52" spans="1:11" x14ac:dyDescent="0.3">
      <c r="A52" t="s">
        <v>358</v>
      </c>
      <c r="B52" s="2">
        <v>45703</v>
      </c>
      <c r="C52" t="s">
        <v>9</v>
      </c>
      <c r="D52" t="s">
        <v>15</v>
      </c>
      <c r="E52" t="s">
        <v>16</v>
      </c>
      <c r="F52" t="s">
        <v>17</v>
      </c>
      <c r="G52">
        <v>62086</v>
      </c>
      <c r="H52">
        <v>45323</v>
      </c>
      <c r="I52">
        <f>sales_data[[#This Row],[revenue]]-sales_data[[#This Row],[cost]]</f>
        <v>16763</v>
      </c>
      <c r="J52" s="1">
        <f>sales_data[[#This Row],[profit]]/sales_data[[#This Row],[revenue]]</f>
        <v>0.26999645652804177</v>
      </c>
      <c r="K52" t="str">
        <f>IF(OR(sales_data[[#This Row],[revenue]]="",sales_data[[#This Row],[cost]]=""),"Check","OK")</f>
        <v>OK</v>
      </c>
    </row>
    <row r="53" spans="1:11" x14ac:dyDescent="0.3">
      <c r="A53" t="s">
        <v>359</v>
      </c>
      <c r="B53" s="2">
        <v>45712</v>
      </c>
      <c r="C53" t="s">
        <v>14</v>
      </c>
      <c r="D53" t="s">
        <v>10</v>
      </c>
      <c r="E53" t="s">
        <v>38</v>
      </c>
      <c r="F53" t="s">
        <v>12</v>
      </c>
      <c r="G53">
        <v>90692</v>
      </c>
      <c r="H53">
        <v>59857</v>
      </c>
      <c r="I53">
        <f>sales_data[[#This Row],[revenue]]-sales_data[[#This Row],[cost]]</f>
        <v>30835</v>
      </c>
      <c r="J53" s="1">
        <f>sales_data[[#This Row],[profit]]/sales_data[[#This Row],[revenue]]</f>
        <v>0.3399969126273541</v>
      </c>
      <c r="K53" t="str">
        <f>IF(OR(sales_data[[#This Row],[revenue]]="",sales_data[[#This Row],[cost]]=""),"Check","OK")</f>
        <v>OK</v>
      </c>
    </row>
    <row r="54" spans="1:11" x14ac:dyDescent="0.3">
      <c r="A54" t="s">
        <v>360</v>
      </c>
      <c r="B54" s="2">
        <v>45713</v>
      </c>
      <c r="C54" t="s">
        <v>22</v>
      </c>
      <c r="D54" t="s">
        <v>15</v>
      </c>
      <c r="E54" t="s">
        <v>11</v>
      </c>
      <c r="F54" t="s">
        <v>12</v>
      </c>
      <c r="G54">
        <v>18608</v>
      </c>
      <c r="H54">
        <v>14328</v>
      </c>
      <c r="I54">
        <f>sales_data[[#This Row],[revenue]]-sales_data[[#This Row],[cost]]</f>
        <v>4280</v>
      </c>
      <c r="J54" s="1">
        <f>sales_data[[#This Row],[profit]]/sales_data[[#This Row],[revenue]]</f>
        <v>0.23000859845227858</v>
      </c>
      <c r="K54" t="str">
        <f>IF(OR(sales_data[[#This Row],[revenue]]="",sales_data[[#This Row],[cost]]=""),"Check","OK")</f>
        <v>OK</v>
      </c>
    </row>
    <row r="55" spans="1:11" x14ac:dyDescent="0.3">
      <c r="A55" t="s">
        <v>361</v>
      </c>
      <c r="B55" s="2">
        <v>45706</v>
      </c>
      <c r="C55" t="s">
        <v>22</v>
      </c>
      <c r="D55" t="s">
        <v>23</v>
      </c>
      <c r="E55" t="s">
        <v>36</v>
      </c>
      <c r="F55" t="s">
        <v>17</v>
      </c>
      <c r="G55">
        <v>63970</v>
      </c>
      <c r="H55">
        <v>46058</v>
      </c>
      <c r="I55">
        <f>sales_data[[#This Row],[revenue]]-sales_data[[#This Row],[cost]]</f>
        <v>17912</v>
      </c>
      <c r="J55" s="1">
        <f>sales_data[[#This Row],[profit]]/sales_data[[#This Row],[revenue]]</f>
        <v>0.28000625293106146</v>
      </c>
      <c r="K55" t="str">
        <f>IF(OR(sales_data[[#This Row],[revenue]]="",sales_data[[#This Row],[cost]]=""),"Check","OK")</f>
        <v>OK</v>
      </c>
    </row>
    <row r="56" spans="1:11" x14ac:dyDescent="0.3">
      <c r="A56" t="s">
        <v>362</v>
      </c>
      <c r="B56" s="2">
        <v>45700</v>
      </c>
      <c r="C56" t="s">
        <v>19</v>
      </c>
      <c r="D56" t="s">
        <v>10</v>
      </c>
      <c r="E56" t="s">
        <v>36</v>
      </c>
      <c r="F56" t="s">
        <v>12</v>
      </c>
      <c r="G56">
        <v>61976</v>
      </c>
      <c r="H56">
        <v>47722</v>
      </c>
      <c r="I56">
        <f>sales_data[[#This Row],[revenue]]-sales_data[[#This Row],[cost]]</f>
        <v>14254</v>
      </c>
      <c r="J56" s="1">
        <f>sales_data[[#This Row],[profit]]/sales_data[[#This Row],[revenue]]</f>
        <v>0.22999225506647736</v>
      </c>
      <c r="K56" t="str">
        <f>IF(OR(sales_data[[#This Row],[revenue]]="",sales_data[[#This Row],[cost]]=""),"Check","OK")</f>
        <v>OK</v>
      </c>
    </row>
    <row r="57" spans="1:11" x14ac:dyDescent="0.3">
      <c r="A57" t="s">
        <v>363</v>
      </c>
      <c r="B57" s="2">
        <v>45698</v>
      </c>
      <c r="C57" t="s">
        <v>14</v>
      </c>
      <c r="D57" t="s">
        <v>10</v>
      </c>
      <c r="E57" t="s">
        <v>26</v>
      </c>
      <c r="F57" t="s">
        <v>17</v>
      </c>
      <c r="G57">
        <v>98435</v>
      </c>
      <c r="H57">
        <v>75795</v>
      </c>
      <c r="I57">
        <f>sales_data[[#This Row],[revenue]]-sales_data[[#This Row],[cost]]</f>
        <v>22640</v>
      </c>
      <c r="J57" s="1">
        <f>sales_data[[#This Row],[profit]]/sales_data[[#This Row],[revenue]]</f>
        <v>0.22999949205059175</v>
      </c>
      <c r="K57" t="str">
        <f>IF(OR(sales_data[[#This Row],[revenue]]="",sales_data[[#This Row],[cost]]=""),"Check","OK")</f>
        <v>OK</v>
      </c>
    </row>
    <row r="58" spans="1:11" x14ac:dyDescent="0.3">
      <c r="A58" t="s">
        <v>364</v>
      </c>
      <c r="B58" s="2">
        <v>45710</v>
      </c>
      <c r="C58" t="s">
        <v>19</v>
      </c>
      <c r="D58" t="s">
        <v>15</v>
      </c>
      <c r="E58" t="s">
        <v>34</v>
      </c>
      <c r="F58" t="s">
        <v>17</v>
      </c>
      <c r="G58">
        <v>9892</v>
      </c>
      <c r="H58">
        <v>7023</v>
      </c>
      <c r="I58">
        <f>sales_data[[#This Row],[revenue]]-sales_data[[#This Row],[cost]]</f>
        <v>2869</v>
      </c>
      <c r="J58" s="1">
        <f>sales_data[[#This Row],[profit]]/sales_data[[#This Row],[revenue]]</f>
        <v>0.29003234937323091</v>
      </c>
      <c r="K58" t="str">
        <f>IF(OR(sales_data[[#This Row],[revenue]]="",sales_data[[#This Row],[cost]]=""),"Check","OK")</f>
        <v>OK</v>
      </c>
    </row>
    <row r="59" spans="1:11" x14ac:dyDescent="0.3">
      <c r="A59" t="s">
        <v>365</v>
      </c>
      <c r="B59" s="2">
        <v>45702</v>
      </c>
      <c r="C59" t="s">
        <v>22</v>
      </c>
      <c r="D59" t="s">
        <v>10</v>
      </c>
      <c r="E59" t="s">
        <v>36</v>
      </c>
      <c r="F59" t="s">
        <v>12</v>
      </c>
      <c r="G59">
        <v>25602</v>
      </c>
      <c r="H59">
        <v>17921</v>
      </c>
      <c r="I59">
        <f>sales_data[[#This Row],[revenue]]-sales_data[[#This Row],[cost]]</f>
        <v>7681</v>
      </c>
      <c r="J59" s="1">
        <f>sales_data[[#This Row],[profit]]/sales_data[[#This Row],[revenue]]</f>
        <v>0.30001562377939223</v>
      </c>
      <c r="K59" t="str">
        <f>IF(OR(sales_data[[#This Row],[revenue]]="",sales_data[[#This Row],[cost]]=""),"Check","OK")</f>
        <v>OK</v>
      </c>
    </row>
    <row r="60" spans="1:11" x14ac:dyDescent="0.3">
      <c r="A60" t="s">
        <v>366</v>
      </c>
      <c r="B60" s="2">
        <v>45693</v>
      </c>
      <c r="C60" t="s">
        <v>9</v>
      </c>
      <c r="D60" t="s">
        <v>15</v>
      </c>
      <c r="E60" t="s">
        <v>29</v>
      </c>
      <c r="F60" t="s">
        <v>17</v>
      </c>
      <c r="G60">
        <v>75342</v>
      </c>
      <c r="H60">
        <v>47465</v>
      </c>
      <c r="I60">
        <f>sales_data[[#This Row],[revenue]]-sales_data[[#This Row],[cost]]</f>
        <v>27877</v>
      </c>
      <c r="J60" s="1">
        <f>sales_data[[#This Row],[profit]]/sales_data[[#This Row],[revenue]]</f>
        <v>0.37000610549228852</v>
      </c>
      <c r="K60" t="str">
        <f>IF(OR(sales_data[[#This Row],[revenue]]="",sales_data[[#This Row],[cost]]=""),"Check","OK")</f>
        <v>OK</v>
      </c>
    </row>
    <row r="61" spans="1:11" x14ac:dyDescent="0.3">
      <c r="A61" t="s">
        <v>367</v>
      </c>
      <c r="B61" s="2">
        <v>45700</v>
      </c>
      <c r="C61" t="s">
        <v>14</v>
      </c>
      <c r="D61" t="s">
        <v>15</v>
      </c>
      <c r="E61" t="s">
        <v>36</v>
      </c>
      <c r="F61" t="s">
        <v>12</v>
      </c>
      <c r="G61">
        <v>84367</v>
      </c>
      <c r="H61">
        <v>56526</v>
      </c>
      <c r="I61">
        <f>sales_data[[#This Row],[revenue]]-sales_data[[#This Row],[cost]]</f>
        <v>27841</v>
      </c>
      <c r="J61" s="1">
        <f>sales_data[[#This Row],[profit]]/sales_data[[#This Row],[revenue]]</f>
        <v>0.32999869617267413</v>
      </c>
      <c r="K61" t="str">
        <f>IF(OR(sales_data[[#This Row],[revenue]]="",sales_data[[#This Row],[cost]]=""),"Check","OK")</f>
        <v>OK</v>
      </c>
    </row>
    <row r="62" spans="1:11" x14ac:dyDescent="0.3">
      <c r="A62" t="s">
        <v>368</v>
      </c>
      <c r="B62" s="2">
        <v>45690</v>
      </c>
      <c r="C62" t="s">
        <v>9</v>
      </c>
      <c r="D62" t="s">
        <v>23</v>
      </c>
      <c r="E62" t="s">
        <v>24</v>
      </c>
      <c r="F62" t="s">
        <v>17</v>
      </c>
      <c r="G62">
        <v>22027</v>
      </c>
      <c r="H62">
        <v>13436</v>
      </c>
      <c r="I62">
        <f>sales_data[[#This Row],[revenue]]-sales_data[[#This Row],[cost]]</f>
        <v>8591</v>
      </c>
      <c r="J62" s="1">
        <f>sales_data[[#This Row],[profit]]/sales_data[[#This Row],[revenue]]</f>
        <v>0.3900213374494938</v>
      </c>
      <c r="K62" t="str">
        <f>IF(OR(sales_data[[#This Row],[revenue]]="",sales_data[[#This Row],[cost]]=""),"Check","OK")</f>
        <v>OK</v>
      </c>
    </row>
    <row r="63" spans="1:11" x14ac:dyDescent="0.3">
      <c r="A63" t="s">
        <v>369</v>
      </c>
      <c r="B63" s="2">
        <v>45692</v>
      </c>
      <c r="C63" t="s">
        <v>19</v>
      </c>
      <c r="D63" t="s">
        <v>10</v>
      </c>
      <c r="E63" t="s">
        <v>26</v>
      </c>
      <c r="F63" t="s">
        <v>17</v>
      </c>
      <c r="G63">
        <v>89297</v>
      </c>
      <c r="H63">
        <v>63401</v>
      </c>
      <c r="I63">
        <f>sales_data[[#This Row],[revenue]]-sales_data[[#This Row],[cost]]</f>
        <v>25896</v>
      </c>
      <c r="J63" s="1">
        <f>sales_data[[#This Row],[profit]]/sales_data[[#This Row],[revenue]]</f>
        <v>0.28999854418401516</v>
      </c>
      <c r="K63" t="str">
        <f>IF(OR(sales_data[[#This Row],[revenue]]="",sales_data[[#This Row],[cost]]=""),"Check","OK")</f>
        <v>OK</v>
      </c>
    </row>
    <row r="64" spans="1:11" x14ac:dyDescent="0.3">
      <c r="A64" t="s">
        <v>370</v>
      </c>
      <c r="B64" s="2">
        <v>45705</v>
      </c>
      <c r="C64" t="s">
        <v>22</v>
      </c>
      <c r="D64" t="s">
        <v>15</v>
      </c>
      <c r="E64" t="s">
        <v>24</v>
      </c>
      <c r="F64" t="s">
        <v>12</v>
      </c>
      <c r="G64">
        <v>45158</v>
      </c>
      <c r="H64">
        <v>33869</v>
      </c>
      <c r="I64">
        <f>sales_data[[#This Row],[revenue]]-sales_data[[#This Row],[cost]]</f>
        <v>11289</v>
      </c>
      <c r="J64" s="1">
        <f>sales_data[[#This Row],[profit]]/sales_data[[#This Row],[revenue]]</f>
        <v>0.24998892776473713</v>
      </c>
      <c r="K64" t="str">
        <f>IF(OR(sales_data[[#This Row],[revenue]]="",sales_data[[#This Row],[cost]]=""),"Check","OK")</f>
        <v>OK</v>
      </c>
    </row>
    <row r="65" spans="1:11" x14ac:dyDescent="0.3">
      <c r="A65" t="s">
        <v>371</v>
      </c>
      <c r="B65" s="2">
        <v>45691</v>
      </c>
      <c r="C65" t="s">
        <v>19</v>
      </c>
      <c r="D65" t="s">
        <v>10</v>
      </c>
      <c r="E65" t="s">
        <v>32</v>
      </c>
      <c r="F65" t="s">
        <v>12</v>
      </c>
      <c r="G65">
        <v>71878</v>
      </c>
      <c r="H65">
        <v>57502</v>
      </c>
      <c r="I65">
        <f>sales_data[[#This Row],[revenue]]-sales_data[[#This Row],[cost]]</f>
        <v>14376</v>
      </c>
      <c r="J65" s="1">
        <f>sales_data[[#This Row],[profit]]/sales_data[[#This Row],[revenue]]</f>
        <v>0.20000556498511365</v>
      </c>
      <c r="K65" t="str">
        <f>IF(OR(sales_data[[#This Row],[revenue]]="",sales_data[[#This Row],[cost]]=""),"Check","OK")</f>
        <v>OK</v>
      </c>
    </row>
    <row r="66" spans="1:11" x14ac:dyDescent="0.3">
      <c r="A66" t="s">
        <v>372</v>
      </c>
      <c r="B66" s="2">
        <v>45705</v>
      </c>
      <c r="C66" t="s">
        <v>19</v>
      </c>
      <c r="D66" t="s">
        <v>15</v>
      </c>
      <c r="E66" t="s">
        <v>38</v>
      </c>
      <c r="F66" t="s">
        <v>12</v>
      </c>
      <c r="G66">
        <v>66502</v>
      </c>
      <c r="H66">
        <v>39901</v>
      </c>
      <c r="I66">
        <f>sales_data[[#This Row],[revenue]]-sales_data[[#This Row],[cost]]</f>
        <v>26601</v>
      </c>
      <c r="J66" s="1">
        <f>sales_data[[#This Row],[profit]]/sales_data[[#This Row],[revenue]]</f>
        <v>0.40000300742834805</v>
      </c>
      <c r="K66" t="str">
        <f>IF(OR(sales_data[[#This Row],[revenue]]="",sales_data[[#This Row],[cost]]=""),"Check","OK")</f>
        <v>OK</v>
      </c>
    </row>
    <row r="67" spans="1:11" x14ac:dyDescent="0.3">
      <c r="A67" t="s">
        <v>373</v>
      </c>
      <c r="B67" s="2">
        <v>45701</v>
      </c>
      <c r="C67" t="s">
        <v>9</v>
      </c>
      <c r="D67" t="s">
        <v>10</v>
      </c>
      <c r="E67" t="s">
        <v>38</v>
      </c>
      <c r="F67" t="s">
        <v>17</v>
      </c>
      <c r="G67">
        <v>97873</v>
      </c>
      <c r="H67">
        <v>65575</v>
      </c>
      <c r="I67">
        <f>sales_data[[#This Row],[revenue]]-sales_data[[#This Row],[cost]]</f>
        <v>32298</v>
      </c>
      <c r="J67" s="1">
        <f>sales_data[[#This Row],[profit]]/sales_data[[#This Row],[revenue]]</f>
        <v>0.32999908044097964</v>
      </c>
      <c r="K67" t="str">
        <f>IF(OR(sales_data[[#This Row],[revenue]]="",sales_data[[#This Row],[cost]]=""),"Check","OK")</f>
        <v>OK</v>
      </c>
    </row>
    <row r="68" spans="1:11" x14ac:dyDescent="0.3">
      <c r="A68" t="s">
        <v>374</v>
      </c>
      <c r="B68" s="2">
        <v>45689</v>
      </c>
      <c r="C68" t="s">
        <v>22</v>
      </c>
      <c r="D68" t="s">
        <v>23</v>
      </c>
      <c r="E68" t="s">
        <v>36</v>
      </c>
      <c r="F68" t="s">
        <v>12</v>
      </c>
      <c r="G68">
        <v>41520</v>
      </c>
      <c r="H68">
        <v>28649</v>
      </c>
      <c r="I68">
        <f>sales_data[[#This Row],[revenue]]-sales_data[[#This Row],[cost]]</f>
        <v>12871</v>
      </c>
      <c r="J68" s="1">
        <f>sales_data[[#This Row],[profit]]/sales_data[[#This Row],[revenue]]</f>
        <v>0.309995183044316</v>
      </c>
      <c r="K68" t="str">
        <f>IF(OR(sales_data[[#This Row],[revenue]]="",sales_data[[#This Row],[cost]]=""),"Check","OK")</f>
        <v>OK</v>
      </c>
    </row>
    <row r="69" spans="1:11" x14ac:dyDescent="0.3">
      <c r="A69" t="s">
        <v>375</v>
      </c>
      <c r="B69" s="2">
        <v>45715</v>
      </c>
      <c r="C69" t="s">
        <v>9</v>
      </c>
      <c r="D69" t="s">
        <v>23</v>
      </c>
      <c r="E69" t="s">
        <v>32</v>
      </c>
      <c r="F69" t="s">
        <v>12</v>
      </c>
      <c r="G69">
        <v>61014</v>
      </c>
      <c r="H69">
        <v>40879</v>
      </c>
      <c r="I69">
        <f>sales_data[[#This Row],[revenue]]-sales_data[[#This Row],[cost]]</f>
        <v>20135</v>
      </c>
      <c r="J69" s="1">
        <f>sales_data[[#This Row],[profit]]/sales_data[[#This Row],[revenue]]</f>
        <v>0.33000622807880159</v>
      </c>
      <c r="K69" t="str">
        <f>IF(OR(sales_data[[#This Row],[revenue]]="",sales_data[[#This Row],[cost]]=""),"Check","OK")</f>
        <v>OK</v>
      </c>
    </row>
    <row r="70" spans="1:11" x14ac:dyDescent="0.3">
      <c r="A70" t="s">
        <v>376</v>
      </c>
      <c r="B70" s="2">
        <v>45702</v>
      </c>
      <c r="C70" t="s">
        <v>9</v>
      </c>
      <c r="D70" t="s">
        <v>15</v>
      </c>
      <c r="E70" t="s">
        <v>32</v>
      </c>
      <c r="F70" t="s">
        <v>12</v>
      </c>
      <c r="G70">
        <v>88754</v>
      </c>
      <c r="H70">
        <v>60353</v>
      </c>
      <c r="I70">
        <f>sales_data[[#This Row],[revenue]]-sales_data[[#This Row],[cost]]</f>
        <v>28401</v>
      </c>
      <c r="J70" s="1">
        <f>sales_data[[#This Row],[profit]]/sales_data[[#This Row],[revenue]]</f>
        <v>0.31999684521261013</v>
      </c>
      <c r="K70" t="str">
        <f>IF(OR(sales_data[[#This Row],[revenue]]="",sales_data[[#This Row],[cost]]=""),"Check","OK")</f>
        <v>OK</v>
      </c>
    </row>
    <row r="71" spans="1:11" x14ac:dyDescent="0.3">
      <c r="A71" t="s">
        <v>377</v>
      </c>
      <c r="B71" s="2">
        <v>45690</v>
      </c>
      <c r="C71" t="s">
        <v>14</v>
      </c>
      <c r="D71" t="s">
        <v>15</v>
      </c>
      <c r="E71" t="s">
        <v>24</v>
      </c>
      <c r="F71" t="s">
        <v>12</v>
      </c>
      <c r="G71">
        <v>13853</v>
      </c>
      <c r="H71">
        <v>9143</v>
      </c>
      <c r="I71">
        <f>sales_data[[#This Row],[revenue]]-sales_data[[#This Row],[cost]]</f>
        <v>4710</v>
      </c>
      <c r="J71" s="1">
        <f>sales_data[[#This Row],[profit]]/sales_data[[#This Row],[revenue]]</f>
        <v>0.33999855626940012</v>
      </c>
      <c r="K71" t="str">
        <f>IF(OR(sales_data[[#This Row],[revenue]]="",sales_data[[#This Row],[cost]]=""),"Check","OK")</f>
        <v>OK</v>
      </c>
    </row>
    <row r="72" spans="1:11" x14ac:dyDescent="0.3">
      <c r="A72" t="s">
        <v>378</v>
      </c>
      <c r="B72" s="2">
        <v>45691</v>
      </c>
      <c r="C72" t="s">
        <v>9</v>
      </c>
      <c r="D72" t="s">
        <v>23</v>
      </c>
      <c r="E72" t="s">
        <v>32</v>
      </c>
      <c r="F72" t="s">
        <v>12</v>
      </c>
      <c r="G72">
        <v>54912</v>
      </c>
      <c r="H72">
        <v>39537</v>
      </c>
      <c r="I72">
        <f>sales_data[[#This Row],[revenue]]-sales_data[[#This Row],[cost]]</f>
        <v>15375</v>
      </c>
      <c r="J72" s="1">
        <f>sales_data[[#This Row],[profit]]/sales_data[[#This Row],[revenue]]</f>
        <v>0.27999344405594406</v>
      </c>
      <c r="K72" t="str">
        <f>IF(OR(sales_data[[#This Row],[revenue]]="",sales_data[[#This Row],[cost]]=""),"Check","OK")</f>
        <v>OK</v>
      </c>
    </row>
    <row r="73" spans="1:11" x14ac:dyDescent="0.3">
      <c r="A73" t="s">
        <v>379</v>
      </c>
      <c r="B73" s="2">
        <v>45709</v>
      </c>
      <c r="C73" t="s">
        <v>19</v>
      </c>
      <c r="D73" t="s">
        <v>10</v>
      </c>
      <c r="E73" t="s">
        <v>24</v>
      </c>
      <c r="F73" t="s">
        <v>17</v>
      </c>
      <c r="G73">
        <v>38618</v>
      </c>
      <c r="H73">
        <v>28964</v>
      </c>
      <c r="I73">
        <f>sales_data[[#This Row],[revenue]]-sales_data[[#This Row],[cost]]</f>
        <v>9654</v>
      </c>
      <c r="J73" s="1">
        <f>sales_data[[#This Row],[profit]]/sales_data[[#This Row],[revenue]]</f>
        <v>0.2499870526697395</v>
      </c>
      <c r="K73" t="str">
        <f>IF(OR(sales_data[[#This Row],[revenue]]="",sales_data[[#This Row],[cost]]=""),"Check","OK")</f>
        <v>OK</v>
      </c>
    </row>
    <row r="74" spans="1:11" x14ac:dyDescent="0.3">
      <c r="A74" t="s">
        <v>380</v>
      </c>
      <c r="B74" s="2">
        <v>45692</v>
      </c>
      <c r="C74" t="s">
        <v>9</v>
      </c>
      <c r="D74" t="s">
        <v>10</v>
      </c>
      <c r="E74" t="s">
        <v>24</v>
      </c>
      <c r="F74" t="s">
        <v>12</v>
      </c>
      <c r="G74">
        <v>23203</v>
      </c>
      <c r="H74">
        <v>16242</v>
      </c>
      <c r="I74">
        <f>sales_data[[#This Row],[revenue]]-sales_data[[#This Row],[cost]]</f>
        <v>6961</v>
      </c>
      <c r="J74" s="1">
        <f>sales_data[[#This Row],[profit]]/sales_data[[#This Row],[revenue]]</f>
        <v>0.30000430978752746</v>
      </c>
      <c r="K74" t="str">
        <f>IF(OR(sales_data[[#This Row],[revenue]]="",sales_data[[#This Row],[cost]]=""),"Check","OK")</f>
        <v>OK</v>
      </c>
    </row>
    <row r="75" spans="1:11" x14ac:dyDescent="0.3">
      <c r="A75" t="s">
        <v>381</v>
      </c>
      <c r="B75" s="2">
        <v>45710</v>
      </c>
      <c r="C75" t="s">
        <v>14</v>
      </c>
      <c r="D75" t="s">
        <v>10</v>
      </c>
      <c r="E75" t="s">
        <v>32</v>
      </c>
      <c r="F75" t="s">
        <v>17</v>
      </c>
      <c r="G75">
        <v>20565</v>
      </c>
      <c r="H75">
        <v>16041</v>
      </c>
      <c r="I75">
        <f>sales_data[[#This Row],[revenue]]-sales_data[[#This Row],[cost]]</f>
        <v>4524</v>
      </c>
      <c r="J75" s="1">
        <f>sales_data[[#This Row],[profit]]/sales_data[[#This Row],[revenue]]</f>
        <v>0.21998541210795039</v>
      </c>
      <c r="K75" t="str">
        <f>IF(OR(sales_data[[#This Row],[revenue]]="",sales_data[[#This Row],[cost]]=""),"Check","OK")</f>
        <v>OK</v>
      </c>
    </row>
    <row r="76" spans="1:11" x14ac:dyDescent="0.3">
      <c r="A76" t="s">
        <v>382</v>
      </c>
      <c r="B76" s="2">
        <v>45706</v>
      </c>
      <c r="C76" t="s">
        <v>9</v>
      </c>
      <c r="D76" t="s">
        <v>15</v>
      </c>
      <c r="E76" t="s">
        <v>36</v>
      </c>
      <c r="F76" t="s">
        <v>17</v>
      </c>
      <c r="G76">
        <v>52349</v>
      </c>
      <c r="H76">
        <v>40309</v>
      </c>
      <c r="I76">
        <f>sales_data[[#This Row],[revenue]]-sales_data[[#This Row],[cost]]</f>
        <v>12040</v>
      </c>
      <c r="J76" s="1">
        <f>sales_data[[#This Row],[profit]]/sales_data[[#This Row],[revenue]]</f>
        <v>0.22999484230835354</v>
      </c>
      <c r="K76" t="str">
        <f>IF(OR(sales_data[[#This Row],[revenue]]="",sales_data[[#This Row],[cost]]=""),"Check","OK")</f>
        <v>OK</v>
      </c>
    </row>
    <row r="77" spans="1:11" x14ac:dyDescent="0.3">
      <c r="A77" t="s">
        <v>383</v>
      </c>
      <c r="B77" s="2">
        <v>45696</v>
      </c>
      <c r="C77" t="s">
        <v>14</v>
      </c>
      <c r="D77" t="s">
        <v>10</v>
      </c>
      <c r="E77" t="s">
        <v>16</v>
      </c>
      <c r="F77" t="s">
        <v>12</v>
      </c>
      <c r="G77">
        <v>82342</v>
      </c>
      <c r="H77">
        <v>52699</v>
      </c>
      <c r="I77">
        <f>sales_data[[#This Row],[revenue]]-sales_data[[#This Row],[cost]]</f>
        <v>29643</v>
      </c>
      <c r="J77" s="1">
        <f>sales_data[[#This Row],[profit]]/sales_data[[#This Row],[revenue]]</f>
        <v>0.35999854266352532</v>
      </c>
      <c r="K77" t="str">
        <f>IF(OR(sales_data[[#This Row],[revenue]]="",sales_data[[#This Row],[cost]]=""),"Check","OK")</f>
        <v>OK</v>
      </c>
    </row>
    <row r="78" spans="1:11" x14ac:dyDescent="0.3">
      <c r="A78" t="s">
        <v>384</v>
      </c>
      <c r="B78" s="2">
        <v>45707</v>
      </c>
      <c r="C78" t="s">
        <v>22</v>
      </c>
      <c r="D78" t="s">
        <v>10</v>
      </c>
      <c r="E78" t="s">
        <v>26</v>
      </c>
      <c r="F78" t="s">
        <v>12</v>
      </c>
      <c r="G78">
        <v>59420</v>
      </c>
      <c r="H78">
        <v>41594</v>
      </c>
      <c r="I78">
        <f>sales_data[[#This Row],[revenue]]-sales_data[[#This Row],[cost]]</f>
        <v>17826</v>
      </c>
      <c r="J78" s="1">
        <f>sales_data[[#This Row],[profit]]/sales_data[[#This Row],[revenue]]</f>
        <v>0.3</v>
      </c>
      <c r="K78" t="str">
        <f>IF(OR(sales_data[[#This Row],[revenue]]="",sales_data[[#This Row],[cost]]=""),"Check","OK")</f>
        <v>OK</v>
      </c>
    </row>
    <row r="79" spans="1:11" x14ac:dyDescent="0.3">
      <c r="A79" t="s">
        <v>385</v>
      </c>
      <c r="B79" s="2">
        <v>45706</v>
      </c>
      <c r="C79" t="s">
        <v>9</v>
      </c>
      <c r="D79" t="s">
        <v>10</v>
      </c>
      <c r="E79" t="s">
        <v>32</v>
      </c>
      <c r="F79" t="s">
        <v>17</v>
      </c>
      <c r="G79">
        <v>77513</v>
      </c>
      <c r="H79">
        <v>47283</v>
      </c>
      <c r="I79">
        <f>sales_data[[#This Row],[revenue]]-sales_data[[#This Row],[cost]]</f>
        <v>30230</v>
      </c>
      <c r="J79" s="1">
        <f>sales_data[[#This Row],[profit]]/sales_data[[#This Row],[revenue]]</f>
        <v>0.38999909692567697</v>
      </c>
      <c r="K79" t="str">
        <f>IF(OR(sales_data[[#This Row],[revenue]]="",sales_data[[#This Row],[cost]]=""),"Check","OK")</f>
        <v>OK</v>
      </c>
    </row>
    <row r="80" spans="1:11" x14ac:dyDescent="0.3">
      <c r="A80" t="s">
        <v>386</v>
      </c>
      <c r="B80" s="2">
        <v>45713</v>
      </c>
      <c r="C80" t="s">
        <v>19</v>
      </c>
      <c r="D80" t="s">
        <v>15</v>
      </c>
      <c r="E80" t="s">
        <v>20</v>
      </c>
      <c r="F80" t="s">
        <v>17</v>
      </c>
      <c r="G80">
        <v>54273</v>
      </c>
      <c r="H80">
        <v>36906</v>
      </c>
      <c r="I80">
        <f>sales_data[[#This Row],[revenue]]-sales_data[[#This Row],[cost]]</f>
        <v>17367</v>
      </c>
      <c r="J80" s="1">
        <f>sales_data[[#This Row],[profit]]/sales_data[[#This Row],[revenue]]</f>
        <v>0.31999336686750318</v>
      </c>
      <c r="K80" t="str">
        <f>IF(OR(sales_data[[#This Row],[revenue]]="",sales_data[[#This Row],[cost]]=""),"Check","OK")</f>
        <v>OK</v>
      </c>
    </row>
    <row r="81" spans="1:11" x14ac:dyDescent="0.3">
      <c r="A81" t="s">
        <v>387</v>
      </c>
      <c r="B81" s="2">
        <v>45694</v>
      </c>
      <c r="C81" t="s">
        <v>19</v>
      </c>
      <c r="D81" t="s">
        <v>23</v>
      </c>
      <c r="E81" t="s">
        <v>24</v>
      </c>
      <c r="F81" t="s">
        <v>17</v>
      </c>
      <c r="G81">
        <v>97700</v>
      </c>
      <c r="H81">
        <v>63505</v>
      </c>
      <c r="I81">
        <f>sales_data[[#This Row],[revenue]]-sales_data[[#This Row],[cost]]</f>
        <v>34195</v>
      </c>
      <c r="J81" s="1">
        <f>sales_data[[#This Row],[profit]]/sales_data[[#This Row],[revenue]]</f>
        <v>0.35</v>
      </c>
      <c r="K81" t="str">
        <f>IF(OR(sales_data[[#This Row],[revenue]]="",sales_data[[#This Row],[cost]]=""),"Check","OK")</f>
        <v>OK</v>
      </c>
    </row>
    <row r="82" spans="1:11" x14ac:dyDescent="0.3">
      <c r="A82" t="s">
        <v>388</v>
      </c>
      <c r="B82" s="2">
        <v>45691</v>
      </c>
      <c r="C82" t="s">
        <v>9</v>
      </c>
      <c r="D82" t="s">
        <v>15</v>
      </c>
      <c r="E82" t="s">
        <v>11</v>
      </c>
      <c r="F82" t="s">
        <v>17</v>
      </c>
      <c r="G82">
        <v>28127</v>
      </c>
      <c r="H82">
        <v>17720</v>
      </c>
      <c r="I82">
        <f>sales_data[[#This Row],[revenue]]-sales_data[[#This Row],[cost]]</f>
        <v>10407</v>
      </c>
      <c r="J82" s="1">
        <f>sales_data[[#This Row],[profit]]/sales_data[[#This Row],[revenue]]</f>
        <v>0.37000035553027338</v>
      </c>
      <c r="K82" t="str">
        <f>IF(OR(sales_data[[#This Row],[revenue]]="",sales_data[[#This Row],[cost]]=""),"Check","OK")</f>
        <v>OK</v>
      </c>
    </row>
    <row r="83" spans="1:11" x14ac:dyDescent="0.3">
      <c r="A83" t="s">
        <v>389</v>
      </c>
      <c r="B83" s="2">
        <v>45692</v>
      </c>
      <c r="C83" t="s">
        <v>9</v>
      </c>
      <c r="D83" t="s">
        <v>15</v>
      </c>
      <c r="E83" t="s">
        <v>34</v>
      </c>
      <c r="F83" t="s">
        <v>17</v>
      </c>
      <c r="G83">
        <v>7133</v>
      </c>
      <c r="H83">
        <v>4280</v>
      </c>
      <c r="I83">
        <f>sales_data[[#This Row],[revenue]]-sales_data[[#This Row],[cost]]</f>
        <v>2853</v>
      </c>
      <c r="J83" s="1">
        <f>sales_data[[#This Row],[profit]]/sales_data[[#This Row],[revenue]]</f>
        <v>0.39997196130660312</v>
      </c>
      <c r="K83" t="str">
        <f>IF(OR(sales_data[[#This Row],[revenue]]="",sales_data[[#This Row],[cost]]=""),"Check","OK")</f>
        <v>OK</v>
      </c>
    </row>
    <row r="84" spans="1:11" x14ac:dyDescent="0.3">
      <c r="A84" t="s">
        <v>390</v>
      </c>
      <c r="B84" s="2">
        <v>45704</v>
      </c>
      <c r="C84" t="s">
        <v>19</v>
      </c>
      <c r="D84" t="s">
        <v>23</v>
      </c>
      <c r="E84" t="s">
        <v>16</v>
      </c>
      <c r="F84" t="s">
        <v>17</v>
      </c>
      <c r="G84">
        <v>62857</v>
      </c>
      <c r="H84">
        <v>43371</v>
      </c>
      <c r="I84">
        <f>sales_data[[#This Row],[revenue]]-sales_data[[#This Row],[cost]]</f>
        <v>19486</v>
      </c>
      <c r="J84" s="1">
        <f>sales_data[[#This Row],[profit]]/sales_data[[#This Row],[revenue]]</f>
        <v>0.31000525001193185</v>
      </c>
      <c r="K84" t="str">
        <f>IF(OR(sales_data[[#This Row],[revenue]]="",sales_data[[#This Row],[cost]]=""),"Check","OK")</f>
        <v>OK</v>
      </c>
    </row>
    <row r="85" spans="1:11" x14ac:dyDescent="0.3">
      <c r="A85" t="s">
        <v>391</v>
      </c>
      <c r="B85" s="2">
        <v>45696</v>
      </c>
      <c r="C85" t="s">
        <v>19</v>
      </c>
      <c r="D85" t="s">
        <v>10</v>
      </c>
      <c r="E85" t="s">
        <v>20</v>
      </c>
      <c r="F85" t="s">
        <v>17</v>
      </c>
      <c r="G85">
        <v>27360</v>
      </c>
      <c r="H85">
        <v>17510</v>
      </c>
      <c r="I85">
        <f>sales_data[[#This Row],[revenue]]-sales_data[[#This Row],[cost]]</f>
        <v>9850</v>
      </c>
      <c r="J85" s="1">
        <f>sales_data[[#This Row],[profit]]/sales_data[[#This Row],[revenue]]</f>
        <v>0.36001461988304095</v>
      </c>
      <c r="K85" t="str">
        <f>IF(OR(sales_data[[#This Row],[revenue]]="",sales_data[[#This Row],[cost]]=""),"Check","OK")</f>
        <v>OK</v>
      </c>
    </row>
    <row r="86" spans="1:11" x14ac:dyDescent="0.3">
      <c r="A86" t="s">
        <v>392</v>
      </c>
      <c r="B86" s="2">
        <v>45708</v>
      </c>
      <c r="C86" t="s">
        <v>22</v>
      </c>
      <c r="D86" t="s">
        <v>10</v>
      </c>
      <c r="E86" t="s">
        <v>20</v>
      </c>
      <c r="F86" t="s">
        <v>17</v>
      </c>
      <c r="G86">
        <v>74785</v>
      </c>
      <c r="H86">
        <v>50106</v>
      </c>
      <c r="I86">
        <f>sales_data[[#This Row],[revenue]]-sales_data[[#This Row],[cost]]</f>
        <v>24679</v>
      </c>
      <c r="J86" s="1">
        <f>sales_data[[#This Row],[profit]]/sales_data[[#This Row],[revenue]]</f>
        <v>0.32999933141672794</v>
      </c>
      <c r="K86" t="str">
        <f>IF(OR(sales_data[[#This Row],[revenue]]="",sales_data[[#This Row],[cost]]=""),"Check","OK")</f>
        <v>OK</v>
      </c>
    </row>
    <row r="87" spans="1:11" x14ac:dyDescent="0.3">
      <c r="A87" t="s">
        <v>393</v>
      </c>
      <c r="B87" s="2">
        <v>45713</v>
      </c>
      <c r="C87" t="s">
        <v>9</v>
      </c>
      <c r="D87" t="s">
        <v>23</v>
      </c>
      <c r="E87" t="s">
        <v>36</v>
      </c>
      <c r="F87" t="s">
        <v>17</v>
      </c>
      <c r="G87">
        <v>41362</v>
      </c>
      <c r="H87">
        <v>28540</v>
      </c>
      <c r="I87">
        <f>sales_data[[#This Row],[revenue]]-sales_data[[#This Row],[cost]]</f>
        <v>12822</v>
      </c>
      <c r="J87" s="1">
        <f>sales_data[[#This Row],[profit]]/sales_data[[#This Row],[revenue]]</f>
        <v>0.30999468110826361</v>
      </c>
      <c r="K87" t="str">
        <f>IF(OR(sales_data[[#This Row],[revenue]]="",sales_data[[#This Row],[cost]]=""),"Check","OK")</f>
        <v>OK</v>
      </c>
    </row>
    <row r="88" spans="1:11" x14ac:dyDescent="0.3">
      <c r="A88" t="s">
        <v>394</v>
      </c>
      <c r="B88" s="2">
        <v>45706</v>
      </c>
      <c r="C88" t="s">
        <v>19</v>
      </c>
      <c r="D88" t="s">
        <v>15</v>
      </c>
      <c r="E88" t="s">
        <v>29</v>
      </c>
      <c r="F88" t="s">
        <v>17</v>
      </c>
      <c r="G88">
        <v>94996</v>
      </c>
      <c r="H88">
        <v>59847</v>
      </c>
      <c r="I88">
        <f>sales_data[[#This Row],[revenue]]-sales_data[[#This Row],[cost]]</f>
        <v>35149</v>
      </c>
      <c r="J88" s="1">
        <f>sales_data[[#This Row],[profit]]/sales_data[[#This Row],[revenue]]</f>
        <v>0.37000505284433027</v>
      </c>
      <c r="K88" t="str">
        <f>IF(OR(sales_data[[#This Row],[revenue]]="",sales_data[[#This Row],[cost]]=""),"Check","OK")</f>
        <v>OK</v>
      </c>
    </row>
    <row r="89" spans="1:11" x14ac:dyDescent="0.3">
      <c r="A89" t="s">
        <v>395</v>
      </c>
      <c r="B89" s="2">
        <v>45706</v>
      </c>
      <c r="C89" t="s">
        <v>14</v>
      </c>
      <c r="D89" t="s">
        <v>10</v>
      </c>
      <c r="E89" t="s">
        <v>20</v>
      </c>
      <c r="F89" t="s">
        <v>17</v>
      </c>
      <c r="G89">
        <v>57474</v>
      </c>
      <c r="H89">
        <v>41381</v>
      </c>
      <c r="I89">
        <f>sales_data[[#This Row],[revenue]]-sales_data[[#This Row],[cost]]</f>
        <v>16093</v>
      </c>
      <c r="J89" s="1">
        <f>sales_data[[#This Row],[profit]]/sales_data[[#This Row],[revenue]]</f>
        <v>0.28000487176810385</v>
      </c>
      <c r="K89" t="str">
        <f>IF(OR(sales_data[[#This Row],[revenue]]="",sales_data[[#This Row],[cost]]=""),"Check","OK")</f>
        <v>OK</v>
      </c>
    </row>
    <row r="90" spans="1:11" x14ac:dyDescent="0.3">
      <c r="A90" t="s">
        <v>396</v>
      </c>
      <c r="B90" s="2">
        <v>45690</v>
      </c>
      <c r="C90" t="s">
        <v>14</v>
      </c>
      <c r="D90" t="s">
        <v>23</v>
      </c>
      <c r="E90" t="s">
        <v>32</v>
      </c>
      <c r="F90" t="s">
        <v>17</v>
      </c>
      <c r="G90">
        <v>61984</v>
      </c>
      <c r="H90">
        <v>48967</v>
      </c>
      <c r="I90">
        <f>sales_data[[#This Row],[revenue]]-sales_data[[#This Row],[cost]]</f>
        <v>13017</v>
      </c>
      <c r="J90" s="1">
        <f>sales_data[[#This Row],[profit]]/sales_data[[#This Row],[revenue]]</f>
        <v>0.21000580795043883</v>
      </c>
      <c r="K90" t="str">
        <f>IF(OR(sales_data[[#This Row],[revenue]]="",sales_data[[#This Row],[cost]]=""),"Check","OK")</f>
        <v>OK</v>
      </c>
    </row>
    <row r="91" spans="1:11" x14ac:dyDescent="0.3">
      <c r="A91" t="s">
        <v>397</v>
      </c>
      <c r="B91" s="2">
        <v>45701</v>
      </c>
      <c r="C91" t="s">
        <v>19</v>
      </c>
      <c r="D91" t="s">
        <v>23</v>
      </c>
      <c r="E91" t="s">
        <v>32</v>
      </c>
      <c r="F91" t="s">
        <v>12</v>
      </c>
      <c r="G91">
        <v>9637</v>
      </c>
      <c r="H91">
        <v>7517</v>
      </c>
      <c r="I91">
        <f>sales_data[[#This Row],[revenue]]-sales_data[[#This Row],[cost]]</f>
        <v>2120</v>
      </c>
      <c r="J91" s="1">
        <f>sales_data[[#This Row],[profit]]/sales_data[[#This Row],[revenue]]</f>
        <v>0.21998547265746601</v>
      </c>
      <c r="K91" t="str">
        <f>IF(OR(sales_data[[#This Row],[revenue]]="",sales_data[[#This Row],[cost]]=""),"Check","OK")</f>
        <v>OK</v>
      </c>
    </row>
    <row r="92" spans="1:11" x14ac:dyDescent="0.3">
      <c r="A92" t="s">
        <v>398</v>
      </c>
      <c r="B92" s="2">
        <v>45694</v>
      </c>
      <c r="C92" t="s">
        <v>9</v>
      </c>
      <c r="D92" t="s">
        <v>23</v>
      </c>
      <c r="E92" t="s">
        <v>38</v>
      </c>
      <c r="F92" t="s">
        <v>17</v>
      </c>
      <c r="G92">
        <v>73585</v>
      </c>
      <c r="H92">
        <v>48566</v>
      </c>
      <c r="I92">
        <f>sales_data[[#This Row],[revenue]]-sales_data[[#This Row],[cost]]</f>
        <v>25019</v>
      </c>
      <c r="J92" s="1">
        <f>sales_data[[#This Row],[profit]]/sales_data[[#This Row],[revenue]]</f>
        <v>0.34000135897261669</v>
      </c>
      <c r="K92" t="str">
        <f>IF(OR(sales_data[[#This Row],[revenue]]="",sales_data[[#This Row],[cost]]=""),"Check","OK")</f>
        <v>OK</v>
      </c>
    </row>
    <row r="93" spans="1:11" x14ac:dyDescent="0.3">
      <c r="A93" t="s">
        <v>399</v>
      </c>
      <c r="B93" s="2">
        <v>45701</v>
      </c>
      <c r="C93" t="s">
        <v>9</v>
      </c>
      <c r="D93" t="s">
        <v>10</v>
      </c>
      <c r="E93" t="s">
        <v>32</v>
      </c>
      <c r="F93" t="s">
        <v>12</v>
      </c>
      <c r="G93">
        <v>49171</v>
      </c>
      <c r="H93">
        <v>32453</v>
      </c>
      <c r="I93">
        <f>sales_data[[#This Row],[revenue]]-sales_data[[#This Row],[cost]]</f>
        <v>16718</v>
      </c>
      <c r="J93" s="1">
        <f>sales_data[[#This Row],[profit]]/sales_data[[#This Row],[revenue]]</f>
        <v>0.33999715279331311</v>
      </c>
      <c r="K93" t="str">
        <f>IF(OR(sales_data[[#This Row],[revenue]]="",sales_data[[#This Row],[cost]]=""),"Check","OK")</f>
        <v>OK</v>
      </c>
    </row>
    <row r="94" spans="1:11" x14ac:dyDescent="0.3">
      <c r="A94" t="s">
        <v>400</v>
      </c>
      <c r="B94" s="2">
        <v>45693</v>
      </c>
      <c r="C94" t="s">
        <v>14</v>
      </c>
      <c r="D94" t="s">
        <v>23</v>
      </c>
      <c r="E94" t="s">
        <v>36</v>
      </c>
      <c r="F94" t="s">
        <v>12</v>
      </c>
      <c r="G94">
        <v>14194</v>
      </c>
      <c r="H94">
        <v>8658</v>
      </c>
      <c r="I94">
        <f>sales_data[[#This Row],[revenue]]-sales_data[[#This Row],[cost]]</f>
        <v>5536</v>
      </c>
      <c r="J94" s="1">
        <f>sales_data[[#This Row],[profit]]/sales_data[[#This Row],[revenue]]</f>
        <v>0.39002395378328869</v>
      </c>
      <c r="K94" t="str">
        <f>IF(OR(sales_data[[#This Row],[revenue]]="",sales_data[[#This Row],[cost]]=""),"Check","OK")</f>
        <v>OK</v>
      </c>
    </row>
    <row r="95" spans="1:11" x14ac:dyDescent="0.3">
      <c r="A95" t="s">
        <v>401</v>
      </c>
      <c r="B95" s="2">
        <v>45697</v>
      </c>
      <c r="C95" t="s">
        <v>9</v>
      </c>
      <c r="D95" t="s">
        <v>10</v>
      </c>
      <c r="E95" t="s">
        <v>36</v>
      </c>
      <c r="F95" t="s">
        <v>12</v>
      </c>
      <c r="G95">
        <v>16968</v>
      </c>
      <c r="H95">
        <v>12726</v>
      </c>
      <c r="I95">
        <f>sales_data[[#This Row],[revenue]]-sales_data[[#This Row],[cost]]</f>
        <v>4242</v>
      </c>
      <c r="J95" s="1">
        <f>sales_data[[#This Row],[profit]]/sales_data[[#This Row],[revenue]]</f>
        <v>0.25</v>
      </c>
      <c r="K95" t="str">
        <f>IF(OR(sales_data[[#This Row],[revenue]]="",sales_data[[#This Row],[cost]]=""),"Check","OK")</f>
        <v>OK</v>
      </c>
    </row>
    <row r="96" spans="1:11" x14ac:dyDescent="0.3">
      <c r="A96" t="s">
        <v>402</v>
      </c>
      <c r="B96" s="2">
        <v>45712</v>
      </c>
      <c r="C96" t="s">
        <v>14</v>
      </c>
      <c r="D96" t="s">
        <v>10</v>
      </c>
      <c r="E96" t="s">
        <v>20</v>
      </c>
      <c r="F96" t="s">
        <v>17</v>
      </c>
      <c r="G96">
        <v>46218</v>
      </c>
      <c r="H96">
        <v>32815</v>
      </c>
      <c r="I96">
        <f>sales_data[[#This Row],[revenue]]-sales_data[[#This Row],[cost]]</f>
        <v>13403</v>
      </c>
      <c r="J96" s="1">
        <f>sales_data[[#This Row],[profit]]/sales_data[[#This Row],[revenue]]</f>
        <v>0.28999523994980309</v>
      </c>
      <c r="K96" t="str">
        <f>IF(OR(sales_data[[#This Row],[revenue]]="",sales_data[[#This Row],[cost]]=""),"Check","OK")</f>
        <v>OK</v>
      </c>
    </row>
    <row r="97" spans="1:11" x14ac:dyDescent="0.3">
      <c r="A97" t="s">
        <v>403</v>
      </c>
      <c r="B97" s="2">
        <v>45698</v>
      </c>
      <c r="C97" t="s">
        <v>22</v>
      </c>
      <c r="D97" t="s">
        <v>23</v>
      </c>
      <c r="E97" t="s">
        <v>36</v>
      </c>
      <c r="F97" t="s">
        <v>12</v>
      </c>
      <c r="G97">
        <v>18687</v>
      </c>
      <c r="H97">
        <v>13081</v>
      </c>
      <c r="I97">
        <f>sales_data[[#This Row],[revenue]]-sales_data[[#This Row],[cost]]</f>
        <v>5606</v>
      </c>
      <c r="J97" s="1">
        <f>sales_data[[#This Row],[profit]]/sales_data[[#This Row],[revenue]]</f>
        <v>0.29999464868625247</v>
      </c>
      <c r="K97" t="str">
        <f>IF(OR(sales_data[[#This Row],[revenue]]="",sales_data[[#This Row],[cost]]=""),"Check","OK")</f>
        <v>OK</v>
      </c>
    </row>
    <row r="98" spans="1:11" x14ac:dyDescent="0.3">
      <c r="A98" t="s">
        <v>404</v>
      </c>
      <c r="B98" s="2">
        <v>45701</v>
      </c>
      <c r="C98" t="s">
        <v>9</v>
      </c>
      <c r="D98" t="s">
        <v>23</v>
      </c>
      <c r="E98" t="s">
        <v>16</v>
      </c>
      <c r="F98" t="s">
        <v>17</v>
      </c>
      <c r="G98">
        <v>16048</v>
      </c>
      <c r="H98">
        <v>9629</v>
      </c>
      <c r="I98">
        <f>sales_data[[#This Row],[revenue]]-sales_data[[#This Row],[cost]]</f>
        <v>6419</v>
      </c>
      <c r="J98" s="1">
        <f>sales_data[[#This Row],[profit]]/sales_data[[#This Row],[revenue]]</f>
        <v>0.39998753738783649</v>
      </c>
      <c r="K98" t="str">
        <f>IF(OR(sales_data[[#This Row],[revenue]]="",sales_data[[#This Row],[cost]]=""),"Check","OK")</f>
        <v>OK</v>
      </c>
    </row>
    <row r="99" spans="1:11" x14ac:dyDescent="0.3">
      <c r="A99" t="s">
        <v>405</v>
      </c>
      <c r="B99" s="2">
        <v>45691</v>
      </c>
      <c r="C99" t="s">
        <v>19</v>
      </c>
      <c r="D99" t="s">
        <v>10</v>
      </c>
      <c r="E99" t="s">
        <v>20</v>
      </c>
      <c r="F99" t="s">
        <v>12</v>
      </c>
      <c r="G99">
        <v>87287</v>
      </c>
      <c r="H99">
        <v>65465</v>
      </c>
      <c r="I99">
        <f>sales_data[[#This Row],[revenue]]-sales_data[[#This Row],[cost]]</f>
        <v>21822</v>
      </c>
      <c r="J99" s="1">
        <f>sales_data[[#This Row],[profit]]/sales_data[[#This Row],[revenue]]</f>
        <v>0.25000286411493122</v>
      </c>
      <c r="K99" t="str">
        <f>IF(OR(sales_data[[#This Row],[revenue]]="",sales_data[[#This Row],[cost]]=""),"Check","OK")</f>
        <v>OK</v>
      </c>
    </row>
    <row r="100" spans="1:11" x14ac:dyDescent="0.3">
      <c r="A100" t="s">
        <v>406</v>
      </c>
      <c r="B100" s="2">
        <v>45690</v>
      </c>
      <c r="C100" t="s">
        <v>9</v>
      </c>
      <c r="D100" t="s">
        <v>23</v>
      </c>
      <c r="E100" t="s">
        <v>24</v>
      </c>
      <c r="F100" t="s">
        <v>17</v>
      </c>
      <c r="G100">
        <v>60298</v>
      </c>
      <c r="H100">
        <v>40400</v>
      </c>
      <c r="I100">
        <f>sales_data[[#This Row],[revenue]]-sales_data[[#This Row],[cost]]</f>
        <v>19898</v>
      </c>
      <c r="J100" s="1">
        <f>sales_data[[#This Row],[profit]]/sales_data[[#This Row],[revenue]]</f>
        <v>0.32999436133868454</v>
      </c>
      <c r="K100" t="str">
        <f>IF(OR(sales_data[[#This Row],[revenue]]="",sales_data[[#This Row],[cost]]=""),"Check","OK")</f>
        <v>OK</v>
      </c>
    </row>
    <row r="101" spans="1:11" x14ac:dyDescent="0.3">
      <c r="A101" t="s">
        <v>407</v>
      </c>
      <c r="B101" s="2">
        <v>45704</v>
      </c>
      <c r="C101" t="s">
        <v>14</v>
      </c>
      <c r="D101" t="s">
        <v>10</v>
      </c>
      <c r="E101" t="s">
        <v>16</v>
      </c>
      <c r="F101" t="s">
        <v>17</v>
      </c>
      <c r="G101">
        <v>39964</v>
      </c>
      <c r="H101">
        <v>25577</v>
      </c>
      <c r="I101">
        <f>sales_data[[#This Row],[revenue]]-sales_data[[#This Row],[cost]]</f>
        <v>14387</v>
      </c>
      <c r="J101" s="1">
        <f>sales_data[[#This Row],[profit]]/sales_data[[#This Row],[revenue]]</f>
        <v>0.35999899909918925</v>
      </c>
      <c r="K101" t="str">
        <f>IF(OR(sales_data[[#This Row],[revenue]]="",sales_data[[#This Row],[cost]]=""),"Check","OK")</f>
        <v>OK</v>
      </c>
    </row>
    <row r="102" spans="1:11" x14ac:dyDescent="0.3">
      <c r="A102" t="s">
        <v>8</v>
      </c>
      <c r="B102" s="2">
        <v>45716</v>
      </c>
      <c r="C102" t="s">
        <v>22</v>
      </c>
      <c r="D102" t="s">
        <v>10</v>
      </c>
      <c r="E102" t="s">
        <v>24</v>
      </c>
      <c r="F102" t="s">
        <v>12</v>
      </c>
      <c r="G102">
        <v>43281</v>
      </c>
      <c r="H102">
        <v>29864</v>
      </c>
      <c r="I102">
        <f>sales_data[[#This Row],[revenue]]-sales_data[[#This Row],[cost]]</f>
        <v>13417</v>
      </c>
      <c r="J102" s="1">
        <f>sales_data[[#This Row],[profit]]/sales_data[[#This Row],[revenue]]</f>
        <v>0.30999745846907417</v>
      </c>
      <c r="K102" t="str">
        <f>IF(OR(sales_data[[#This Row],[revenue]]="",sales_data[[#This Row],[cost]]=""),"Check","OK")</f>
        <v>OK</v>
      </c>
    </row>
    <row r="103" spans="1:11" x14ac:dyDescent="0.3">
      <c r="A103" t="s">
        <v>13</v>
      </c>
      <c r="B103" s="2">
        <v>45713</v>
      </c>
      <c r="C103" t="s">
        <v>22</v>
      </c>
      <c r="D103" t="s">
        <v>15</v>
      </c>
      <c r="E103" t="s">
        <v>38</v>
      </c>
      <c r="F103" t="s">
        <v>17</v>
      </c>
      <c r="G103">
        <v>58622</v>
      </c>
      <c r="H103">
        <v>35173</v>
      </c>
      <c r="I103">
        <f>sales_data[[#This Row],[revenue]]-sales_data[[#This Row],[cost]]</f>
        <v>23449</v>
      </c>
      <c r="J103" s="1">
        <f>sales_data[[#This Row],[profit]]/sales_data[[#This Row],[revenue]]</f>
        <v>0.40000341168844461</v>
      </c>
      <c r="K103" t="str">
        <f>IF(OR(sales_data[[#This Row],[revenue]]="",sales_data[[#This Row],[cost]]=""),"Check","OK")</f>
        <v>OK</v>
      </c>
    </row>
    <row r="104" spans="1:11" x14ac:dyDescent="0.3">
      <c r="A104" t="s">
        <v>18</v>
      </c>
      <c r="B104" s="2">
        <v>45714</v>
      </c>
      <c r="C104" t="s">
        <v>9</v>
      </c>
      <c r="D104" t="s">
        <v>10</v>
      </c>
      <c r="E104" t="s">
        <v>24</v>
      </c>
      <c r="F104" t="s">
        <v>12</v>
      </c>
      <c r="G104">
        <v>13922</v>
      </c>
      <c r="H104">
        <v>8353</v>
      </c>
      <c r="I104">
        <f>sales_data[[#This Row],[revenue]]-sales_data[[#This Row],[cost]]</f>
        <v>5569</v>
      </c>
      <c r="J104" s="1">
        <f>sales_data[[#This Row],[profit]]/sales_data[[#This Row],[revenue]]</f>
        <v>0.40001436575204713</v>
      </c>
      <c r="K104" t="str">
        <f>IF(OR(sales_data[[#This Row],[revenue]]="",sales_data[[#This Row],[cost]]=""),"Check","OK")</f>
        <v>OK</v>
      </c>
    </row>
    <row r="105" spans="1:11" x14ac:dyDescent="0.3">
      <c r="A105" t="s">
        <v>21</v>
      </c>
      <c r="B105" s="2">
        <v>45696</v>
      </c>
      <c r="C105" t="s">
        <v>9</v>
      </c>
      <c r="D105" t="s">
        <v>10</v>
      </c>
      <c r="E105" t="s">
        <v>29</v>
      </c>
      <c r="F105" t="s">
        <v>17</v>
      </c>
      <c r="G105">
        <v>25139</v>
      </c>
      <c r="H105">
        <v>15083</v>
      </c>
      <c r="I105">
        <f>sales_data[[#This Row],[revenue]]-sales_data[[#This Row],[cost]]</f>
        <v>10056</v>
      </c>
      <c r="J105" s="1">
        <f>sales_data[[#This Row],[profit]]/sales_data[[#This Row],[revenue]]</f>
        <v>0.40001591153188271</v>
      </c>
      <c r="K105" t="str">
        <f>IF(OR(sales_data[[#This Row],[revenue]]="",sales_data[[#This Row],[cost]]=""),"Check","OK")</f>
        <v>OK</v>
      </c>
    </row>
    <row r="106" spans="1:11" x14ac:dyDescent="0.3">
      <c r="A106" t="s">
        <v>25</v>
      </c>
      <c r="B106" s="2">
        <v>45694</v>
      </c>
      <c r="C106" t="s">
        <v>19</v>
      </c>
      <c r="D106" t="s">
        <v>23</v>
      </c>
      <c r="E106" t="s">
        <v>24</v>
      </c>
      <c r="F106" t="s">
        <v>17</v>
      </c>
      <c r="G106">
        <v>53400</v>
      </c>
      <c r="H106">
        <v>37914</v>
      </c>
      <c r="I106">
        <f>sales_data[[#This Row],[revenue]]-sales_data[[#This Row],[cost]]</f>
        <v>15486</v>
      </c>
      <c r="J106" s="1">
        <f>sales_data[[#This Row],[profit]]/sales_data[[#This Row],[revenue]]</f>
        <v>0.28999999999999998</v>
      </c>
      <c r="K106" t="str">
        <f>IF(OR(sales_data[[#This Row],[revenue]]="",sales_data[[#This Row],[cost]]=""),"Check","OK")</f>
        <v>OK</v>
      </c>
    </row>
    <row r="107" spans="1:11" x14ac:dyDescent="0.3">
      <c r="A107" t="s">
        <v>27</v>
      </c>
      <c r="B107" s="2">
        <v>45709</v>
      </c>
      <c r="C107" t="s">
        <v>9</v>
      </c>
      <c r="D107" t="s">
        <v>15</v>
      </c>
      <c r="E107" t="s">
        <v>34</v>
      </c>
      <c r="F107" t="s">
        <v>12</v>
      </c>
      <c r="G107">
        <v>61268</v>
      </c>
      <c r="H107">
        <v>47789</v>
      </c>
      <c r="I107">
        <f>sales_data[[#This Row],[revenue]]-sales_data[[#This Row],[cost]]</f>
        <v>13479</v>
      </c>
      <c r="J107" s="1">
        <f>sales_data[[#This Row],[profit]]/sales_data[[#This Row],[revenue]]</f>
        <v>0.22000065286936085</v>
      </c>
      <c r="K107" t="str">
        <f>IF(OR(sales_data[[#This Row],[revenue]]="",sales_data[[#This Row],[cost]]=""),"Check","OK")</f>
        <v>OK</v>
      </c>
    </row>
    <row r="108" spans="1:11" x14ac:dyDescent="0.3">
      <c r="A108" t="s">
        <v>28</v>
      </c>
      <c r="B108" s="2">
        <v>45715</v>
      </c>
      <c r="C108" t="s">
        <v>14</v>
      </c>
      <c r="D108" t="s">
        <v>10</v>
      </c>
      <c r="E108" t="s">
        <v>16</v>
      </c>
      <c r="F108" t="s">
        <v>17</v>
      </c>
      <c r="G108">
        <v>69238</v>
      </c>
      <c r="H108">
        <v>48467</v>
      </c>
      <c r="I108">
        <f>sales_data[[#This Row],[revenue]]-sales_data[[#This Row],[cost]]</f>
        <v>20771</v>
      </c>
      <c r="J108" s="1">
        <f>sales_data[[#This Row],[profit]]/sales_data[[#This Row],[revenue]]</f>
        <v>0.299994222825616</v>
      </c>
      <c r="K108" t="str">
        <f>IF(OR(sales_data[[#This Row],[revenue]]="",sales_data[[#This Row],[cost]]=""),"Check","OK")</f>
        <v>OK</v>
      </c>
    </row>
    <row r="109" spans="1:11" x14ac:dyDescent="0.3">
      <c r="A109" t="s">
        <v>30</v>
      </c>
      <c r="B109" s="2">
        <v>45710</v>
      </c>
      <c r="C109" t="s">
        <v>14</v>
      </c>
      <c r="D109" t="s">
        <v>23</v>
      </c>
      <c r="E109" t="s">
        <v>20</v>
      </c>
      <c r="F109" t="s">
        <v>17</v>
      </c>
      <c r="G109">
        <v>26999</v>
      </c>
      <c r="H109">
        <v>19439</v>
      </c>
      <c r="I109">
        <f>sales_data[[#This Row],[revenue]]-sales_data[[#This Row],[cost]]</f>
        <v>7560</v>
      </c>
      <c r="J109" s="1">
        <f>sales_data[[#This Row],[profit]]/sales_data[[#This Row],[revenue]]</f>
        <v>0.28001037075447238</v>
      </c>
      <c r="K109" t="str">
        <f>IF(OR(sales_data[[#This Row],[revenue]]="",sales_data[[#This Row],[cost]]=""),"Check","OK")</f>
        <v>OK</v>
      </c>
    </row>
    <row r="110" spans="1:11" x14ac:dyDescent="0.3">
      <c r="A110" t="s">
        <v>31</v>
      </c>
      <c r="B110" s="2">
        <v>45706</v>
      </c>
      <c r="C110" t="s">
        <v>19</v>
      </c>
      <c r="D110" t="s">
        <v>23</v>
      </c>
      <c r="E110" t="s">
        <v>38</v>
      </c>
      <c r="F110" t="s">
        <v>12</v>
      </c>
      <c r="G110">
        <v>82886</v>
      </c>
      <c r="H110">
        <v>58020</v>
      </c>
      <c r="I110">
        <f>sales_data[[#This Row],[revenue]]-sales_data[[#This Row],[cost]]</f>
        <v>24866</v>
      </c>
      <c r="J110" s="1">
        <f>sales_data[[#This Row],[profit]]/sales_data[[#This Row],[revenue]]</f>
        <v>0.30000241295273028</v>
      </c>
      <c r="K110" t="str">
        <f>IF(OR(sales_data[[#This Row],[revenue]]="",sales_data[[#This Row],[cost]]=""),"Check","OK")</f>
        <v>OK</v>
      </c>
    </row>
    <row r="111" spans="1:11" x14ac:dyDescent="0.3">
      <c r="A111" t="s">
        <v>33</v>
      </c>
      <c r="B111" s="2">
        <v>45702</v>
      </c>
      <c r="C111" t="s">
        <v>22</v>
      </c>
      <c r="D111" t="s">
        <v>23</v>
      </c>
      <c r="E111" t="s">
        <v>24</v>
      </c>
      <c r="F111" t="s">
        <v>12</v>
      </c>
      <c r="G111">
        <v>21944</v>
      </c>
      <c r="H111">
        <v>16897</v>
      </c>
      <c r="I111">
        <f>sales_data[[#This Row],[revenue]]-sales_data[[#This Row],[cost]]</f>
        <v>5047</v>
      </c>
      <c r="J111" s="1">
        <f>sales_data[[#This Row],[profit]]/sales_data[[#This Row],[revenue]]</f>
        <v>0.22999453153481589</v>
      </c>
      <c r="K111" t="str">
        <f>IF(OR(sales_data[[#This Row],[revenue]]="",sales_data[[#This Row],[cost]]=""),"Check","OK")</f>
        <v>OK</v>
      </c>
    </row>
    <row r="112" spans="1:11" x14ac:dyDescent="0.3">
      <c r="A112" t="s">
        <v>35</v>
      </c>
      <c r="B112" s="2">
        <v>45701</v>
      </c>
      <c r="C112" t="s">
        <v>14</v>
      </c>
      <c r="D112" t="s">
        <v>23</v>
      </c>
      <c r="E112" t="s">
        <v>24</v>
      </c>
      <c r="F112" t="s">
        <v>17</v>
      </c>
      <c r="G112">
        <v>39726</v>
      </c>
      <c r="H112">
        <v>31384</v>
      </c>
      <c r="I112">
        <f>sales_data[[#This Row],[revenue]]-sales_data[[#This Row],[cost]]</f>
        <v>8342</v>
      </c>
      <c r="J112" s="1">
        <f>sales_data[[#This Row],[profit]]/sales_data[[#This Row],[revenue]]</f>
        <v>0.20998842068166942</v>
      </c>
      <c r="K112" t="str">
        <f>IF(OR(sales_data[[#This Row],[revenue]]="",sales_data[[#This Row],[cost]]=""),"Check","OK")</f>
        <v>OK</v>
      </c>
    </row>
    <row r="113" spans="1:11" x14ac:dyDescent="0.3">
      <c r="A113" t="s">
        <v>37</v>
      </c>
      <c r="B113" s="2">
        <v>45711</v>
      </c>
      <c r="C113" t="s">
        <v>22</v>
      </c>
      <c r="D113" t="s">
        <v>15</v>
      </c>
      <c r="E113" t="s">
        <v>20</v>
      </c>
      <c r="F113" t="s">
        <v>17</v>
      </c>
      <c r="G113">
        <v>24860</v>
      </c>
      <c r="H113">
        <v>19142</v>
      </c>
      <c r="I113">
        <f>sales_data[[#This Row],[revenue]]-sales_data[[#This Row],[cost]]</f>
        <v>5718</v>
      </c>
      <c r="J113" s="1">
        <f>sales_data[[#This Row],[profit]]/sales_data[[#This Row],[revenue]]</f>
        <v>0.23000804505229283</v>
      </c>
      <c r="K113" t="str">
        <f>IF(OR(sales_data[[#This Row],[revenue]]="",sales_data[[#This Row],[cost]]=""),"Check","OK")</f>
        <v>OK</v>
      </c>
    </row>
    <row r="114" spans="1:11" x14ac:dyDescent="0.3">
      <c r="A114" t="s">
        <v>50</v>
      </c>
      <c r="B114" s="2">
        <v>45698</v>
      </c>
      <c r="C114" t="s">
        <v>19</v>
      </c>
      <c r="D114" t="s">
        <v>10</v>
      </c>
      <c r="E114" t="s">
        <v>26</v>
      </c>
      <c r="F114" t="s">
        <v>12</v>
      </c>
      <c r="G114">
        <v>82503</v>
      </c>
      <c r="H114">
        <v>61052</v>
      </c>
      <c r="I114">
        <f>sales_data[[#This Row],[revenue]]-sales_data[[#This Row],[cost]]</f>
        <v>21451</v>
      </c>
      <c r="J114" s="1">
        <f>sales_data[[#This Row],[profit]]/sales_data[[#This Row],[revenue]]</f>
        <v>0.2600026665697005</v>
      </c>
      <c r="K114" t="str">
        <f>IF(OR(sales_data[[#This Row],[revenue]]="",sales_data[[#This Row],[cost]]=""),"Check","OK")</f>
        <v>OK</v>
      </c>
    </row>
    <row r="115" spans="1:11" x14ac:dyDescent="0.3">
      <c r="A115" t="s">
        <v>51</v>
      </c>
      <c r="B115" s="2">
        <v>45703</v>
      </c>
      <c r="C115" t="s">
        <v>9</v>
      </c>
      <c r="D115" t="s">
        <v>15</v>
      </c>
      <c r="E115" t="s">
        <v>36</v>
      </c>
      <c r="F115" t="s">
        <v>17</v>
      </c>
      <c r="G115">
        <v>80780</v>
      </c>
      <c r="H115">
        <v>58162</v>
      </c>
      <c r="I115">
        <f>sales_data[[#This Row],[revenue]]-sales_data[[#This Row],[cost]]</f>
        <v>22618</v>
      </c>
      <c r="J115" s="1">
        <f>sales_data[[#This Row],[profit]]/sales_data[[#This Row],[revenue]]</f>
        <v>0.27999504827927707</v>
      </c>
      <c r="K115" t="str">
        <f>IF(OR(sales_data[[#This Row],[revenue]]="",sales_data[[#This Row],[cost]]=""),"Check","OK")</f>
        <v>OK</v>
      </c>
    </row>
    <row r="116" spans="1:11" x14ac:dyDescent="0.3">
      <c r="A116" t="s">
        <v>52</v>
      </c>
      <c r="B116" s="2">
        <v>45713</v>
      </c>
      <c r="C116" t="s">
        <v>14</v>
      </c>
      <c r="D116" t="s">
        <v>23</v>
      </c>
      <c r="E116" t="s">
        <v>32</v>
      </c>
      <c r="F116" t="s">
        <v>12</v>
      </c>
      <c r="G116">
        <v>41737</v>
      </c>
      <c r="H116">
        <v>26712</v>
      </c>
      <c r="I116">
        <f>sales_data[[#This Row],[revenue]]-sales_data[[#This Row],[cost]]</f>
        <v>15025</v>
      </c>
      <c r="J116" s="1">
        <f>sales_data[[#This Row],[profit]]/sales_data[[#This Row],[revenue]]</f>
        <v>0.3599923329419939</v>
      </c>
      <c r="K116" t="str">
        <f>IF(OR(sales_data[[#This Row],[revenue]]="",sales_data[[#This Row],[cost]]=""),"Check","OK")</f>
        <v>OK</v>
      </c>
    </row>
    <row r="117" spans="1:11" x14ac:dyDescent="0.3">
      <c r="A117" t="s">
        <v>53</v>
      </c>
      <c r="B117" s="2">
        <v>45706</v>
      </c>
      <c r="C117" t="s">
        <v>22</v>
      </c>
      <c r="D117" t="s">
        <v>23</v>
      </c>
      <c r="E117" t="s">
        <v>29</v>
      </c>
      <c r="F117" t="s">
        <v>12</v>
      </c>
      <c r="G117">
        <v>50985</v>
      </c>
      <c r="H117">
        <v>38239</v>
      </c>
      <c r="I117">
        <f>sales_data[[#This Row],[revenue]]-sales_data[[#This Row],[cost]]</f>
        <v>12746</v>
      </c>
      <c r="J117" s="1">
        <f>sales_data[[#This Row],[profit]]/sales_data[[#This Row],[revenue]]</f>
        <v>0.24999509659703834</v>
      </c>
      <c r="K117" t="str">
        <f>IF(OR(sales_data[[#This Row],[revenue]]="",sales_data[[#This Row],[cost]]=""),"Check","OK")</f>
        <v>OK</v>
      </c>
    </row>
    <row r="118" spans="1:11" x14ac:dyDescent="0.3">
      <c r="A118" t="s">
        <v>54</v>
      </c>
      <c r="B118" s="2">
        <v>45696</v>
      </c>
      <c r="C118" t="s">
        <v>9</v>
      </c>
      <c r="D118" t="s">
        <v>23</v>
      </c>
      <c r="E118" t="s">
        <v>26</v>
      </c>
      <c r="F118" t="s">
        <v>12</v>
      </c>
      <c r="G118">
        <v>15092</v>
      </c>
      <c r="H118">
        <v>10866</v>
      </c>
      <c r="I118">
        <f>sales_data[[#This Row],[revenue]]-sales_data[[#This Row],[cost]]</f>
        <v>4226</v>
      </c>
      <c r="J118" s="1">
        <f>sales_data[[#This Row],[profit]]/sales_data[[#This Row],[revenue]]</f>
        <v>0.28001590246488206</v>
      </c>
      <c r="K118" t="str">
        <f>IF(OR(sales_data[[#This Row],[revenue]]="",sales_data[[#This Row],[cost]]=""),"Check","OK")</f>
        <v>OK</v>
      </c>
    </row>
    <row r="119" spans="1:11" x14ac:dyDescent="0.3">
      <c r="A119" t="s">
        <v>55</v>
      </c>
      <c r="B119" s="2">
        <v>45701</v>
      </c>
      <c r="C119" t="s">
        <v>14</v>
      </c>
      <c r="D119" t="s">
        <v>15</v>
      </c>
      <c r="E119" t="s">
        <v>26</v>
      </c>
      <c r="F119" t="s">
        <v>17</v>
      </c>
      <c r="G119">
        <v>55497</v>
      </c>
      <c r="H119">
        <v>38293</v>
      </c>
      <c r="I119">
        <f>sales_data[[#This Row],[revenue]]-sales_data[[#This Row],[cost]]</f>
        <v>17204</v>
      </c>
      <c r="J119" s="1">
        <f>sales_data[[#This Row],[profit]]/sales_data[[#This Row],[revenue]]</f>
        <v>0.30999873867055877</v>
      </c>
      <c r="K119" t="str">
        <f>IF(OR(sales_data[[#This Row],[revenue]]="",sales_data[[#This Row],[cost]]=""),"Check","OK")</f>
        <v>OK</v>
      </c>
    </row>
    <row r="120" spans="1:11" x14ac:dyDescent="0.3">
      <c r="A120" t="s">
        <v>56</v>
      </c>
      <c r="B120" s="2">
        <v>45713</v>
      </c>
      <c r="C120" t="s">
        <v>19</v>
      </c>
      <c r="D120" t="s">
        <v>10</v>
      </c>
      <c r="E120" t="s">
        <v>34</v>
      </c>
      <c r="F120" t="s">
        <v>12</v>
      </c>
      <c r="G120">
        <v>29937</v>
      </c>
      <c r="H120">
        <v>20357</v>
      </c>
      <c r="I120">
        <f>sales_data[[#This Row],[revenue]]-sales_data[[#This Row],[cost]]</f>
        <v>9580</v>
      </c>
      <c r="J120" s="1">
        <f>sales_data[[#This Row],[profit]]/sales_data[[#This Row],[revenue]]</f>
        <v>0.32000534455690283</v>
      </c>
      <c r="K120" t="str">
        <f>IF(OR(sales_data[[#This Row],[revenue]]="",sales_data[[#This Row],[cost]]=""),"Check","OK")</f>
        <v>OK</v>
      </c>
    </row>
    <row r="121" spans="1:11" x14ac:dyDescent="0.3">
      <c r="A121" t="s">
        <v>57</v>
      </c>
      <c r="B121" s="2">
        <v>45697</v>
      </c>
      <c r="C121" t="s">
        <v>22</v>
      </c>
      <c r="D121" t="s">
        <v>23</v>
      </c>
      <c r="E121" t="s">
        <v>24</v>
      </c>
      <c r="F121" t="s">
        <v>12</v>
      </c>
      <c r="G121">
        <v>33514</v>
      </c>
      <c r="H121">
        <v>25806</v>
      </c>
      <c r="I121">
        <f>sales_data[[#This Row],[revenue]]-sales_data[[#This Row],[cost]]</f>
        <v>7708</v>
      </c>
      <c r="J121" s="1">
        <f>sales_data[[#This Row],[profit]]/sales_data[[#This Row],[revenue]]</f>
        <v>0.22999343557916094</v>
      </c>
      <c r="K121" t="str">
        <f>IF(OR(sales_data[[#This Row],[revenue]]="",sales_data[[#This Row],[cost]]=""),"Check","OK")</f>
        <v>OK</v>
      </c>
    </row>
    <row r="122" spans="1:11" x14ac:dyDescent="0.3">
      <c r="A122" t="s">
        <v>58</v>
      </c>
      <c r="B122" s="2">
        <v>45706</v>
      </c>
      <c r="C122" t="s">
        <v>14</v>
      </c>
      <c r="D122" t="s">
        <v>23</v>
      </c>
      <c r="E122" t="s">
        <v>29</v>
      </c>
      <c r="F122" t="s">
        <v>12</v>
      </c>
      <c r="G122">
        <v>11141</v>
      </c>
      <c r="H122">
        <v>7799</v>
      </c>
      <c r="I122">
        <f>sales_data[[#This Row],[revenue]]-sales_data[[#This Row],[cost]]</f>
        <v>3342</v>
      </c>
      <c r="J122" s="1">
        <f>sales_data[[#This Row],[profit]]/sales_data[[#This Row],[revenue]]</f>
        <v>0.29997307243514942</v>
      </c>
      <c r="K122" t="str">
        <f>IF(OR(sales_data[[#This Row],[revenue]]="",sales_data[[#This Row],[cost]]=""),"Check","OK")</f>
        <v>OK</v>
      </c>
    </row>
    <row r="123" spans="1:11" x14ac:dyDescent="0.3">
      <c r="A123" t="s">
        <v>59</v>
      </c>
      <c r="B123" s="2">
        <v>45692</v>
      </c>
      <c r="C123" t="s">
        <v>9</v>
      </c>
      <c r="D123" t="s">
        <v>10</v>
      </c>
      <c r="E123" t="s">
        <v>34</v>
      </c>
      <c r="F123" t="s">
        <v>17</v>
      </c>
      <c r="G123">
        <v>60668</v>
      </c>
      <c r="H123">
        <v>40041</v>
      </c>
      <c r="I123">
        <f>sales_data[[#This Row],[revenue]]-sales_data[[#This Row],[cost]]</f>
        <v>20627</v>
      </c>
      <c r="J123" s="1">
        <f>sales_data[[#This Row],[profit]]/sales_data[[#This Row],[revenue]]</f>
        <v>0.33999802202149404</v>
      </c>
      <c r="K123" t="str">
        <f>IF(OR(sales_data[[#This Row],[revenue]]="",sales_data[[#This Row],[cost]]=""),"Check","OK")</f>
        <v>OK</v>
      </c>
    </row>
    <row r="124" spans="1:11" x14ac:dyDescent="0.3">
      <c r="A124" t="s">
        <v>60</v>
      </c>
      <c r="B124" s="2">
        <v>45707</v>
      </c>
      <c r="C124" t="s">
        <v>14</v>
      </c>
      <c r="D124" t="s">
        <v>10</v>
      </c>
      <c r="E124" t="s">
        <v>26</v>
      </c>
      <c r="F124" t="s">
        <v>12</v>
      </c>
      <c r="G124">
        <v>77370</v>
      </c>
      <c r="H124">
        <v>57254</v>
      </c>
      <c r="I124">
        <f>sales_data[[#This Row],[revenue]]-sales_data[[#This Row],[cost]]</f>
        <v>20116</v>
      </c>
      <c r="J124" s="1">
        <f>sales_data[[#This Row],[profit]]/sales_data[[#This Row],[revenue]]</f>
        <v>0.25999741501874113</v>
      </c>
      <c r="K124" t="str">
        <f>IF(OR(sales_data[[#This Row],[revenue]]="",sales_data[[#This Row],[cost]]=""),"Check","OK")</f>
        <v>OK</v>
      </c>
    </row>
    <row r="125" spans="1:11" x14ac:dyDescent="0.3">
      <c r="A125" t="s">
        <v>61</v>
      </c>
      <c r="B125" s="2">
        <v>45690</v>
      </c>
      <c r="C125" t="s">
        <v>22</v>
      </c>
      <c r="D125" t="s">
        <v>15</v>
      </c>
      <c r="E125" t="s">
        <v>29</v>
      </c>
      <c r="F125" t="s">
        <v>12</v>
      </c>
      <c r="G125">
        <v>57888</v>
      </c>
      <c r="H125">
        <v>46310</v>
      </c>
      <c r="I125">
        <f>sales_data[[#This Row],[revenue]]-sales_data[[#This Row],[cost]]</f>
        <v>11578</v>
      </c>
      <c r="J125" s="1">
        <f>sales_data[[#This Row],[profit]]/sales_data[[#This Row],[revenue]]</f>
        <v>0.20000690989496961</v>
      </c>
      <c r="K125" t="str">
        <f>IF(OR(sales_data[[#This Row],[revenue]]="",sales_data[[#This Row],[cost]]=""),"Check","OK")</f>
        <v>OK</v>
      </c>
    </row>
    <row r="126" spans="1:11" x14ac:dyDescent="0.3">
      <c r="A126" t="s">
        <v>62</v>
      </c>
      <c r="B126" s="2">
        <v>45690</v>
      </c>
      <c r="C126" t="s">
        <v>14</v>
      </c>
      <c r="D126" t="s">
        <v>15</v>
      </c>
      <c r="E126" t="s">
        <v>20</v>
      </c>
      <c r="F126" t="s">
        <v>12</v>
      </c>
      <c r="G126">
        <v>82545</v>
      </c>
      <c r="H126">
        <v>61083</v>
      </c>
      <c r="I126">
        <f>sales_data[[#This Row],[revenue]]-sales_data[[#This Row],[cost]]</f>
        <v>21462</v>
      </c>
      <c r="J126" s="1">
        <f>sales_data[[#This Row],[profit]]/sales_data[[#This Row],[revenue]]</f>
        <v>0.26000363438124657</v>
      </c>
      <c r="K126" t="str">
        <f>IF(OR(sales_data[[#This Row],[revenue]]="",sales_data[[#This Row],[cost]]=""),"Check","OK")</f>
        <v>OK</v>
      </c>
    </row>
    <row r="127" spans="1:11" x14ac:dyDescent="0.3">
      <c r="A127" t="s">
        <v>63</v>
      </c>
      <c r="B127" s="2">
        <v>45696</v>
      </c>
      <c r="C127" t="s">
        <v>9</v>
      </c>
      <c r="D127" t="s">
        <v>23</v>
      </c>
      <c r="E127" t="s">
        <v>26</v>
      </c>
      <c r="F127" t="s">
        <v>12</v>
      </c>
      <c r="G127">
        <v>23062</v>
      </c>
      <c r="H127">
        <v>17297</v>
      </c>
      <c r="I127">
        <f>sales_data[[#This Row],[revenue]]-sales_data[[#This Row],[cost]]</f>
        <v>5765</v>
      </c>
      <c r="J127" s="1">
        <f>sales_data[[#This Row],[profit]]/sales_data[[#This Row],[revenue]]</f>
        <v>0.24997831931315584</v>
      </c>
      <c r="K127" t="str">
        <f>IF(OR(sales_data[[#This Row],[revenue]]="",sales_data[[#This Row],[cost]]=""),"Check","OK")</f>
        <v>OK</v>
      </c>
    </row>
    <row r="128" spans="1:11" x14ac:dyDescent="0.3">
      <c r="A128" t="s">
        <v>64</v>
      </c>
      <c r="B128" s="2">
        <v>45715</v>
      </c>
      <c r="C128" t="s">
        <v>9</v>
      </c>
      <c r="D128" t="s">
        <v>10</v>
      </c>
      <c r="E128" t="s">
        <v>36</v>
      </c>
      <c r="F128" t="s">
        <v>12</v>
      </c>
      <c r="G128">
        <v>72560</v>
      </c>
      <c r="H128">
        <v>52243</v>
      </c>
      <c r="I128">
        <f>sales_data[[#This Row],[revenue]]-sales_data[[#This Row],[cost]]</f>
        <v>20317</v>
      </c>
      <c r="J128" s="1">
        <f>sales_data[[#This Row],[profit]]/sales_data[[#This Row],[revenue]]</f>
        <v>0.28000275633958105</v>
      </c>
      <c r="K128" t="str">
        <f>IF(OR(sales_data[[#This Row],[revenue]]="",sales_data[[#This Row],[cost]]=""),"Check","OK")</f>
        <v>OK</v>
      </c>
    </row>
    <row r="129" spans="1:11" x14ac:dyDescent="0.3">
      <c r="A129" t="s">
        <v>65</v>
      </c>
      <c r="B129" s="2">
        <v>45703</v>
      </c>
      <c r="C129" t="s">
        <v>22</v>
      </c>
      <c r="D129" t="s">
        <v>15</v>
      </c>
      <c r="E129" t="s">
        <v>20</v>
      </c>
      <c r="F129" t="s">
        <v>17</v>
      </c>
      <c r="G129">
        <v>36600</v>
      </c>
      <c r="H129">
        <v>24522</v>
      </c>
      <c r="I129">
        <f>sales_data[[#This Row],[revenue]]-sales_data[[#This Row],[cost]]</f>
        <v>12078</v>
      </c>
      <c r="J129" s="1">
        <f>sales_data[[#This Row],[profit]]/sales_data[[#This Row],[revenue]]</f>
        <v>0.33</v>
      </c>
      <c r="K129" t="str">
        <f>IF(OR(sales_data[[#This Row],[revenue]]="",sales_data[[#This Row],[cost]]=""),"Check","OK")</f>
        <v>OK</v>
      </c>
    </row>
    <row r="130" spans="1:11" x14ac:dyDescent="0.3">
      <c r="A130" t="s">
        <v>66</v>
      </c>
      <c r="B130" s="2">
        <v>45710</v>
      </c>
      <c r="C130" t="s">
        <v>9</v>
      </c>
      <c r="D130" t="s">
        <v>23</v>
      </c>
      <c r="E130" t="s">
        <v>24</v>
      </c>
      <c r="F130" t="s">
        <v>12</v>
      </c>
      <c r="G130">
        <v>53800</v>
      </c>
      <c r="H130">
        <v>35508</v>
      </c>
      <c r="I130">
        <f>sales_data[[#This Row],[revenue]]-sales_data[[#This Row],[cost]]</f>
        <v>18292</v>
      </c>
      <c r="J130" s="1">
        <f>sales_data[[#This Row],[profit]]/sales_data[[#This Row],[revenue]]</f>
        <v>0.34</v>
      </c>
      <c r="K130" t="str">
        <f>IF(OR(sales_data[[#This Row],[revenue]]="",sales_data[[#This Row],[cost]]=""),"Check","OK")</f>
        <v>OK</v>
      </c>
    </row>
    <row r="131" spans="1:11" x14ac:dyDescent="0.3">
      <c r="A131" t="s">
        <v>67</v>
      </c>
      <c r="B131" s="2">
        <v>45698</v>
      </c>
      <c r="C131" t="s">
        <v>22</v>
      </c>
      <c r="D131" t="s">
        <v>10</v>
      </c>
      <c r="E131" t="s">
        <v>11</v>
      </c>
      <c r="F131" t="s">
        <v>17</v>
      </c>
      <c r="G131">
        <v>47771</v>
      </c>
      <c r="H131">
        <v>29140</v>
      </c>
      <c r="I131">
        <f>sales_data[[#This Row],[revenue]]-sales_data[[#This Row],[cost]]</f>
        <v>18631</v>
      </c>
      <c r="J131" s="1">
        <f>sales_data[[#This Row],[profit]]/sales_data[[#This Row],[revenue]]</f>
        <v>0.39000648929266712</v>
      </c>
      <c r="K131" t="str">
        <f>IF(OR(sales_data[[#This Row],[revenue]]="",sales_data[[#This Row],[cost]]=""),"Check","OK")</f>
        <v>OK</v>
      </c>
    </row>
    <row r="132" spans="1:11" x14ac:dyDescent="0.3">
      <c r="A132" t="s">
        <v>68</v>
      </c>
      <c r="B132" s="2">
        <v>45705</v>
      </c>
      <c r="C132" t="s">
        <v>22</v>
      </c>
      <c r="D132" t="s">
        <v>23</v>
      </c>
      <c r="E132" t="s">
        <v>36</v>
      </c>
      <c r="F132" t="s">
        <v>17</v>
      </c>
      <c r="G132">
        <v>8087</v>
      </c>
      <c r="H132">
        <v>4933</v>
      </c>
      <c r="I132">
        <f>sales_data[[#This Row],[revenue]]-sales_data[[#This Row],[cost]]</f>
        <v>3154</v>
      </c>
      <c r="J132" s="1">
        <f>sales_data[[#This Row],[profit]]/sales_data[[#This Row],[revenue]]</f>
        <v>0.3900086558674416</v>
      </c>
      <c r="K132" t="str">
        <f>IF(OR(sales_data[[#This Row],[revenue]]="",sales_data[[#This Row],[cost]]=""),"Check","OK")</f>
        <v>OK</v>
      </c>
    </row>
    <row r="133" spans="1:11" x14ac:dyDescent="0.3">
      <c r="A133" t="s">
        <v>69</v>
      </c>
      <c r="B133" s="2">
        <v>45693</v>
      </c>
      <c r="C133" t="s">
        <v>9</v>
      </c>
      <c r="D133" t="s">
        <v>10</v>
      </c>
      <c r="E133" t="s">
        <v>26</v>
      </c>
      <c r="F133" t="s">
        <v>17</v>
      </c>
      <c r="G133">
        <v>36530</v>
      </c>
      <c r="H133">
        <v>24475</v>
      </c>
      <c r="I133">
        <f>sales_data[[#This Row],[revenue]]-sales_data[[#This Row],[cost]]</f>
        <v>12055</v>
      </c>
      <c r="J133" s="1">
        <f>sales_data[[#This Row],[profit]]/sales_data[[#This Row],[revenue]]</f>
        <v>0.33000273747604708</v>
      </c>
      <c r="K133" t="str">
        <f>IF(OR(sales_data[[#This Row],[revenue]]="",sales_data[[#This Row],[cost]]=""),"Check","OK")</f>
        <v>OK</v>
      </c>
    </row>
    <row r="134" spans="1:11" x14ac:dyDescent="0.3">
      <c r="A134" t="s">
        <v>70</v>
      </c>
      <c r="B134" s="2">
        <v>45708</v>
      </c>
      <c r="C134" t="s">
        <v>19</v>
      </c>
      <c r="D134" t="s">
        <v>10</v>
      </c>
      <c r="E134" t="s">
        <v>34</v>
      </c>
      <c r="F134" t="s">
        <v>12</v>
      </c>
      <c r="G134">
        <v>53439</v>
      </c>
      <c r="H134">
        <v>32063</v>
      </c>
      <c r="I134">
        <f>sales_data[[#This Row],[revenue]]-sales_data[[#This Row],[cost]]</f>
        <v>21376</v>
      </c>
      <c r="J134" s="1">
        <f>sales_data[[#This Row],[profit]]/sales_data[[#This Row],[revenue]]</f>
        <v>0.40000748517000695</v>
      </c>
      <c r="K134" t="str">
        <f>IF(OR(sales_data[[#This Row],[revenue]]="",sales_data[[#This Row],[cost]]=""),"Check","OK")</f>
        <v>OK</v>
      </c>
    </row>
    <row r="135" spans="1:11" x14ac:dyDescent="0.3">
      <c r="A135" t="s">
        <v>71</v>
      </c>
      <c r="B135" s="2">
        <v>45700</v>
      </c>
      <c r="C135" t="s">
        <v>14</v>
      </c>
      <c r="D135" t="s">
        <v>10</v>
      </c>
      <c r="E135" t="s">
        <v>38</v>
      </c>
      <c r="F135" t="s">
        <v>12</v>
      </c>
      <c r="G135">
        <v>80190</v>
      </c>
      <c r="H135">
        <v>48916</v>
      </c>
      <c r="I135">
        <f>sales_data[[#This Row],[revenue]]-sales_data[[#This Row],[cost]]</f>
        <v>31274</v>
      </c>
      <c r="J135" s="1">
        <f>sales_data[[#This Row],[profit]]/sales_data[[#This Row],[revenue]]</f>
        <v>0.38999875296171593</v>
      </c>
      <c r="K135" t="str">
        <f>IF(OR(sales_data[[#This Row],[revenue]]="",sales_data[[#This Row],[cost]]=""),"Check","OK")</f>
        <v>OK</v>
      </c>
    </row>
    <row r="136" spans="1:11" x14ac:dyDescent="0.3">
      <c r="A136" t="s">
        <v>72</v>
      </c>
      <c r="B136" s="2">
        <v>45714</v>
      </c>
      <c r="C136" t="s">
        <v>9</v>
      </c>
      <c r="D136" t="s">
        <v>15</v>
      </c>
      <c r="E136" t="s">
        <v>32</v>
      </c>
      <c r="F136" t="s">
        <v>17</v>
      </c>
      <c r="G136">
        <v>18432</v>
      </c>
      <c r="H136">
        <v>12902</v>
      </c>
      <c r="I136">
        <f>sales_data[[#This Row],[revenue]]-sales_data[[#This Row],[cost]]</f>
        <v>5530</v>
      </c>
      <c r="J136" s="1">
        <f>sales_data[[#This Row],[profit]]/sales_data[[#This Row],[revenue]]</f>
        <v>0.3000217013888889</v>
      </c>
      <c r="K136" t="str">
        <f>IF(OR(sales_data[[#This Row],[revenue]]="",sales_data[[#This Row],[cost]]=""),"Check","OK")</f>
        <v>OK</v>
      </c>
    </row>
    <row r="137" spans="1:11" x14ac:dyDescent="0.3">
      <c r="A137" t="s">
        <v>73</v>
      </c>
      <c r="B137" s="2">
        <v>45693</v>
      </c>
      <c r="C137" t="s">
        <v>14</v>
      </c>
      <c r="D137" t="s">
        <v>10</v>
      </c>
      <c r="E137" t="s">
        <v>16</v>
      </c>
      <c r="F137" t="s">
        <v>17</v>
      </c>
      <c r="G137">
        <v>94454</v>
      </c>
      <c r="H137">
        <v>67062</v>
      </c>
      <c r="I137">
        <f>sales_data[[#This Row],[revenue]]-sales_data[[#This Row],[cost]]</f>
        <v>27392</v>
      </c>
      <c r="J137" s="1">
        <f>sales_data[[#This Row],[profit]]/sales_data[[#This Row],[revenue]]</f>
        <v>0.29000359963580158</v>
      </c>
      <c r="K137" t="str">
        <f>IF(OR(sales_data[[#This Row],[revenue]]="",sales_data[[#This Row],[cost]]=""),"Check","OK")</f>
        <v>OK</v>
      </c>
    </row>
    <row r="138" spans="1:11" x14ac:dyDescent="0.3">
      <c r="A138" t="s">
        <v>74</v>
      </c>
      <c r="B138" s="2">
        <v>45709</v>
      </c>
      <c r="C138" t="s">
        <v>22</v>
      </c>
      <c r="D138" t="s">
        <v>23</v>
      </c>
      <c r="E138" t="s">
        <v>11</v>
      </c>
      <c r="F138" t="s">
        <v>17</v>
      </c>
      <c r="G138">
        <v>17544</v>
      </c>
      <c r="H138">
        <v>13860</v>
      </c>
      <c r="I138">
        <f>sales_data[[#This Row],[revenue]]-sales_data[[#This Row],[cost]]</f>
        <v>3684</v>
      </c>
      <c r="J138" s="1">
        <f>sales_data[[#This Row],[profit]]/sales_data[[#This Row],[revenue]]</f>
        <v>0.20998632010943913</v>
      </c>
      <c r="K138" t="str">
        <f>IF(OR(sales_data[[#This Row],[revenue]]="",sales_data[[#This Row],[cost]]=""),"Check","OK")</f>
        <v>OK</v>
      </c>
    </row>
    <row r="139" spans="1:11" x14ac:dyDescent="0.3">
      <c r="A139" t="s">
        <v>75</v>
      </c>
      <c r="B139" s="2">
        <v>45716</v>
      </c>
      <c r="C139" t="s">
        <v>9</v>
      </c>
      <c r="D139" t="s">
        <v>10</v>
      </c>
      <c r="E139" t="s">
        <v>36</v>
      </c>
      <c r="F139" t="s">
        <v>17</v>
      </c>
      <c r="G139">
        <v>58018</v>
      </c>
      <c r="H139">
        <v>42353</v>
      </c>
      <c r="I139">
        <f>sales_data[[#This Row],[revenue]]-sales_data[[#This Row],[cost]]</f>
        <v>15665</v>
      </c>
      <c r="J139" s="1">
        <f>sales_data[[#This Row],[profit]]/sales_data[[#This Row],[revenue]]</f>
        <v>0.27000241304422767</v>
      </c>
      <c r="K139" t="str">
        <f>IF(OR(sales_data[[#This Row],[revenue]]="",sales_data[[#This Row],[cost]]=""),"Check","OK")</f>
        <v>OK</v>
      </c>
    </row>
    <row r="140" spans="1:11" x14ac:dyDescent="0.3">
      <c r="A140" t="s">
        <v>76</v>
      </c>
      <c r="B140" s="2">
        <v>45709</v>
      </c>
      <c r="C140" t="s">
        <v>9</v>
      </c>
      <c r="D140" t="s">
        <v>10</v>
      </c>
      <c r="E140" t="s">
        <v>11</v>
      </c>
      <c r="F140" t="s">
        <v>12</v>
      </c>
      <c r="G140">
        <v>29432</v>
      </c>
      <c r="H140">
        <v>19131</v>
      </c>
      <c r="I140">
        <f>sales_data[[#This Row],[revenue]]-sales_data[[#This Row],[cost]]</f>
        <v>10301</v>
      </c>
      <c r="J140" s="1">
        <f>sales_data[[#This Row],[profit]]/sales_data[[#This Row],[revenue]]</f>
        <v>0.34999320467518347</v>
      </c>
      <c r="K140" t="str">
        <f>IF(OR(sales_data[[#This Row],[revenue]]="",sales_data[[#This Row],[cost]]=""),"Check","OK")</f>
        <v>OK</v>
      </c>
    </row>
    <row r="141" spans="1:11" x14ac:dyDescent="0.3">
      <c r="A141" t="s">
        <v>77</v>
      </c>
      <c r="B141" s="2">
        <v>45702</v>
      </c>
      <c r="C141" t="s">
        <v>14</v>
      </c>
      <c r="D141" t="s">
        <v>23</v>
      </c>
      <c r="E141" t="s">
        <v>20</v>
      </c>
      <c r="F141" t="s">
        <v>17</v>
      </c>
      <c r="G141">
        <v>63143</v>
      </c>
      <c r="H141">
        <v>41674</v>
      </c>
      <c r="I141">
        <f>sales_data[[#This Row],[revenue]]-sales_data[[#This Row],[cost]]</f>
        <v>21469</v>
      </c>
      <c r="J141" s="1">
        <f>sales_data[[#This Row],[profit]]/sales_data[[#This Row],[revenue]]</f>
        <v>0.34000601808593195</v>
      </c>
      <c r="K141" t="str">
        <f>IF(OR(sales_data[[#This Row],[revenue]]="",sales_data[[#This Row],[cost]]=""),"Check","OK")</f>
        <v>OK</v>
      </c>
    </row>
    <row r="142" spans="1:11" x14ac:dyDescent="0.3">
      <c r="A142" t="s">
        <v>78</v>
      </c>
      <c r="B142" s="2">
        <v>45716</v>
      </c>
      <c r="C142" t="s">
        <v>19</v>
      </c>
      <c r="D142" t="s">
        <v>10</v>
      </c>
      <c r="E142" t="s">
        <v>36</v>
      </c>
      <c r="F142" t="s">
        <v>17</v>
      </c>
      <c r="G142">
        <v>76583</v>
      </c>
      <c r="H142">
        <v>61266</v>
      </c>
      <c r="I142">
        <f>sales_data[[#This Row],[revenue]]-sales_data[[#This Row],[cost]]</f>
        <v>15317</v>
      </c>
      <c r="J142" s="1">
        <f>sales_data[[#This Row],[profit]]/sales_data[[#This Row],[revenue]]</f>
        <v>0.20000522309128657</v>
      </c>
      <c r="K142" t="str">
        <f>IF(OR(sales_data[[#This Row],[revenue]]="",sales_data[[#This Row],[cost]]=""),"Check","OK")</f>
        <v>OK</v>
      </c>
    </row>
    <row r="143" spans="1:11" x14ac:dyDescent="0.3">
      <c r="A143" t="s">
        <v>79</v>
      </c>
      <c r="B143" s="2">
        <v>45709</v>
      </c>
      <c r="C143" t="s">
        <v>19</v>
      </c>
      <c r="D143" t="s">
        <v>10</v>
      </c>
      <c r="E143" t="s">
        <v>34</v>
      </c>
      <c r="F143" t="s">
        <v>17</v>
      </c>
      <c r="G143">
        <v>17047</v>
      </c>
      <c r="H143">
        <v>12444</v>
      </c>
      <c r="I143">
        <f>sales_data[[#This Row],[revenue]]-sales_data[[#This Row],[cost]]</f>
        <v>4603</v>
      </c>
      <c r="J143" s="1">
        <f>sales_data[[#This Row],[profit]]/sales_data[[#This Row],[revenue]]</f>
        <v>0.27001818501789171</v>
      </c>
      <c r="K143" t="str">
        <f>IF(OR(sales_data[[#This Row],[revenue]]="",sales_data[[#This Row],[cost]]=""),"Check","OK")</f>
        <v>OK</v>
      </c>
    </row>
    <row r="144" spans="1:11" x14ac:dyDescent="0.3">
      <c r="A144" t="s">
        <v>80</v>
      </c>
      <c r="B144" s="2">
        <v>45704</v>
      </c>
      <c r="C144" t="s">
        <v>14</v>
      </c>
      <c r="D144" t="s">
        <v>15</v>
      </c>
      <c r="E144" t="s">
        <v>34</v>
      </c>
      <c r="F144" t="s">
        <v>17</v>
      </c>
      <c r="G144">
        <v>63423</v>
      </c>
      <c r="H144">
        <v>44396</v>
      </c>
      <c r="I144">
        <f>sales_data[[#This Row],[revenue]]-sales_data[[#This Row],[cost]]</f>
        <v>19027</v>
      </c>
      <c r="J144" s="1">
        <f>sales_data[[#This Row],[profit]]/sales_data[[#This Row],[revenue]]</f>
        <v>0.30000157671507183</v>
      </c>
      <c r="K144" t="str">
        <f>IF(OR(sales_data[[#This Row],[revenue]]="",sales_data[[#This Row],[cost]]=""),"Check","OK")</f>
        <v>OK</v>
      </c>
    </row>
    <row r="145" spans="1:11" x14ac:dyDescent="0.3">
      <c r="A145" t="s">
        <v>81</v>
      </c>
      <c r="B145" s="2">
        <v>45693</v>
      </c>
      <c r="C145" t="s">
        <v>19</v>
      </c>
      <c r="D145" t="s">
        <v>10</v>
      </c>
      <c r="E145" t="s">
        <v>16</v>
      </c>
      <c r="F145" t="s">
        <v>17</v>
      </c>
      <c r="G145">
        <v>92435</v>
      </c>
      <c r="H145">
        <v>69326</v>
      </c>
      <c r="I145">
        <f>sales_data[[#This Row],[revenue]]-sales_data[[#This Row],[cost]]</f>
        <v>23109</v>
      </c>
      <c r="J145" s="1">
        <f>sales_data[[#This Row],[profit]]/sales_data[[#This Row],[revenue]]</f>
        <v>0.2500027046032347</v>
      </c>
      <c r="K145" t="str">
        <f>IF(OR(sales_data[[#This Row],[revenue]]="",sales_data[[#This Row],[cost]]=""),"Check","OK")</f>
        <v>OK</v>
      </c>
    </row>
    <row r="146" spans="1:11" x14ac:dyDescent="0.3">
      <c r="A146" t="s">
        <v>82</v>
      </c>
      <c r="B146" s="2">
        <v>45690</v>
      </c>
      <c r="C146" t="s">
        <v>9</v>
      </c>
      <c r="D146" t="s">
        <v>23</v>
      </c>
      <c r="E146" t="s">
        <v>20</v>
      </c>
      <c r="F146" t="s">
        <v>12</v>
      </c>
      <c r="G146">
        <v>64900</v>
      </c>
      <c r="H146">
        <v>38940</v>
      </c>
      <c r="I146">
        <f>sales_data[[#This Row],[revenue]]-sales_data[[#This Row],[cost]]</f>
        <v>25960</v>
      </c>
      <c r="J146" s="1">
        <f>sales_data[[#This Row],[profit]]/sales_data[[#This Row],[revenue]]</f>
        <v>0.4</v>
      </c>
      <c r="K146" t="str">
        <f>IF(OR(sales_data[[#This Row],[revenue]]="",sales_data[[#This Row],[cost]]=""),"Check","OK")</f>
        <v>OK</v>
      </c>
    </row>
    <row r="147" spans="1:11" x14ac:dyDescent="0.3">
      <c r="A147" t="s">
        <v>83</v>
      </c>
      <c r="B147" s="2">
        <v>45693</v>
      </c>
      <c r="C147" t="s">
        <v>14</v>
      </c>
      <c r="D147" t="s">
        <v>23</v>
      </c>
      <c r="E147" t="s">
        <v>34</v>
      </c>
      <c r="F147" t="s">
        <v>12</v>
      </c>
      <c r="G147">
        <v>75771</v>
      </c>
      <c r="H147">
        <v>46978</v>
      </c>
      <c r="I147">
        <f>sales_data[[#This Row],[revenue]]-sales_data[[#This Row],[cost]]</f>
        <v>28793</v>
      </c>
      <c r="J147" s="1">
        <f>sales_data[[#This Row],[profit]]/sales_data[[#This Row],[revenue]]</f>
        <v>0.3800002639532275</v>
      </c>
      <c r="K147" t="str">
        <f>IF(OR(sales_data[[#This Row],[revenue]]="",sales_data[[#This Row],[cost]]=""),"Check","OK")</f>
        <v>OK</v>
      </c>
    </row>
    <row r="148" spans="1:11" x14ac:dyDescent="0.3">
      <c r="A148" t="s">
        <v>84</v>
      </c>
      <c r="B148" s="2">
        <v>45689</v>
      </c>
      <c r="C148" t="s">
        <v>14</v>
      </c>
      <c r="D148" t="s">
        <v>10</v>
      </c>
      <c r="E148" t="s">
        <v>20</v>
      </c>
      <c r="F148" t="s">
        <v>12</v>
      </c>
      <c r="G148">
        <v>16265</v>
      </c>
      <c r="H148">
        <v>9759</v>
      </c>
      <c r="I148">
        <f>sales_data[[#This Row],[revenue]]-sales_data[[#This Row],[cost]]</f>
        <v>6506</v>
      </c>
      <c r="J148" s="1">
        <f>sales_data[[#This Row],[profit]]/sales_data[[#This Row],[revenue]]</f>
        <v>0.4</v>
      </c>
      <c r="K148" t="str">
        <f>IF(OR(sales_data[[#This Row],[revenue]]="",sales_data[[#This Row],[cost]]=""),"Check","OK")</f>
        <v>OK</v>
      </c>
    </row>
    <row r="149" spans="1:11" x14ac:dyDescent="0.3">
      <c r="A149" t="s">
        <v>85</v>
      </c>
      <c r="B149" s="2">
        <v>45702</v>
      </c>
      <c r="C149" t="s">
        <v>22</v>
      </c>
      <c r="D149" t="s">
        <v>23</v>
      </c>
      <c r="E149" t="s">
        <v>24</v>
      </c>
      <c r="F149" t="s">
        <v>12</v>
      </c>
      <c r="G149">
        <v>26142</v>
      </c>
      <c r="H149">
        <v>17777</v>
      </c>
      <c r="I149">
        <f>sales_data[[#This Row],[revenue]]-sales_data[[#This Row],[cost]]</f>
        <v>8365</v>
      </c>
      <c r="J149" s="1">
        <f>sales_data[[#This Row],[profit]]/sales_data[[#This Row],[revenue]]</f>
        <v>0.31998316884706601</v>
      </c>
      <c r="K149" t="str">
        <f>IF(OR(sales_data[[#This Row],[revenue]]="",sales_data[[#This Row],[cost]]=""),"Check","OK")</f>
        <v>OK</v>
      </c>
    </row>
    <row r="150" spans="1:11" x14ac:dyDescent="0.3">
      <c r="A150" t="s">
        <v>86</v>
      </c>
      <c r="B150" s="2">
        <v>45699</v>
      </c>
      <c r="C150" t="s">
        <v>19</v>
      </c>
      <c r="D150" t="s">
        <v>10</v>
      </c>
      <c r="E150" t="s">
        <v>11</v>
      </c>
      <c r="F150" t="s">
        <v>17</v>
      </c>
      <c r="G150">
        <v>43467</v>
      </c>
      <c r="H150">
        <v>28688</v>
      </c>
      <c r="I150">
        <f>sales_data[[#This Row],[revenue]]-sales_data[[#This Row],[cost]]</f>
        <v>14779</v>
      </c>
      <c r="J150" s="1">
        <f>sales_data[[#This Row],[profit]]/sales_data[[#This Row],[revenue]]</f>
        <v>0.34000506131087954</v>
      </c>
      <c r="K150" t="str">
        <f>IF(OR(sales_data[[#This Row],[revenue]]="",sales_data[[#This Row],[cost]]=""),"Check","OK")</f>
        <v>OK</v>
      </c>
    </row>
    <row r="151" spans="1:11" x14ac:dyDescent="0.3">
      <c r="A151" t="s">
        <v>87</v>
      </c>
      <c r="B151" s="2">
        <v>45699</v>
      </c>
      <c r="C151" t="s">
        <v>14</v>
      </c>
      <c r="D151" t="s">
        <v>23</v>
      </c>
      <c r="E151" t="s">
        <v>16</v>
      </c>
      <c r="F151" t="s">
        <v>17</v>
      </c>
      <c r="G151">
        <v>42042</v>
      </c>
      <c r="H151">
        <v>29009</v>
      </c>
      <c r="I151">
        <f>sales_data[[#This Row],[revenue]]-sales_data[[#This Row],[cost]]</f>
        <v>13033</v>
      </c>
      <c r="J151" s="1">
        <f>sales_data[[#This Row],[profit]]/sales_data[[#This Row],[revenue]]</f>
        <v>0.30999952428523858</v>
      </c>
      <c r="K151" t="str">
        <f>IF(OR(sales_data[[#This Row],[revenue]]="",sales_data[[#This Row],[cost]]=""),"Check","OK")</f>
        <v>OK</v>
      </c>
    </row>
    <row r="152" spans="1:11" x14ac:dyDescent="0.3">
      <c r="A152" t="s">
        <v>88</v>
      </c>
      <c r="B152" s="2">
        <v>45714</v>
      </c>
      <c r="C152" t="s">
        <v>19</v>
      </c>
      <c r="D152" t="s">
        <v>15</v>
      </c>
      <c r="E152" t="s">
        <v>36</v>
      </c>
      <c r="F152" t="s">
        <v>17</v>
      </c>
      <c r="G152">
        <v>36624</v>
      </c>
      <c r="H152">
        <v>24172</v>
      </c>
      <c r="I152">
        <f>sales_data[[#This Row],[revenue]]-sales_data[[#This Row],[cost]]</f>
        <v>12452</v>
      </c>
      <c r="J152" s="1">
        <f>sales_data[[#This Row],[profit]]/sales_data[[#This Row],[revenue]]</f>
        <v>0.33999563128003496</v>
      </c>
      <c r="K152" t="str">
        <f>IF(OR(sales_data[[#This Row],[revenue]]="",sales_data[[#This Row],[cost]]=""),"Check","OK")</f>
        <v>OK</v>
      </c>
    </row>
    <row r="153" spans="1:11" x14ac:dyDescent="0.3">
      <c r="A153" t="s">
        <v>89</v>
      </c>
      <c r="B153" s="2">
        <v>45711</v>
      </c>
      <c r="C153" t="s">
        <v>9</v>
      </c>
      <c r="D153" t="s">
        <v>15</v>
      </c>
      <c r="E153" t="s">
        <v>16</v>
      </c>
      <c r="F153" t="s">
        <v>12</v>
      </c>
      <c r="G153">
        <v>85702</v>
      </c>
      <c r="H153">
        <v>67705</v>
      </c>
      <c r="I153">
        <f>sales_data[[#This Row],[revenue]]-sales_data[[#This Row],[cost]]</f>
        <v>17997</v>
      </c>
      <c r="J153" s="1">
        <f>sales_data[[#This Row],[profit]]/sales_data[[#This Row],[revenue]]</f>
        <v>0.20999509929756599</v>
      </c>
      <c r="K153" t="str">
        <f>IF(OR(sales_data[[#This Row],[revenue]]="",sales_data[[#This Row],[cost]]=""),"Check","OK")</f>
        <v>OK</v>
      </c>
    </row>
    <row r="154" spans="1:11" x14ac:dyDescent="0.3">
      <c r="A154" t="s">
        <v>90</v>
      </c>
      <c r="B154" s="2">
        <v>45694</v>
      </c>
      <c r="C154" t="s">
        <v>9</v>
      </c>
      <c r="D154" t="s">
        <v>23</v>
      </c>
      <c r="E154" t="s">
        <v>36</v>
      </c>
      <c r="F154" t="s">
        <v>17</v>
      </c>
      <c r="G154">
        <v>89586</v>
      </c>
      <c r="H154">
        <v>68981</v>
      </c>
      <c r="I154">
        <f>sales_data[[#This Row],[revenue]]-sales_data[[#This Row],[cost]]</f>
        <v>20605</v>
      </c>
      <c r="J154" s="1">
        <f>sales_data[[#This Row],[profit]]/sales_data[[#This Row],[revenue]]</f>
        <v>0.23000245574085237</v>
      </c>
      <c r="K154" t="str">
        <f>IF(OR(sales_data[[#This Row],[revenue]]="",sales_data[[#This Row],[cost]]=""),"Check","OK")</f>
        <v>OK</v>
      </c>
    </row>
    <row r="155" spans="1:11" x14ac:dyDescent="0.3">
      <c r="A155" t="s">
        <v>91</v>
      </c>
      <c r="B155" s="2">
        <v>45689</v>
      </c>
      <c r="C155" t="s">
        <v>19</v>
      </c>
      <c r="D155" t="s">
        <v>15</v>
      </c>
      <c r="E155" t="s">
        <v>34</v>
      </c>
      <c r="F155" t="s">
        <v>12</v>
      </c>
      <c r="G155">
        <v>86050</v>
      </c>
      <c r="H155">
        <v>62817</v>
      </c>
      <c r="I155">
        <f>sales_data[[#This Row],[revenue]]-sales_data[[#This Row],[cost]]</f>
        <v>23233</v>
      </c>
      <c r="J155" s="1">
        <f>sales_data[[#This Row],[profit]]/sales_data[[#This Row],[revenue]]</f>
        <v>0.26999418942475306</v>
      </c>
      <c r="K155" t="str">
        <f>IF(OR(sales_data[[#This Row],[revenue]]="",sales_data[[#This Row],[cost]]=""),"Check","OK")</f>
        <v>OK</v>
      </c>
    </row>
    <row r="156" spans="1:11" x14ac:dyDescent="0.3">
      <c r="A156" t="s">
        <v>92</v>
      </c>
      <c r="B156" s="2">
        <v>45700</v>
      </c>
      <c r="C156" t="s">
        <v>14</v>
      </c>
      <c r="D156" t="s">
        <v>23</v>
      </c>
      <c r="E156" t="s">
        <v>32</v>
      </c>
      <c r="F156" t="s">
        <v>17</v>
      </c>
      <c r="G156">
        <v>31526</v>
      </c>
      <c r="H156">
        <v>19231</v>
      </c>
      <c r="I156">
        <f>sales_data[[#This Row],[revenue]]-sales_data[[#This Row],[cost]]</f>
        <v>12295</v>
      </c>
      <c r="J156" s="1">
        <f>sales_data[[#This Row],[profit]]/sales_data[[#This Row],[revenue]]</f>
        <v>0.38999555922096046</v>
      </c>
      <c r="K156" t="str">
        <f>IF(OR(sales_data[[#This Row],[revenue]]="",sales_data[[#This Row],[cost]]=""),"Check","OK")</f>
        <v>OK</v>
      </c>
    </row>
    <row r="157" spans="1:11" x14ac:dyDescent="0.3">
      <c r="A157" t="s">
        <v>93</v>
      </c>
      <c r="B157" s="2">
        <v>45699</v>
      </c>
      <c r="C157" t="s">
        <v>19</v>
      </c>
      <c r="D157" t="s">
        <v>23</v>
      </c>
      <c r="E157" t="s">
        <v>34</v>
      </c>
      <c r="F157" t="s">
        <v>12</v>
      </c>
      <c r="G157">
        <v>50839</v>
      </c>
      <c r="H157">
        <v>31012</v>
      </c>
      <c r="I157">
        <f>sales_data[[#This Row],[revenue]]-sales_data[[#This Row],[cost]]</f>
        <v>19827</v>
      </c>
      <c r="J157" s="1">
        <f>sales_data[[#This Row],[profit]]/sales_data[[#This Row],[revenue]]</f>
        <v>0.38999586931292907</v>
      </c>
      <c r="K157" t="str">
        <f>IF(OR(sales_data[[#This Row],[revenue]]="",sales_data[[#This Row],[cost]]=""),"Check","OK")</f>
        <v>OK</v>
      </c>
    </row>
    <row r="158" spans="1:11" x14ac:dyDescent="0.3">
      <c r="A158" t="s">
        <v>94</v>
      </c>
      <c r="B158" s="2">
        <v>45698</v>
      </c>
      <c r="C158" t="s">
        <v>22</v>
      </c>
      <c r="D158" t="s">
        <v>23</v>
      </c>
      <c r="E158" t="s">
        <v>38</v>
      </c>
      <c r="F158" t="s">
        <v>17</v>
      </c>
      <c r="G158">
        <v>14982</v>
      </c>
      <c r="H158">
        <v>11686</v>
      </c>
      <c r="I158">
        <f>sales_data[[#This Row],[revenue]]-sales_data[[#This Row],[cost]]</f>
        <v>3296</v>
      </c>
      <c r="J158" s="1">
        <f>sales_data[[#This Row],[profit]]/sales_data[[#This Row],[revenue]]</f>
        <v>0.21999733012948872</v>
      </c>
      <c r="K158" t="str">
        <f>IF(OR(sales_data[[#This Row],[revenue]]="",sales_data[[#This Row],[cost]]=""),"Check","OK")</f>
        <v>OK</v>
      </c>
    </row>
    <row r="159" spans="1:11" x14ac:dyDescent="0.3">
      <c r="A159" t="s">
        <v>95</v>
      </c>
      <c r="B159" s="2">
        <v>45689</v>
      </c>
      <c r="C159" t="s">
        <v>19</v>
      </c>
      <c r="D159" t="s">
        <v>15</v>
      </c>
      <c r="E159" t="s">
        <v>32</v>
      </c>
      <c r="F159" t="s">
        <v>12</v>
      </c>
      <c r="G159">
        <v>99874</v>
      </c>
      <c r="H159">
        <v>68913</v>
      </c>
      <c r="I159">
        <f>sales_data[[#This Row],[revenue]]-sales_data[[#This Row],[cost]]</f>
        <v>30961</v>
      </c>
      <c r="J159" s="1">
        <f>sales_data[[#This Row],[profit]]/sales_data[[#This Row],[revenue]]</f>
        <v>0.31000060075695374</v>
      </c>
      <c r="K159" t="str">
        <f>IF(OR(sales_data[[#This Row],[revenue]]="",sales_data[[#This Row],[cost]]=""),"Check","OK")</f>
        <v>OK</v>
      </c>
    </row>
    <row r="160" spans="1:11" x14ac:dyDescent="0.3">
      <c r="A160" t="s">
        <v>96</v>
      </c>
      <c r="B160" s="2">
        <v>45714</v>
      </c>
      <c r="C160" t="s">
        <v>22</v>
      </c>
      <c r="D160" t="s">
        <v>23</v>
      </c>
      <c r="E160" t="s">
        <v>29</v>
      </c>
      <c r="F160" t="s">
        <v>12</v>
      </c>
      <c r="G160">
        <v>46289</v>
      </c>
      <c r="H160">
        <v>29162</v>
      </c>
      <c r="I160">
        <f>sales_data[[#This Row],[revenue]]-sales_data[[#This Row],[cost]]</f>
        <v>17127</v>
      </c>
      <c r="J160" s="1">
        <f>sales_data[[#This Row],[profit]]/sales_data[[#This Row],[revenue]]</f>
        <v>0.37000151223832878</v>
      </c>
      <c r="K160" t="str">
        <f>IF(OR(sales_data[[#This Row],[revenue]]="",sales_data[[#This Row],[cost]]=""),"Check","OK")</f>
        <v>OK</v>
      </c>
    </row>
    <row r="161" spans="1:11" x14ac:dyDescent="0.3">
      <c r="A161" t="s">
        <v>97</v>
      </c>
      <c r="B161" s="2">
        <v>45696</v>
      </c>
      <c r="C161" t="s">
        <v>9</v>
      </c>
      <c r="D161" t="s">
        <v>15</v>
      </c>
      <c r="E161" t="s">
        <v>20</v>
      </c>
      <c r="F161" t="s">
        <v>17</v>
      </c>
      <c r="G161">
        <v>76675</v>
      </c>
      <c r="H161">
        <v>54439</v>
      </c>
      <c r="I161">
        <f>sales_data[[#This Row],[revenue]]-sales_data[[#This Row],[cost]]</f>
        <v>22236</v>
      </c>
      <c r="J161" s="1">
        <f>sales_data[[#This Row],[profit]]/sales_data[[#This Row],[revenue]]</f>
        <v>0.2900032605151614</v>
      </c>
      <c r="K161" t="str">
        <f>IF(OR(sales_data[[#This Row],[revenue]]="",sales_data[[#This Row],[cost]]=""),"Check","OK")</f>
        <v>OK</v>
      </c>
    </row>
    <row r="162" spans="1:11" x14ac:dyDescent="0.3">
      <c r="A162" t="s">
        <v>98</v>
      </c>
      <c r="B162" s="2">
        <v>45707</v>
      </c>
      <c r="C162" t="s">
        <v>9</v>
      </c>
      <c r="D162" t="s">
        <v>23</v>
      </c>
      <c r="E162" t="s">
        <v>38</v>
      </c>
      <c r="F162" t="s">
        <v>17</v>
      </c>
      <c r="G162">
        <v>13254</v>
      </c>
      <c r="H162">
        <v>9808</v>
      </c>
      <c r="I162">
        <f>sales_data[[#This Row],[revenue]]-sales_data[[#This Row],[cost]]</f>
        <v>3446</v>
      </c>
      <c r="J162" s="1">
        <f>sales_data[[#This Row],[profit]]/sales_data[[#This Row],[revenue]]</f>
        <v>0.2599969820431568</v>
      </c>
      <c r="K162" t="str">
        <f>IF(OR(sales_data[[#This Row],[revenue]]="",sales_data[[#This Row],[cost]]=""),"Check","OK")</f>
        <v>OK</v>
      </c>
    </row>
    <row r="163" spans="1:11" x14ac:dyDescent="0.3">
      <c r="A163" t="s">
        <v>99</v>
      </c>
      <c r="B163" s="2">
        <v>45692</v>
      </c>
      <c r="C163" t="s">
        <v>22</v>
      </c>
      <c r="D163" t="s">
        <v>23</v>
      </c>
      <c r="E163" t="s">
        <v>11</v>
      </c>
      <c r="F163" t="s">
        <v>12</v>
      </c>
      <c r="G163">
        <v>28364</v>
      </c>
      <c r="H163">
        <v>19004</v>
      </c>
      <c r="I163">
        <f>sales_data[[#This Row],[revenue]]-sales_data[[#This Row],[cost]]</f>
        <v>9360</v>
      </c>
      <c r="J163" s="1">
        <f>sales_data[[#This Row],[profit]]/sales_data[[#This Row],[revenue]]</f>
        <v>0.32999576928500918</v>
      </c>
      <c r="K163" t="str">
        <f>IF(OR(sales_data[[#This Row],[revenue]]="",sales_data[[#This Row],[cost]]=""),"Check","OK")</f>
        <v>OK</v>
      </c>
    </row>
    <row r="164" spans="1:11" x14ac:dyDescent="0.3">
      <c r="A164" t="s">
        <v>100</v>
      </c>
      <c r="B164" s="2">
        <v>45704</v>
      </c>
      <c r="C164" t="s">
        <v>9</v>
      </c>
      <c r="D164" t="s">
        <v>15</v>
      </c>
      <c r="E164" t="s">
        <v>26</v>
      </c>
      <c r="F164" t="s">
        <v>17</v>
      </c>
      <c r="G164">
        <v>59427</v>
      </c>
      <c r="H164">
        <v>46353</v>
      </c>
      <c r="I164">
        <f>sales_data[[#This Row],[revenue]]-sales_data[[#This Row],[cost]]</f>
        <v>13074</v>
      </c>
      <c r="J164" s="1">
        <f>sales_data[[#This Row],[profit]]/sales_data[[#This Row],[revenue]]</f>
        <v>0.22000100964208189</v>
      </c>
      <c r="K164" t="str">
        <f>IF(OR(sales_data[[#This Row],[revenue]]="",sales_data[[#This Row],[cost]]=""),"Check","OK")</f>
        <v>OK</v>
      </c>
    </row>
    <row r="165" spans="1:11" x14ac:dyDescent="0.3">
      <c r="A165" t="s">
        <v>101</v>
      </c>
      <c r="B165" s="2">
        <v>45689</v>
      </c>
      <c r="C165" t="s">
        <v>19</v>
      </c>
      <c r="D165" t="s">
        <v>15</v>
      </c>
      <c r="E165" t="s">
        <v>11</v>
      </c>
      <c r="F165" t="s">
        <v>17</v>
      </c>
      <c r="G165">
        <v>32551</v>
      </c>
      <c r="H165">
        <v>22135</v>
      </c>
      <c r="I165">
        <f>sales_data[[#This Row],[revenue]]-sales_data[[#This Row],[cost]]</f>
        <v>10416</v>
      </c>
      <c r="J165" s="1">
        <f>sales_data[[#This Row],[profit]]/sales_data[[#This Row],[revenue]]</f>
        <v>0.31999016927283341</v>
      </c>
      <c r="K165" t="str">
        <f>IF(OR(sales_data[[#This Row],[revenue]]="",sales_data[[#This Row],[cost]]=""),"Check","OK")</f>
        <v>OK</v>
      </c>
    </row>
    <row r="166" spans="1:11" x14ac:dyDescent="0.3">
      <c r="A166" t="s">
        <v>102</v>
      </c>
      <c r="B166" s="2">
        <v>45704</v>
      </c>
      <c r="C166" t="s">
        <v>14</v>
      </c>
      <c r="D166" t="s">
        <v>23</v>
      </c>
      <c r="E166" t="s">
        <v>32</v>
      </c>
      <c r="F166" t="s">
        <v>12</v>
      </c>
      <c r="G166">
        <v>30214</v>
      </c>
      <c r="H166">
        <v>18128</v>
      </c>
      <c r="I166">
        <f>sales_data[[#This Row],[revenue]]-sales_data[[#This Row],[cost]]</f>
        <v>12086</v>
      </c>
      <c r="J166" s="1">
        <f>sales_data[[#This Row],[profit]]/sales_data[[#This Row],[revenue]]</f>
        <v>0.40001323889587609</v>
      </c>
      <c r="K166" t="str">
        <f>IF(OR(sales_data[[#This Row],[revenue]]="",sales_data[[#This Row],[cost]]=""),"Check","OK")</f>
        <v>OK</v>
      </c>
    </row>
    <row r="167" spans="1:11" x14ac:dyDescent="0.3">
      <c r="A167" t="s">
        <v>103</v>
      </c>
      <c r="B167" s="2">
        <v>45705</v>
      </c>
      <c r="C167" t="s">
        <v>22</v>
      </c>
      <c r="D167" t="s">
        <v>23</v>
      </c>
      <c r="E167" t="s">
        <v>34</v>
      </c>
      <c r="F167" t="s">
        <v>12</v>
      </c>
      <c r="G167">
        <v>94208</v>
      </c>
      <c r="H167">
        <v>56525</v>
      </c>
      <c r="I167">
        <f>sales_data[[#This Row],[revenue]]-sales_data[[#This Row],[cost]]</f>
        <v>37683</v>
      </c>
      <c r="J167" s="1">
        <f>sales_data[[#This Row],[profit]]/sales_data[[#This Row],[revenue]]</f>
        <v>0.39999787703804346</v>
      </c>
      <c r="K167" t="str">
        <f>IF(OR(sales_data[[#This Row],[revenue]]="",sales_data[[#This Row],[cost]]=""),"Check","OK")</f>
        <v>OK</v>
      </c>
    </row>
    <row r="168" spans="1:11" x14ac:dyDescent="0.3">
      <c r="A168" t="s">
        <v>104</v>
      </c>
      <c r="B168" s="2">
        <v>45707</v>
      </c>
      <c r="C168" t="s">
        <v>22</v>
      </c>
      <c r="D168" t="s">
        <v>23</v>
      </c>
      <c r="E168" t="s">
        <v>24</v>
      </c>
      <c r="F168" t="s">
        <v>17</v>
      </c>
      <c r="G168">
        <v>16577</v>
      </c>
      <c r="H168">
        <v>11272</v>
      </c>
      <c r="I168">
        <f>sales_data[[#This Row],[revenue]]-sales_data[[#This Row],[cost]]</f>
        <v>5305</v>
      </c>
      <c r="J168" s="1">
        <f>sales_data[[#This Row],[profit]]/sales_data[[#This Row],[revenue]]</f>
        <v>0.32002171683658082</v>
      </c>
      <c r="K168" t="str">
        <f>IF(OR(sales_data[[#This Row],[revenue]]="",sales_data[[#This Row],[cost]]=""),"Check","OK")</f>
        <v>OK</v>
      </c>
    </row>
    <row r="169" spans="1:11" x14ac:dyDescent="0.3">
      <c r="A169" t="s">
        <v>105</v>
      </c>
      <c r="B169" s="2">
        <v>45707</v>
      </c>
      <c r="C169" t="s">
        <v>19</v>
      </c>
      <c r="D169" t="s">
        <v>10</v>
      </c>
      <c r="E169" t="s">
        <v>11</v>
      </c>
      <c r="F169" t="s">
        <v>12</v>
      </c>
      <c r="G169">
        <v>11554</v>
      </c>
      <c r="H169">
        <v>7048</v>
      </c>
      <c r="I169">
        <f>sales_data[[#This Row],[revenue]]-sales_data[[#This Row],[cost]]</f>
        <v>4506</v>
      </c>
      <c r="J169" s="1">
        <f>sales_data[[#This Row],[profit]]/sales_data[[#This Row],[revenue]]</f>
        <v>0.38999480699324907</v>
      </c>
      <c r="K169" t="str">
        <f>IF(OR(sales_data[[#This Row],[revenue]]="",sales_data[[#This Row],[cost]]=""),"Check","OK")</f>
        <v>OK</v>
      </c>
    </row>
    <row r="170" spans="1:11" x14ac:dyDescent="0.3">
      <c r="A170" t="s">
        <v>106</v>
      </c>
      <c r="B170" s="2">
        <v>45711</v>
      </c>
      <c r="C170" t="s">
        <v>9</v>
      </c>
      <c r="D170" t="s">
        <v>10</v>
      </c>
      <c r="E170" t="s">
        <v>36</v>
      </c>
      <c r="F170" t="s">
        <v>12</v>
      </c>
      <c r="G170">
        <v>80272</v>
      </c>
      <c r="H170">
        <v>50571</v>
      </c>
      <c r="I170">
        <f>sales_data[[#This Row],[revenue]]-sales_data[[#This Row],[cost]]</f>
        <v>29701</v>
      </c>
      <c r="J170" s="1">
        <f>sales_data[[#This Row],[profit]]/sales_data[[#This Row],[revenue]]</f>
        <v>0.37000448475184372</v>
      </c>
      <c r="K170" t="str">
        <f>IF(OR(sales_data[[#This Row],[revenue]]="",sales_data[[#This Row],[cost]]=""),"Check","OK")</f>
        <v>OK</v>
      </c>
    </row>
    <row r="171" spans="1:11" x14ac:dyDescent="0.3">
      <c r="A171" t="s">
        <v>107</v>
      </c>
      <c r="B171" s="2">
        <v>45690</v>
      </c>
      <c r="C171" t="s">
        <v>19</v>
      </c>
      <c r="D171" t="s">
        <v>10</v>
      </c>
      <c r="E171" t="s">
        <v>20</v>
      </c>
      <c r="F171" t="s">
        <v>12</v>
      </c>
      <c r="G171">
        <v>66396</v>
      </c>
      <c r="H171">
        <v>42493</v>
      </c>
      <c r="I171">
        <f>sales_data[[#This Row],[revenue]]-sales_data[[#This Row],[cost]]</f>
        <v>23903</v>
      </c>
      <c r="J171" s="1">
        <f>sales_data[[#This Row],[profit]]/sales_data[[#This Row],[revenue]]</f>
        <v>0.36000662690523527</v>
      </c>
      <c r="K171" t="str">
        <f>IF(OR(sales_data[[#This Row],[revenue]]="",sales_data[[#This Row],[cost]]=""),"Check","OK")</f>
        <v>OK</v>
      </c>
    </row>
    <row r="172" spans="1:11" x14ac:dyDescent="0.3">
      <c r="A172" t="s">
        <v>108</v>
      </c>
      <c r="B172" s="2">
        <v>45706</v>
      </c>
      <c r="C172" t="s">
        <v>9</v>
      </c>
      <c r="D172" t="s">
        <v>10</v>
      </c>
      <c r="E172" t="s">
        <v>36</v>
      </c>
      <c r="F172" t="s">
        <v>17</v>
      </c>
      <c r="G172">
        <v>34800</v>
      </c>
      <c r="H172">
        <v>25404</v>
      </c>
      <c r="I172">
        <f>sales_data[[#This Row],[revenue]]-sales_data[[#This Row],[cost]]</f>
        <v>9396</v>
      </c>
      <c r="J172" s="1">
        <f>sales_data[[#This Row],[profit]]/sales_data[[#This Row],[revenue]]</f>
        <v>0.27</v>
      </c>
      <c r="K172" t="str">
        <f>IF(OR(sales_data[[#This Row],[revenue]]="",sales_data[[#This Row],[cost]]=""),"Check","OK")</f>
        <v>OK</v>
      </c>
    </row>
    <row r="173" spans="1:11" x14ac:dyDescent="0.3">
      <c r="A173" t="s">
        <v>109</v>
      </c>
      <c r="B173" s="2">
        <v>45710</v>
      </c>
      <c r="C173" t="s">
        <v>22</v>
      </c>
      <c r="D173" t="s">
        <v>23</v>
      </c>
      <c r="E173" t="s">
        <v>20</v>
      </c>
      <c r="F173" t="s">
        <v>12</v>
      </c>
      <c r="G173">
        <v>14598</v>
      </c>
      <c r="H173">
        <v>10511</v>
      </c>
      <c r="I173">
        <f>sales_data[[#This Row],[revenue]]-sales_data[[#This Row],[cost]]</f>
        <v>4087</v>
      </c>
      <c r="J173" s="1">
        <f>sales_data[[#This Row],[profit]]/sales_data[[#This Row],[revenue]]</f>
        <v>0.27996985888477871</v>
      </c>
      <c r="K173" t="str">
        <f>IF(OR(sales_data[[#This Row],[revenue]]="",sales_data[[#This Row],[cost]]=""),"Check","OK")</f>
        <v>OK</v>
      </c>
    </row>
    <row r="174" spans="1:11" x14ac:dyDescent="0.3">
      <c r="A174" t="s">
        <v>110</v>
      </c>
      <c r="B174" s="2">
        <v>45695</v>
      </c>
      <c r="C174" t="s">
        <v>14</v>
      </c>
      <c r="D174" t="s">
        <v>15</v>
      </c>
      <c r="E174" t="s">
        <v>11</v>
      </c>
      <c r="F174" t="s">
        <v>17</v>
      </c>
      <c r="G174">
        <v>52584</v>
      </c>
      <c r="H174">
        <v>32076</v>
      </c>
      <c r="I174">
        <f>sales_data[[#This Row],[revenue]]-sales_data[[#This Row],[cost]]</f>
        <v>20508</v>
      </c>
      <c r="J174" s="1">
        <f>sales_data[[#This Row],[profit]]/sales_data[[#This Row],[revenue]]</f>
        <v>0.3900045641259699</v>
      </c>
      <c r="K174" t="str">
        <f>IF(OR(sales_data[[#This Row],[revenue]]="",sales_data[[#This Row],[cost]]=""),"Check","OK")</f>
        <v>OK</v>
      </c>
    </row>
    <row r="175" spans="1:11" x14ac:dyDescent="0.3">
      <c r="A175" t="s">
        <v>111</v>
      </c>
      <c r="B175" s="2">
        <v>45711</v>
      </c>
      <c r="C175" t="s">
        <v>9</v>
      </c>
      <c r="D175" t="s">
        <v>15</v>
      </c>
      <c r="E175" t="s">
        <v>38</v>
      </c>
      <c r="F175" t="s">
        <v>17</v>
      </c>
      <c r="G175">
        <v>26437</v>
      </c>
      <c r="H175">
        <v>15862</v>
      </c>
      <c r="I175">
        <f>sales_data[[#This Row],[revenue]]-sales_data[[#This Row],[cost]]</f>
        <v>10575</v>
      </c>
      <c r="J175" s="1">
        <f>sales_data[[#This Row],[profit]]/sales_data[[#This Row],[revenue]]</f>
        <v>0.40000756515489655</v>
      </c>
      <c r="K175" t="str">
        <f>IF(OR(sales_data[[#This Row],[revenue]]="",sales_data[[#This Row],[cost]]=""),"Check","OK")</f>
        <v>OK</v>
      </c>
    </row>
    <row r="176" spans="1:11" x14ac:dyDescent="0.3">
      <c r="A176" t="s">
        <v>112</v>
      </c>
      <c r="B176" s="2">
        <v>45700</v>
      </c>
      <c r="C176" t="s">
        <v>14</v>
      </c>
      <c r="D176" t="s">
        <v>23</v>
      </c>
      <c r="E176" t="s">
        <v>24</v>
      </c>
      <c r="F176" t="s">
        <v>12</v>
      </c>
      <c r="G176">
        <v>17735</v>
      </c>
      <c r="H176">
        <v>12415</v>
      </c>
      <c r="I176">
        <f>sales_data[[#This Row],[revenue]]-sales_data[[#This Row],[cost]]</f>
        <v>5320</v>
      </c>
      <c r="J176" s="1">
        <f>sales_data[[#This Row],[profit]]/sales_data[[#This Row],[revenue]]</f>
        <v>0.2999718071609811</v>
      </c>
      <c r="K176" t="str">
        <f>IF(OR(sales_data[[#This Row],[revenue]]="",sales_data[[#This Row],[cost]]=""),"Check","OK")</f>
        <v>OK</v>
      </c>
    </row>
    <row r="177" spans="1:11" x14ac:dyDescent="0.3">
      <c r="A177" t="s">
        <v>113</v>
      </c>
      <c r="B177" s="2">
        <v>45716</v>
      </c>
      <c r="C177" t="s">
        <v>14</v>
      </c>
      <c r="D177" t="s">
        <v>15</v>
      </c>
      <c r="E177" t="s">
        <v>38</v>
      </c>
      <c r="F177" t="s">
        <v>12</v>
      </c>
      <c r="G177">
        <v>76277</v>
      </c>
      <c r="H177">
        <v>48055</v>
      </c>
      <c r="I177">
        <f>sales_data[[#This Row],[revenue]]-sales_data[[#This Row],[cost]]</f>
        <v>28222</v>
      </c>
      <c r="J177" s="1">
        <f>sales_data[[#This Row],[profit]]/sales_data[[#This Row],[revenue]]</f>
        <v>0.36999357604520366</v>
      </c>
      <c r="K177" t="str">
        <f>IF(OR(sales_data[[#This Row],[revenue]]="",sales_data[[#This Row],[cost]]=""),"Check","OK")</f>
        <v>OK</v>
      </c>
    </row>
    <row r="178" spans="1:11" x14ac:dyDescent="0.3">
      <c r="A178" t="s">
        <v>114</v>
      </c>
      <c r="B178" s="2">
        <v>45699</v>
      </c>
      <c r="C178" t="s">
        <v>19</v>
      </c>
      <c r="D178" t="s">
        <v>23</v>
      </c>
      <c r="E178" t="s">
        <v>11</v>
      </c>
      <c r="F178" t="s">
        <v>17</v>
      </c>
      <c r="G178">
        <v>84501</v>
      </c>
      <c r="H178">
        <v>54926</v>
      </c>
      <c r="I178">
        <f>sales_data[[#This Row],[revenue]]-sales_data[[#This Row],[cost]]</f>
        <v>29575</v>
      </c>
      <c r="J178" s="1">
        <f>sales_data[[#This Row],[profit]]/sales_data[[#This Row],[revenue]]</f>
        <v>0.34999585803718297</v>
      </c>
      <c r="K178" t="str">
        <f>IF(OR(sales_data[[#This Row],[revenue]]="",sales_data[[#This Row],[cost]]=""),"Check","OK")</f>
        <v>OK</v>
      </c>
    </row>
    <row r="179" spans="1:11" x14ac:dyDescent="0.3">
      <c r="A179" t="s">
        <v>115</v>
      </c>
      <c r="B179" s="2">
        <v>45703</v>
      </c>
      <c r="C179" t="s">
        <v>19</v>
      </c>
      <c r="D179" t="s">
        <v>15</v>
      </c>
      <c r="E179" t="s">
        <v>29</v>
      </c>
      <c r="F179" t="s">
        <v>12</v>
      </c>
      <c r="G179">
        <v>33782</v>
      </c>
      <c r="H179">
        <v>20607</v>
      </c>
      <c r="I179">
        <f>sales_data[[#This Row],[revenue]]-sales_data[[#This Row],[cost]]</f>
        <v>13175</v>
      </c>
      <c r="J179" s="1">
        <f>sales_data[[#This Row],[profit]]/sales_data[[#This Row],[revenue]]</f>
        <v>0.39000059203125925</v>
      </c>
      <c r="K179" t="str">
        <f>IF(OR(sales_data[[#This Row],[revenue]]="",sales_data[[#This Row],[cost]]=""),"Check","OK")</f>
        <v>OK</v>
      </c>
    </row>
    <row r="180" spans="1:11" x14ac:dyDescent="0.3">
      <c r="A180" t="s">
        <v>116</v>
      </c>
      <c r="B180" s="2">
        <v>45702</v>
      </c>
      <c r="C180" t="s">
        <v>14</v>
      </c>
      <c r="D180" t="s">
        <v>23</v>
      </c>
      <c r="E180" t="s">
        <v>11</v>
      </c>
      <c r="F180" t="s">
        <v>17</v>
      </c>
      <c r="G180">
        <v>69221</v>
      </c>
      <c r="H180">
        <v>46378</v>
      </c>
      <c r="I180">
        <f>sales_data[[#This Row],[revenue]]-sales_data[[#This Row],[cost]]</f>
        <v>22843</v>
      </c>
      <c r="J180" s="1">
        <f>sales_data[[#This Row],[profit]]/sales_data[[#This Row],[revenue]]</f>
        <v>0.33000101125381026</v>
      </c>
      <c r="K180" t="str">
        <f>IF(OR(sales_data[[#This Row],[revenue]]="",sales_data[[#This Row],[cost]]=""),"Check","OK")</f>
        <v>OK</v>
      </c>
    </row>
    <row r="181" spans="1:11" x14ac:dyDescent="0.3">
      <c r="A181" t="s">
        <v>117</v>
      </c>
      <c r="B181" s="2">
        <v>45699</v>
      </c>
      <c r="C181" t="s">
        <v>9</v>
      </c>
      <c r="D181" t="s">
        <v>23</v>
      </c>
      <c r="E181" t="s">
        <v>16</v>
      </c>
      <c r="F181" t="s">
        <v>17</v>
      </c>
      <c r="G181">
        <v>28979</v>
      </c>
      <c r="H181">
        <v>18836</v>
      </c>
      <c r="I181">
        <f>sales_data[[#This Row],[revenue]]-sales_data[[#This Row],[cost]]</f>
        <v>10143</v>
      </c>
      <c r="J181" s="1">
        <f>sales_data[[#This Row],[profit]]/sales_data[[#This Row],[revenue]]</f>
        <v>0.35001207771144621</v>
      </c>
      <c r="K181" t="str">
        <f>IF(OR(sales_data[[#This Row],[revenue]]="",sales_data[[#This Row],[cost]]=""),"Check","OK")</f>
        <v>OK</v>
      </c>
    </row>
    <row r="182" spans="1:11" x14ac:dyDescent="0.3">
      <c r="A182" t="s">
        <v>118</v>
      </c>
      <c r="B182" s="2">
        <v>45690</v>
      </c>
      <c r="C182" t="s">
        <v>14</v>
      </c>
      <c r="D182" t="s">
        <v>10</v>
      </c>
      <c r="E182" t="s">
        <v>34</v>
      </c>
      <c r="F182" t="s">
        <v>12</v>
      </c>
      <c r="G182">
        <v>24706</v>
      </c>
      <c r="H182">
        <v>17788</v>
      </c>
      <c r="I182">
        <f>sales_data[[#This Row],[revenue]]-sales_data[[#This Row],[cost]]</f>
        <v>6918</v>
      </c>
      <c r="J182" s="1">
        <f>sales_data[[#This Row],[profit]]/sales_data[[#This Row],[revenue]]</f>
        <v>0.28001295231927464</v>
      </c>
      <c r="K182" t="str">
        <f>IF(OR(sales_data[[#This Row],[revenue]]="",sales_data[[#This Row],[cost]]=""),"Check","OK")</f>
        <v>OK</v>
      </c>
    </row>
    <row r="183" spans="1:11" x14ac:dyDescent="0.3">
      <c r="A183" t="s">
        <v>119</v>
      </c>
      <c r="B183" s="2">
        <v>45692</v>
      </c>
      <c r="C183" t="s">
        <v>19</v>
      </c>
      <c r="D183" t="s">
        <v>23</v>
      </c>
      <c r="E183" t="s">
        <v>29</v>
      </c>
      <c r="F183" t="s">
        <v>12</v>
      </c>
      <c r="G183">
        <v>7686</v>
      </c>
      <c r="H183">
        <v>5688</v>
      </c>
      <c r="I183">
        <f>sales_data[[#This Row],[revenue]]-sales_data[[#This Row],[cost]]</f>
        <v>1998</v>
      </c>
      <c r="J183" s="1">
        <f>sales_data[[#This Row],[profit]]/sales_data[[#This Row],[revenue]]</f>
        <v>0.25995316159250587</v>
      </c>
      <c r="K183" t="str">
        <f>IF(OR(sales_data[[#This Row],[revenue]]="",sales_data[[#This Row],[cost]]=""),"Check","OK")</f>
        <v>OK</v>
      </c>
    </row>
    <row r="184" spans="1:11" x14ac:dyDescent="0.3">
      <c r="A184" t="s">
        <v>120</v>
      </c>
      <c r="B184" s="2">
        <v>45706</v>
      </c>
      <c r="C184" t="s">
        <v>14</v>
      </c>
      <c r="D184" t="s">
        <v>15</v>
      </c>
      <c r="E184" t="s">
        <v>24</v>
      </c>
      <c r="F184" t="s">
        <v>12</v>
      </c>
      <c r="G184">
        <v>74559</v>
      </c>
      <c r="H184">
        <v>45481</v>
      </c>
      <c r="I184">
        <f>sales_data[[#This Row],[revenue]]-sales_data[[#This Row],[cost]]</f>
        <v>29078</v>
      </c>
      <c r="J184" s="1">
        <f>sales_data[[#This Row],[profit]]/sales_data[[#This Row],[revenue]]</f>
        <v>0.38999986587802948</v>
      </c>
      <c r="K184" t="str">
        <f>IF(OR(sales_data[[#This Row],[revenue]]="",sales_data[[#This Row],[cost]]=""),"Check","OK")</f>
        <v>OK</v>
      </c>
    </row>
    <row r="185" spans="1:11" x14ac:dyDescent="0.3">
      <c r="A185" t="s">
        <v>121</v>
      </c>
      <c r="B185" s="2">
        <v>45715</v>
      </c>
      <c r="C185" t="s">
        <v>22</v>
      </c>
      <c r="D185" t="s">
        <v>10</v>
      </c>
      <c r="E185" t="s">
        <v>20</v>
      </c>
      <c r="F185" t="s">
        <v>17</v>
      </c>
      <c r="G185">
        <v>34796</v>
      </c>
      <c r="H185">
        <v>21921</v>
      </c>
      <c r="I185">
        <f>sales_data[[#This Row],[revenue]]-sales_data[[#This Row],[cost]]</f>
        <v>12875</v>
      </c>
      <c r="J185" s="1">
        <f>sales_data[[#This Row],[profit]]/sales_data[[#This Row],[revenue]]</f>
        <v>0.37001379468904472</v>
      </c>
      <c r="K185" t="str">
        <f>IF(OR(sales_data[[#This Row],[revenue]]="",sales_data[[#This Row],[cost]]=""),"Check","OK")</f>
        <v>OK</v>
      </c>
    </row>
    <row r="186" spans="1:11" x14ac:dyDescent="0.3">
      <c r="A186" t="s">
        <v>122</v>
      </c>
      <c r="B186" s="2">
        <v>45690</v>
      </c>
      <c r="C186" t="s">
        <v>9</v>
      </c>
      <c r="D186" t="s">
        <v>10</v>
      </c>
      <c r="E186" t="s">
        <v>32</v>
      </c>
      <c r="F186" t="s">
        <v>17</v>
      </c>
      <c r="G186">
        <v>69767</v>
      </c>
      <c r="H186">
        <v>42558</v>
      </c>
      <c r="I186">
        <f>sales_data[[#This Row],[revenue]]-sales_data[[#This Row],[cost]]</f>
        <v>27209</v>
      </c>
      <c r="J186" s="1">
        <f>sales_data[[#This Row],[profit]]/sales_data[[#This Row],[revenue]]</f>
        <v>0.38999813665486549</v>
      </c>
      <c r="K186" t="str">
        <f>IF(OR(sales_data[[#This Row],[revenue]]="",sales_data[[#This Row],[cost]]=""),"Check","OK")</f>
        <v>OK</v>
      </c>
    </row>
    <row r="187" spans="1:11" x14ac:dyDescent="0.3">
      <c r="A187" t="s">
        <v>123</v>
      </c>
      <c r="B187" s="2">
        <v>45716</v>
      </c>
      <c r="C187" t="s">
        <v>22</v>
      </c>
      <c r="D187" t="s">
        <v>15</v>
      </c>
      <c r="E187" t="s">
        <v>20</v>
      </c>
      <c r="F187" t="s">
        <v>12</v>
      </c>
      <c r="G187">
        <v>54493</v>
      </c>
      <c r="H187">
        <v>34331</v>
      </c>
      <c r="I187">
        <f>sales_data[[#This Row],[revenue]]-sales_data[[#This Row],[cost]]</f>
        <v>20162</v>
      </c>
      <c r="J187" s="1">
        <f>sales_data[[#This Row],[profit]]/sales_data[[#This Row],[revenue]]</f>
        <v>0.36999247609784741</v>
      </c>
      <c r="K187" t="str">
        <f>IF(OR(sales_data[[#This Row],[revenue]]="",sales_data[[#This Row],[cost]]=""),"Check","OK")</f>
        <v>OK</v>
      </c>
    </row>
    <row r="188" spans="1:11" x14ac:dyDescent="0.3">
      <c r="A188" t="s">
        <v>124</v>
      </c>
      <c r="B188" s="2">
        <v>45704</v>
      </c>
      <c r="C188" t="s">
        <v>14</v>
      </c>
      <c r="D188" t="s">
        <v>23</v>
      </c>
      <c r="E188" t="s">
        <v>29</v>
      </c>
      <c r="F188" t="s">
        <v>12</v>
      </c>
      <c r="G188">
        <v>56783</v>
      </c>
      <c r="H188">
        <v>40884</v>
      </c>
      <c r="I188">
        <f>sales_data[[#This Row],[revenue]]-sales_data[[#This Row],[cost]]</f>
        <v>15899</v>
      </c>
      <c r="J188" s="1">
        <f>sales_data[[#This Row],[profit]]/sales_data[[#This Row],[revenue]]</f>
        <v>0.27999577338287868</v>
      </c>
      <c r="K188" t="str">
        <f>IF(OR(sales_data[[#This Row],[revenue]]="",sales_data[[#This Row],[cost]]=""),"Check","OK")</f>
        <v>OK</v>
      </c>
    </row>
    <row r="189" spans="1:11" x14ac:dyDescent="0.3">
      <c r="A189" t="s">
        <v>125</v>
      </c>
      <c r="B189" s="2">
        <v>45703</v>
      </c>
      <c r="C189" t="s">
        <v>9</v>
      </c>
      <c r="D189" t="s">
        <v>15</v>
      </c>
      <c r="E189" t="s">
        <v>26</v>
      </c>
      <c r="F189" t="s">
        <v>17</v>
      </c>
      <c r="G189">
        <v>69649</v>
      </c>
      <c r="H189">
        <v>50147</v>
      </c>
      <c r="I189">
        <f>sales_data[[#This Row],[revenue]]-sales_data[[#This Row],[cost]]</f>
        <v>19502</v>
      </c>
      <c r="J189" s="1">
        <f>sales_data[[#This Row],[profit]]/sales_data[[#This Row],[revenue]]</f>
        <v>0.28000402015822196</v>
      </c>
      <c r="K189" t="str">
        <f>IF(OR(sales_data[[#This Row],[revenue]]="",sales_data[[#This Row],[cost]]=""),"Check","OK")</f>
        <v>OK</v>
      </c>
    </row>
    <row r="190" spans="1:11" x14ac:dyDescent="0.3">
      <c r="A190" t="s">
        <v>126</v>
      </c>
      <c r="B190" s="2">
        <v>45714</v>
      </c>
      <c r="C190" t="s">
        <v>19</v>
      </c>
      <c r="D190" t="s">
        <v>23</v>
      </c>
      <c r="E190" t="s">
        <v>26</v>
      </c>
      <c r="F190" t="s">
        <v>17</v>
      </c>
      <c r="G190">
        <v>16234</v>
      </c>
      <c r="H190">
        <v>12013</v>
      </c>
      <c r="I190">
        <f>sales_data[[#This Row],[revenue]]-sales_data[[#This Row],[cost]]</f>
        <v>4221</v>
      </c>
      <c r="J190" s="1">
        <f>sales_data[[#This Row],[profit]]/sales_data[[#This Row],[revenue]]</f>
        <v>0.26000985585807562</v>
      </c>
      <c r="K190" t="str">
        <f>IF(OR(sales_data[[#This Row],[revenue]]="",sales_data[[#This Row],[cost]]=""),"Check","OK")</f>
        <v>OK</v>
      </c>
    </row>
    <row r="191" spans="1:11" x14ac:dyDescent="0.3">
      <c r="A191" t="s">
        <v>127</v>
      </c>
      <c r="B191" s="2">
        <v>45694</v>
      </c>
      <c r="C191" t="s">
        <v>14</v>
      </c>
      <c r="D191" t="s">
        <v>15</v>
      </c>
      <c r="E191" t="s">
        <v>20</v>
      </c>
      <c r="F191" t="s">
        <v>17</v>
      </c>
      <c r="G191">
        <v>68468</v>
      </c>
      <c r="H191">
        <v>51351</v>
      </c>
      <c r="I191">
        <f>sales_data[[#This Row],[revenue]]-sales_data[[#This Row],[cost]]</f>
        <v>17117</v>
      </c>
      <c r="J191" s="1">
        <f>sales_data[[#This Row],[profit]]/sales_data[[#This Row],[revenue]]</f>
        <v>0.25</v>
      </c>
      <c r="K191" t="str">
        <f>IF(OR(sales_data[[#This Row],[revenue]]="",sales_data[[#This Row],[cost]]=""),"Check","OK")</f>
        <v>OK</v>
      </c>
    </row>
    <row r="192" spans="1:11" x14ac:dyDescent="0.3">
      <c r="A192" t="s">
        <v>128</v>
      </c>
      <c r="B192" s="2">
        <v>45707</v>
      </c>
      <c r="C192" t="s">
        <v>9</v>
      </c>
      <c r="D192" t="s">
        <v>23</v>
      </c>
      <c r="E192" t="s">
        <v>36</v>
      </c>
      <c r="F192" t="s">
        <v>17</v>
      </c>
      <c r="G192">
        <v>46038</v>
      </c>
      <c r="H192">
        <v>36830</v>
      </c>
      <c r="I192">
        <f>sales_data[[#This Row],[revenue]]-sales_data[[#This Row],[cost]]</f>
        <v>9208</v>
      </c>
      <c r="J192" s="1">
        <f>sales_data[[#This Row],[profit]]/sales_data[[#This Row],[revenue]]</f>
        <v>0.20000868847473827</v>
      </c>
      <c r="K192" t="str">
        <f>IF(OR(sales_data[[#This Row],[revenue]]="",sales_data[[#This Row],[cost]]=""),"Check","OK")</f>
        <v>OK</v>
      </c>
    </row>
    <row r="193" spans="1:11" x14ac:dyDescent="0.3">
      <c r="A193" t="s">
        <v>129</v>
      </c>
      <c r="B193" s="2">
        <v>45699</v>
      </c>
      <c r="C193" t="s">
        <v>14</v>
      </c>
      <c r="D193" t="s">
        <v>10</v>
      </c>
      <c r="E193" t="s">
        <v>36</v>
      </c>
      <c r="F193" t="s">
        <v>12</v>
      </c>
      <c r="G193">
        <v>81081</v>
      </c>
      <c r="H193">
        <v>63243</v>
      </c>
      <c r="I193">
        <f>sales_data[[#This Row],[revenue]]-sales_data[[#This Row],[cost]]</f>
        <v>17838</v>
      </c>
      <c r="J193" s="1">
        <f>sales_data[[#This Row],[profit]]/sales_data[[#This Row],[revenue]]</f>
        <v>0.22000222000222</v>
      </c>
      <c r="K193" t="str">
        <f>IF(OR(sales_data[[#This Row],[revenue]]="",sales_data[[#This Row],[cost]]=""),"Check","OK")</f>
        <v>OK</v>
      </c>
    </row>
    <row r="194" spans="1:11" x14ac:dyDescent="0.3">
      <c r="A194" t="s">
        <v>130</v>
      </c>
      <c r="B194" s="2">
        <v>45704</v>
      </c>
      <c r="C194" t="s">
        <v>14</v>
      </c>
      <c r="D194" t="s">
        <v>10</v>
      </c>
      <c r="E194" t="s">
        <v>36</v>
      </c>
      <c r="F194" t="s">
        <v>12</v>
      </c>
      <c r="G194">
        <v>18975</v>
      </c>
      <c r="H194">
        <v>14231</v>
      </c>
      <c r="I194">
        <f>sales_data[[#This Row],[revenue]]-sales_data[[#This Row],[cost]]</f>
        <v>4744</v>
      </c>
      <c r="J194" s="1">
        <f>sales_data[[#This Row],[profit]]/sales_data[[#This Row],[revenue]]</f>
        <v>0.25001317523056654</v>
      </c>
      <c r="K194" t="str">
        <f>IF(OR(sales_data[[#This Row],[revenue]]="",sales_data[[#This Row],[cost]]=""),"Check","OK")</f>
        <v>OK</v>
      </c>
    </row>
    <row r="195" spans="1:11" x14ac:dyDescent="0.3">
      <c r="A195" t="s">
        <v>131</v>
      </c>
      <c r="B195" s="2">
        <v>45701</v>
      </c>
      <c r="C195" t="s">
        <v>22</v>
      </c>
      <c r="D195" t="s">
        <v>10</v>
      </c>
      <c r="E195" t="s">
        <v>38</v>
      </c>
      <c r="F195" t="s">
        <v>17</v>
      </c>
      <c r="G195">
        <v>75372</v>
      </c>
      <c r="H195">
        <v>60298</v>
      </c>
      <c r="I195">
        <f>sales_data[[#This Row],[revenue]]-sales_data[[#This Row],[cost]]</f>
        <v>15074</v>
      </c>
      <c r="J195" s="1">
        <f>sales_data[[#This Row],[profit]]/sales_data[[#This Row],[revenue]]</f>
        <v>0.19999469298943906</v>
      </c>
      <c r="K195" t="str">
        <f>IF(OR(sales_data[[#This Row],[revenue]]="",sales_data[[#This Row],[cost]]=""),"Check","OK")</f>
        <v>OK</v>
      </c>
    </row>
    <row r="196" spans="1:11" x14ac:dyDescent="0.3">
      <c r="A196" t="s">
        <v>132</v>
      </c>
      <c r="B196" s="2">
        <v>45703</v>
      </c>
      <c r="C196" t="s">
        <v>14</v>
      </c>
      <c r="D196" t="s">
        <v>23</v>
      </c>
      <c r="E196" t="s">
        <v>24</v>
      </c>
      <c r="F196" t="s">
        <v>12</v>
      </c>
      <c r="G196">
        <v>5847</v>
      </c>
      <c r="H196">
        <v>4678</v>
      </c>
      <c r="I196">
        <f>sales_data[[#This Row],[revenue]]-sales_data[[#This Row],[cost]]</f>
        <v>1169</v>
      </c>
      <c r="J196" s="1">
        <f>sales_data[[#This Row],[profit]]/sales_data[[#This Row],[revenue]]</f>
        <v>0.19993158884898238</v>
      </c>
      <c r="K196" t="str">
        <f>IF(OR(sales_data[[#This Row],[revenue]]="",sales_data[[#This Row],[cost]]=""),"Check","OK")</f>
        <v>OK</v>
      </c>
    </row>
    <row r="197" spans="1:11" x14ac:dyDescent="0.3">
      <c r="A197" t="s">
        <v>133</v>
      </c>
      <c r="B197" s="2">
        <v>45689</v>
      </c>
      <c r="C197" t="s">
        <v>9</v>
      </c>
      <c r="D197" t="s">
        <v>23</v>
      </c>
      <c r="E197" t="s">
        <v>36</v>
      </c>
      <c r="F197" t="s">
        <v>12</v>
      </c>
      <c r="G197">
        <v>84529</v>
      </c>
      <c r="H197">
        <v>54944</v>
      </c>
      <c r="I197">
        <f>sales_data[[#This Row],[revenue]]-sales_data[[#This Row],[cost]]</f>
        <v>29585</v>
      </c>
      <c r="J197" s="1">
        <f>sales_data[[#This Row],[profit]]/sales_data[[#This Row],[revenue]]</f>
        <v>0.34999822546108439</v>
      </c>
      <c r="K197" t="str">
        <f>IF(OR(sales_data[[#This Row],[revenue]]="",sales_data[[#This Row],[cost]]=""),"Check","OK")</f>
        <v>OK</v>
      </c>
    </row>
    <row r="198" spans="1:11" x14ac:dyDescent="0.3">
      <c r="A198" t="s">
        <v>134</v>
      </c>
      <c r="B198" s="2">
        <v>45694</v>
      </c>
      <c r="C198" t="s">
        <v>19</v>
      </c>
      <c r="D198" t="s">
        <v>15</v>
      </c>
      <c r="E198" t="s">
        <v>29</v>
      </c>
      <c r="F198" t="s">
        <v>12</v>
      </c>
      <c r="G198">
        <v>56845</v>
      </c>
      <c r="H198">
        <v>34675</v>
      </c>
      <c r="I198">
        <f>sales_data[[#This Row],[revenue]]-sales_data[[#This Row],[cost]]</f>
        <v>22170</v>
      </c>
      <c r="J198" s="1">
        <f>sales_data[[#This Row],[profit]]/sales_data[[#This Row],[revenue]]</f>
        <v>0.3900079162635236</v>
      </c>
      <c r="K198" t="str">
        <f>IF(OR(sales_data[[#This Row],[revenue]]="",sales_data[[#This Row],[cost]]=""),"Check","OK")</f>
        <v>OK</v>
      </c>
    </row>
    <row r="199" spans="1:11" x14ac:dyDescent="0.3">
      <c r="A199" t="s">
        <v>135</v>
      </c>
      <c r="B199" s="2">
        <v>45690</v>
      </c>
      <c r="C199" t="s">
        <v>22</v>
      </c>
      <c r="D199" t="s">
        <v>23</v>
      </c>
      <c r="E199" t="s">
        <v>29</v>
      </c>
      <c r="F199" t="s">
        <v>12</v>
      </c>
      <c r="G199">
        <v>87070</v>
      </c>
      <c r="H199">
        <v>56596</v>
      </c>
      <c r="I199">
        <f>sales_data[[#This Row],[revenue]]-sales_data[[#This Row],[cost]]</f>
        <v>30474</v>
      </c>
      <c r="J199" s="1">
        <f>sales_data[[#This Row],[profit]]/sales_data[[#This Row],[revenue]]</f>
        <v>0.3499942574939704</v>
      </c>
      <c r="K199" t="str">
        <f>IF(OR(sales_data[[#This Row],[revenue]]="",sales_data[[#This Row],[cost]]=""),"Check","OK")</f>
        <v>OK</v>
      </c>
    </row>
    <row r="200" spans="1:11" x14ac:dyDescent="0.3">
      <c r="A200" t="s">
        <v>136</v>
      </c>
      <c r="B200" s="2">
        <v>45709</v>
      </c>
      <c r="C200" t="s">
        <v>19</v>
      </c>
      <c r="D200" t="s">
        <v>10</v>
      </c>
      <c r="E200" t="s">
        <v>11</v>
      </c>
      <c r="F200" t="s">
        <v>12</v>
      </c>
      <c r="G200">
        <v>83149</v>
      </c>
      <c r="H200">
        <v>59867</v>
      </c>
      <c r="I200">
        <f>sales_data[[#This Row],[revenue]]-sales_data[[#This Row],[cost]]</f>
        <v>23282</v>
      </c>
      <c r="J200" s="1">
        <f>sales_data[[#This Row],[profit]]/sales_data[[#This Row],[revenue]]</f>
        <v>0.28000336744879673</v>
      </c>
      <c r="K200" t="str">
        <f>IF(OR(sales_data[[#This Row],[revenue]]="",sales_data[[#This Row],[cost]]=""),"Check","OK")</f>
        <v>OK</v>
      </c>
    </row>
    <row r="201" spans="1:11" x14ac:dyDescent="0.3">
      <c r="A201" t="s">
        <v>137</v>
      </c>
      <c r="B201" s="2">
        <v>45709</v>
      </c>
      <c r="C201" t="s">
        <v>19</v>
      </c>
      <c r="D201" t="s">
        <v>23</v>
      </c>
      <c r="E201" t="s">
        <v>36</v>
      </c>
      <c r="F201" t="s">
        <v>17</v>
      </c>
      <c r="G201">
        <v>82636</v>
      </c>
      <c r="H201">
        <v>63630</v>
      </c>
      <c r="I201">
        <f>sales_data[[#This Row],[revenue]]-sales_data[[#This Row],[cost]]</f>
        <v>19006</v>
      </c>
      <c r="J201" s="1">
        <f>sales_data[[#This Row],[profit]]/sales_data[[#This Row],[revenue]]</f>
        <v>0.22999661164625587</v>
      </c>
      <c r="K201" t="str">
        <f>IF(OR(sales_data[[#This Row],[revenue]]="",sales_data[[#This Row],[cost]]=""),"Check","OK")</f>
        <v>OK</v>
      </c>
    </row>
    <row r="202" spans="1:11" x14ac:dyDescent="0.3">
      <c r="A202" t="s">
        <v>138</v>
      </c>
      <c r="B202" s="2">
        <v>45696</v>
      </c>
      <c r="C202" t="s">
        <v>19</v>
      </c>
      <c r="D202" t="s">
        <v>15</v>
      </c>
      <c r="E202" t="s">
        <v>11</v>
      </c>
      <c r="F202" t="s">
        <v>12</v>
      </c>
      <c r="G202">
        <v>56295</v>
      </c>
      <c r="H202">
        <v>43910</v>
      </c>
      <c r="I202">
        <f>sales_data[[#This Row],[revenue]]-sales_data[[#This Row],[cost]]</f>
        <v>12385</v>
      </c>
      <c r="J202" s="1">
        <f>sales_data[[#This Row],[profit]]/sales_data[[#This Row],[revenue]]</f>
        <v>0.22000177635669244</v>
      </c>
      <c r="K202" t="str">
        <f>IF(OR(sales_data[[#This Row],[revenue]]="",sales_data[[#This Row],[cost]]=""),"Check","OK")</f>
        <v>OK</v>
      </c>
    </row>
    <row r="203" spans="1:11" x14ac:dyDescent="0.3">
      <c r="A203" t="s">
        <v>139</v>
      </c>
      <c r="B203" s="2">
        <v>45706</v>
      </c>
      <c r="C203" t="s">
        <v>19</v>
      </c>
      <c r="D203" t="s">
        <v>15</v>
      </c>
      <c r="E203" t="s">
        <v>11</v>
      </c>
      <c r="F203" t="s">
        <v>12</v>
      </c>
      <c r="G203">
        <v>27854</v>
      </c>
      <c r="H203">
        <v>19219</v>
      </c>
      <c r="I203">
        <f>sales_data[[#This Row],[revenue]]-sales_data[[#This Row],[cost]]</f>
        <v>8635</v>
      </c>
      <c r="J203" s="1">
        <f>sales_data[[#This Row],[profit]]/sales_data[[#This Row],[revenue]]</f>
        <v>0.31000933438644362</v>
      </c>
      <c r="K203" t="str">
        <f>IF(OR(sales_data[[#This Row],[revenue]]="",sales_data[[#This Row],[cost]]=""),"Check","OK")</f>
        <v>OK</v>
      </c>
    </row>
    <row r="204" spans="1:11" x14ac:dyDescent="0.3">
      <c r="A204" t="s">
        <v>140</v>
      </c>
      <c r="B204" s="2">
        <v>45704</v>
      </c>
      <c r="C204" t="s">
        <v>14</v>
      </c>
      <c r="D204" t="s">
        <v>15</v>
      </c>
      <c r="E204" t="s">
        <v>26</v>
      </c>
      <c r="F204" t="s">
        <v>12</v>
      </c>
      <c r="G204">
        <v>74997</v>
      </c>
      <c r="H204">
        <v>56248</v>
      </c>
      <c r="I204">
        <f>sales_data[[#This Row],[revenue]]-sales_data[[#This Row],[cost]]</f>
        <v>18749</v>
      </c>
      <c r="J204" s="1">
        <f>sales_data[[#This Row],[profit]]/sales_data[[#This Row],[revenue]]</f>
        <v>0.249996666533328</v>
      </c>
      <c r="K204" t="str">
        <f>IF(OR(sales_data[[#This Row],[revenue]]="",sales_data[[#This Row],[cost]]=""),"Check","OK")</f>
        <v>OK</v>
      </c>
    </row>
    <row r="205" spans="1:11" x14ac:dyDescent="0.3">
      <c r="A205" t="s">
        <v>141</v>
      </c>
      <c r="B205" s="2">
        <v>45708</v>
      </c>
      <c r="C205" t="s">
        <v>19</v>
      </c>
      <c r="D205" t="s">
        <v>10</v>
      </c>
      <c r="E205" t="s">
        <v>32</v>
      </c>
      <c r="F205" t="s">
        <v>17</v>
      </c>
      <c r="G205">
        <v>59619</v>
      </c>
      <c r="H205">
        <v>44714</v>
      </c>
      <c r="I205">
        <f>sales_data[[#This Row],[revenue]]-sales_data[[#This Row],[cost]]</f>
        <v>14905</v>
      </c>
      <c r="J205" s="1">
        <f>sales_data[[#This Row],[profit]]/sales_data[[#This Row],[revenue]]</f>
        <v>0.25000419329408408</v>
      </c>
      <c r="K205" t="str">
        <f>IF(OR(sales_data[[#This Row],[revenue]]="",sales_data[[#This Row],[cost]]=""),"Check","OK")</f>
        <v>OK</v>
      </c>
    </row>
    <row r="206" spans="1:11" x14ac:dyDescent="0.3">
      <c r="A206" t="s">
        <v>142</v>
      </c>
      <c r="B206" s="2">
        <v>45694</v>
      </c>
      <c r="C206" t="s">
        <v>19</v>
      </c>
      <c r="D206" t="s">
        <v>10</v>
      </c>
      <c r="E206" t="s">
        <v>20</v>
      </c>
      <c r="F206" t="s">
        <v>17</v>
      </c>
      <c r="G206">
        <v>57974</v>
      </c>
      <c r="H206">
        <v>40582</v>
      </c>
      <c r="I206">
        <f>sales_data[[#This Row],[revenue]]-sales_data[[#This Row],[cost]]</f>
        <v>17392</v>
      </c>
      <c r="J206" s="1">
        <f>sales_data[[#This Row],[profit]]/sales_data[[#This Row],[revenue]]</f>
        <v>0.29999655017766585</v>
      </c>
      <c r="K206" t="str">
        <f>IF(OR(sales_data[[#This Row],[revenue]]="",sales_data[[#This Row],[cost]]=""),"Check","OK")</f>
        <v>OK</v>
      </c>
    </row>
    <row r="207" spans="1:11" x14ac:dyDescent="0.3">
      <c r="A207" t="s">
        <v>143</v>
      </c>
      <c r="B207" s="2">
        <v>45704</v>
      </c>
      <c r="C207" t="s">
        <v>14</v>
      </c>
      <c r="D207" t="s">
        <v>15</v>
      </c>
      <c r="E207" t="s">
        <v>20</v>
      </c>
      <c r="F207" t="s">
        <v>17</v>
      </c>
      <c r="G207">
        <v>73212</v>
      </c>
      <c r="H207">
        <v>51248</v>
      </c>
      <c r="I207">
        <f>sales_data[[#This Row],[revenue]]-sales_data[[#This Row],[cost]]</f>
        <v>21964</v>
      </c>
      <c r="J207" s="1">
        <f>sales_data[[#This Row],[profit]]/sales_data[[#This Row],[revenue]]</f>
        <v>0.30000546358520463</v>
      </c>
      <c r="K207" t="str">
        <f>IF(OR(sales_data[[#This Row],[revenue]]="",sales_data[[#This Row],[cost]]=""),"Check","OK")</f>
        <v>OK</v>
      </c>
    </row>
    <row r="208" spans="1:11" x14ac:dyDescent="0.3">
      <c r="A208" t="s">
        <v>144</v>
      </c>
      <c r="B208" s="2">
        <v>45699</v>
      </c>
      <c r="C208" t="s">
        <v>9</v>
      </c>
      <c r="D208" t="s">
        <v>15</v>
      </c>
      <c r="E208" t="s">
        <v>36</v>
      </c>
      <c r="F208" t="s">
        <v>17</v>
      </c>
      <c r="G208">
        <v>85150</v>
      </c>
      <c r="H208">
        <v>63863</v>
      </c>
      <c r="I208">
        <f>sales_data[[#This Row],[revenue]]-sales_data[[#This Row],[cost]]</f>
        <v>21287</v>
      </c>
      <c r="J208" s="1">
        <f>sales_data[[#This Row],[profit]]/sales_data[[#This Row],[revenue]]</f>
        <v>0.24999412800939519</v>
      </c>
      <c r="K208" t="str">
        <f>IF(OR(sales_data[[#This Row],[revenue]]="",sales_data[[#This Row],[cost]]=""),"Check","OK")</f>
        <v>OK</v>
      </c>
    </row>
    <row r="209" spans="1:11" x14ac:dyDescent="0.3">
      <c r="A209" t="s">
        <v>145</v>
      </c>
      <c r="B209" s="2">
        <v>45706</v>
      </c>
      <c r="C209" t="s">
        <v>19</v>
      </c>
      <c r="D209" t="s">
        <v>15</v>
      </c>
      <c r="E209" t="s">
        <v>24</v>
      </c>
      <c r="F209" t="s">
        <v>17</v>
      </c>
      <c r="G209">
        <v>57263</v>
      </c>
      <c r="H209">
        <v>45238</v>
      </c>
      <c r="I209">
        <f>sales_data[[#This Row],[revenue]]-sales_data[[#This Row],[cost]]</f>
        <v>12025</v>
      </c>
      <c r="J209" s="1">
        <f>sales_data[[#This Row],[profit]]/sales_data[[#This Row],[revenue]]</f>
        <v>0.2099959834448073</v>
      </c>
      <c r="K209" t="str">
        <f>IF(OR(sales_data[[#This Row],[revenue]]="",sales_data[[#This Row],[cost]]=""),"Check","OK")</f>
        <v>OK</v>
      </c>
    </row>
    <row r="210" spans="1:11" x14ac:dyDescent="0.3">
      <c r="A210" t="s">
        <v>146</v>
      </c>
      <c r="B210" s="2">
        <v>45707</v>
      </c>
      <c r="C210" t="s">
        <v>22</v>
      </c>
      <c r="D210" t="s">
        <v>23</v>
      </c>
      <c r="E210" t="s">
        <v>38</v>
      </c>
      <c r="F210" t="s">
        <v>17</v>
      </c>
      <c r="G210">
        <v>45146</v>
      </c>
      <c r="H210">
        <v>30699</v>
      </c>
      <c r="I210">
        <f>sales_data[[#This Row],[revenue]]-sales_data[[#This Row],[cost]]</f>
        <v>14447</v>
      </c>
      <c r="J210" s="1">
        <f>sales_data[[#This Row],[profit]]/sales_data[[#This Row],[revenue]]</f>
        <v>0.32000620209985381</v>
      </c>
      <c r="K210" t="str">
        <f>IF(OR(sales_data[[#This Row],[revenue]]="",sales_data[[#This Row],[cost]]=""),"Check","OK")</f>
        <v>OK</v>
      </c>
    </row>
    <row r="211" spans="1:11" x14ac:dyDescent="0.3">
      <c r="A211" t="s">
        <v>147</v>
      </c>
      <c r="B211" s="2">
        <v>45708</v>
      </c>
      <c r="C211" t="s">
        <v>9</v>
      </c>
      <c r="D211" t="s">
        <v>10</v>
      </c>
      <c r="E211" t="s">
        <v>38</v>
      </c>
      <c r="F211" t="s">
        <v>17</v>
      </c>
      <c r="G211">
        <v>75630</v>
      </c>
      <c r="H211">
        <v>47647</v>
      </c>
      <c r="I211">
        <f>sales_data[[#This Row],[revenue]]-sales_data[[#This Row],[cost]]</f>
        <v>27983</v>
      </c>
      <c r="J211" s="1">
        <f>sales_data[[#This Row],[profit]]/sales_data[[#This Row],[revenue]]</f>
        <v>0.36999867777337037</v>
      </c>
      <c r="K211" t="str">
        <f>IF(OR(sales_data[[#This Row],[revenue]]="",sales_data[[#This Row],[cost]]=""),"Check","OK")</f>
        <v>OK</v>
      </c>
    </row>
    <row r="212" spans="1:11" x14ac:dyDescent="0.3">
      <c r="A212" t="s">
        <v>148</v>
      </c>
      <c r="B212" s="2">
        <v>45713</v>
      </c>
      <c r="C212" t="s">
        <v>19</v>
      </c>
      <c r="D212" t="s">
        <v>10</v>
      </c>
      <c r="E212" t="s">
        <v>36</v>
      </c>
      <c r="F212" t="s">
        <v>17</v>
      </c>
      <c r="G212">
        <v>64972</v>
      </c>
      <c r="H212">
        <v>50678</v>
      </c>
      <c r="I212">
        <f>sales_data[[#This Row],[revenue]]-sales_data[[#This Row],[cost]]</f>
        <v>14294</v>
      </c>
      <c r="J212" s="1">
        <f>sales_data[[#This Row],[profit]]/sales_data[[#This Row],[revenue]]</f>
        <v>0.22000246259927353</v>
      </c>
      <c r="K212" t="str">
        <f>IF(OR(sales_data[[#This Row],[revenue]]="",sales_data[[#This Row],[cost]]=""),"Check","OK")</f>
        <v>OK</v>
      </c>
    </row>
    <row r="213" spans="1:11" x14ac:dyDescent="0.3">
      <c r="A213" t="s">
        <v>149</v>
      </c>
      <c r="B213" s="2">
        <v>45689</v>
      </c>
      <c r="C213" t="s">
        <v>9</v>
      </c>
      <c r="D213" t="s">
        <v>15</v>
      </c>
      <c r="E213" t="s">
        <v>36</v>
      </c>
      <c r="F213" t="s">
        <v>12</v>
      </c>
      <c r="G213">
        <v>11898</v>
      </c>
      <c r="H213">
        <v>7615</v>
      </c>
      <c r="I213">
        <f>sales_data[[#This Row],[revenue]]-sales_data[[#This Row],[cost]]</f>
        <v>4283</v>
      </c>
      <c r="J213" s="1">
        <f>sales_data[[#This Row],[profit]]/sales_data[[#This Row],[revenue]]</f>
        <v>0.35997646663304755</v>
      </c>
      <c r="K213" t="str">
        <f>IF(OR(sales_data[[#This Row],[revenue]]="",sales_data[[#This Row],[cost]]=""),"Check","OK")</f>
        <v>OK</v>
      </c>
    </row>
    <row r="214" spans="1:11" x14ac:dyDescent="0.3">
      <c r="A214" t="s">
        <v>150</v>
      </c>
      <c r="B214" s="2">
        <v>45689</v>
      </c>
      <c r="C214" t="s">
        <v>9</v>
      </c>
      <c r="D214" t="s">
        <v>10</v>
      </c>
      <c r="E214" t="s">
        <v>26</v>
      </c>
      <c r="F214" t="s">
        <v>12</v>
      </c>
      <c r="G214">
        <v>62911</v>
      </c>
      <c r="H214">
        <v>43409</v>
      </c>
      <c r="I214">
        <f>sales_data[[#This Row],[revenue]]-sales_data[[#This Row],[cost]]</f>
        <v>19502</v>
      </c>
      <c r="J214" s="1">
        <f>sales_data[[#This Row],[profit]]/sales_data[[#This Row],[revenue]]</f>
        <v>0.30999348285673411</v>
      </c>
      <c r="K214" t="str">
        <f>IF(OR(sales_data[[#This Row],[revenue]]="",sales_data[[#This Row],[cost]]=""),"Check","OK")</f>
        <v>OK</v>
      </c>
    </row>
    <row r="215" spans="1:11" x14ac:dyDescent="0.3">
      <c r="A215" t="s">
        <v>151</v>
      </c>
      <c r="B215" s="2">
        <v>45697</v>
      </c>
      <c r="C215" t="s">
        <v>19</v>
      </c>
      <c r="D215" t="s">
        <v>10</v>
      </c>
      <c r="E215" t="s">
        <v>29</v>
      </c>
      <c r="F215" t="s">
        <v>17</v>
      </c>
      <c r="G215">
        <v>89576</v>
      </c>
      <c r="H215">
        <v>59120</v>
      </c>
      <c r="I215">
        <f>sales_data[[#This Row],[revenue]]-sales_data[[#This Row],[cost]]</f>
        <v>30456</v>
      </c>
      <c r="J215" s="1">
        <f>sales_data[[#This Row],[profit]]/sales_data[[#This Row],[revenue]]</f>
        <v>0.34000178619273019</v>
      </c>
      <c r="K215" t="str">
        <f>IF(OR(sales_data[[#This Row],[revenue]]="",sales_data[[#This Row],[cost]]=""),"Check","OK")</f>
        <v>OK</v>
      </c>
    </row>
    <row r="216" spans="1:11" x14ac:dyDescent="0.3">
      <c r="A216" t="s">
        <v>152</v>
      </c>
      <c r="B216" s="2">
        <v>45711</v>
      </c>
      <c r="C216" t="s">
        <v>19</v>
      </c>
      <c r="D216" t="s">
        <v>23</v>
      </c>
      <c r="E216" t="s">
        <v>34</v>
      </c>
      <c r="F216" t="s">
        <v>17</v>
      </c>
      <c r="G216">
        <v>49851</v>
      </c>
      <c r="H216">
        <v>31905</v>
      </c>
      <c r="I216">
        <f>sales_data[[#This Row],[revenue]]-sales_data[[#This Row],[cost]]</f>
        <v>17946</v>
      </c>
      <c r="J216" s="1">
        <f>sales_data[[#This Row],[profit]]/sales_data[[#This Row],[revenue]]</f>
        <v>0.35999277847986999</v>
      </c>
      <c r="K216" t="str">
        <f>IF(OR(sales_data[[#This Row],[revenue]]="",sales_data[[#This Row],[cost]]=""),"Check","OK")</f>
        <v>OK</v>
      </c>
    </row>
    <row r="217" spans="1:11" x14ac:dyDescent="0.3">
      <c r="A217" t="s">
        <v>153</v>
      </c>
      <c r="B217" s="2">
        <v>45705</v>
      </c>
      <c r="C217" t="s">
        <v>9</v>
      </c>
      <c r="D217" t="s">
        <v>23</v>
      </c>
      <c r="E217" t="s">
        <v>29</v>
      </c>
      <c r="F217" t="s">
        <v>12</v>
      </c>
      <c r="G217">
        <v>19130</v>
      </c>
      <c r="H217">
        <v>13008</v>
      </c>
      <c r="I217">
        <f>sales_data[[#This Row],[revenue]]-sales_data[[#This Row],[cost]]</f>
        <v>6122</v>
      </c>
      <c r="J217" s="1">
        <f>sales_data[[#This Row],[profit]]/sales_data[[#This Row],[revenue]]</f>
        <v>0.3200209095661265</v>
      </c>
      <c r="K217" t="str">
        <f>IF(OR(sales_data[[#This Row],[revenue]]="",sales_data[[#This Row],[cost]]=""),"Check","OK")</f>
        <v>OK</v>
      </c>
    </row>
    <row r="218" spans="1:11" x14ac:dyDescent="0.3">
      <c r="A218" t="s">
        <v>154</v>
      </c>
      <c r="B218" s="2">
        <v>45690</v>
      </c>
      <c r="C218" t="s">
        <v>22</v>
      </c>
      <c r="D218" t="s">
        <v>23</v>
      </c>
      <c r="E218" t="s">
        <v>29</v>
      </c>
      <c r="F218" t="s">
        <v>17</v>
      </c>
      <c r="G218">
        <v>19466</v>
      </c>
      <c r="H218">
        <v>12653</v>
      </c>
      <c r="I218">
        <f>sales_data[[#This Row],[revenue]]-sales_data[[#This Row],[cost]]</f>
        <v>6813</v>
      </c>
      <c r="J218" s="1">
        <f>sales_data[[#This Row],[profit]]/sales_data[[#This Row],[revenue]]</f>
        <v>0.34999486283776843</v>
      </c>
      <c r="K218" t="str">
        <f>IF(OR(sales_data[[#This Row],[revenue]]="",sales_data[[#This Row],[cost]]=""),"Check","OK")</f>
        <v>OK</v>
      </c>
    </row>
    <row r="219" spans="1:11" x14ac:dyDescent="0.3">
      <c r="A219" t="s">
        <v>155</v>
      </c>
      <c r="B219" s="2">
        <v>45700</v>
      </c>
      <c r="C219" t="s">
        <v>22</v>
      </c>
      <c r="D219" t="s">
        <v>10</v>
      </c>
      <c r="E219" t="s">
        <v>32</v>
      </c>
      <c r="F219" t="s">
        <v>12</v>
      </c>
      <c r="G219">
        <v>42856</v>
      </c>
      <c r="H219">
        <v>27856</v>
      </c>
      <c r="I219">
        <f>sales_data[[#This Row],[revenue]]-sales_data[[#This Row],[cost]]</f>
        <v>15000</v>
      </c>
      <c r="J219" s="1">
        <f>sales_data[[#This Row],[profit]]/sales_data[[#This Row],[revenue]]</f>
        <v>0.35000933358222885</v>
      </c>
      <c r="K219" t="str">
        <f>IF(OR(sales_data[[#This Row],[revenue]]="",sales_data[[#This Row],[cost]]=""),"Check","OK")</f>
        <v>OK</v>
      </c>
    </row>
    <row r="220" spans="1:11" x14ac:dyDescent="0.3">
      <c r="A220" t="s">
        <v>156</v>
      </c>
      <c r="B220" s="2">
        <v>45694</v>
      </c>
      <c r="C220" t="s">
        <v>9</v>
      </c>
      <c r="D220" t="s">
        <v>15</v>
      </c>
      <c r="E220" t="s">
        <v>11</v>
      </c>
      <c r="F220" t="s">
        <v>12</v>
      </c>
      <c r="G220">
        <v>19435</v>
      </c>
      <c r="H220">
        <v>15548</v>
      </c>
      <c r="I220">
        <f>sales_data[[#This Row],[revenue]]-sales_data[[#This Row],[cost]]</f>
        <v>3887</v>
      </c>
      <c r="J220" s="1">
        <f>sales_data[[#This Row],[profit]]/sales_data[[#This Row],[revenue]]</f>
        <v>0.2</v>
      </c>
      <c r="K220" t="str">
        <f>IF(OR(sales_data[[#This Row],[revenue]]="",sales_data[[#This Row],[cost]]=""),"Check","OK")</f>
        <v>OK</v>
      </c>
    </row>
    <row r="221" spans="1:11" x14ac:dyDescent="0.3">
      <c r="A221" t="s">
        <v>157</v>
      </c>
      <c r="B221" s="2">
        <v>45695</v>
      </c>
      <c r="C221" t="s">
        <v>9</v>
      </c>
      <c r="D221" t="s">
        <v>23</v>
      </c>
      <c r="E221" t="s">
        <v>32</v>
      </c>
      <c r="F221" t="s">
        <v>17</v>
      </c>
      <c r="G221">
        <v>68585</v>
      </c>
      <c r="H221">
        <v>43209</v>
      </c>
      <c r="I221">
        <f>sales_data[[#This Row],[revenue]]-sales_data[[#This Row],[cost]]</f>
        <v>25376</v>
      </c>
      <c r="J221" s="1">
        <f>sales_data[[#This Row],[profit]]/sales_data[[#This Row],[revenue]]</f>
        <v>0.36999343879857111</v>
      </c>
      <c r="K221" t="str">
        <f>IF(OR(sales_data[[#This Row],[revenue]]="",sales_data[[#This Row],[cost]]=""),"Check","OK")</f>
        <v>OK</v>
      </c>
    </row>
    <row r="222" spans="1:11" x14ac:dyDescent="0.3">
      <c r="A222" t="s">
        <v>158</v>
      </c>
      <c r="B222" s="2">
        <v>45698</v>
      </c>
      <c r="C222" t="s">
        <v>14</v>
      </c>
      <c r="D222" t="s">
        <v>15</v>
      </c>
      <c r="E222" t="s">
        <v>34</v>
      </c>
      <c r="F222" t="s">
        <v>17</v>
      </c>
      <c r="G222">
        <v>53031</v>
      </c>
      <c r="H222">
        <v>37652</v>
      </c>
      <c r="I222">
        <f>sales_data[[#This Row],[revenue]]-sales_data[[#This Row],[cost]]</f>
        <v>15379</v>
      </c>
      <c r="J222" s="1">
        <f>sales_data[[#This Row],[profit]]/sales_data[[#This Row],[revenue]]</f>
        <v>0.29000018856895021</v>
      </c>
      <c r="K222" t="str">
        <f>IF(OR(sales_data[[#This Row],[revenue]]="",sales_data[[#This Row],[cost]]=""),"Check","OK")</f>
        <v>OK</v>
      </c>
    </row>
    <row r="223" spans="1:11" x14ac:dyDescent="0.3">
      <c r="A223" t="s">
        <v>159</v>
      </c>
      <c r="B223" s="2">
        <v>45715</v>
      </c>
      <c r="C223" t="s">
        <v>22</v>
      </c>
      <c r="D223" t="s">
        <v>23</v>
      </c>
      <c r="E223" t="s">
        <v>24</v>
      </c>
      <c r="F223" t="s">
        <v>17</v>
      </c>
      <c r="G223">
        <v>63036</v>
      </c>
      <c r="H223">
        <v>43495</v>
      </c>
      <c r="I223">
        <f>sales_data[[#This Row],[revenue]]-sales_data[[#This Row],[cost]]</f>
        <v>19541</v>
      </c>
      <c r="J223" s="1">
        <f>sales_data[[#This Row],[profit]]/sales_data[[#This Row],[revenue]]</f>
        <v>0.30999746176787868</v>
      </c>
      <c r="K223" t="str">
        <f>IF(OR(sales_data[[#This Row],[revenue]]="",sales_data[[#This Row],[cost]]=""),"Check","OK")</f>
        <v>OK</v>
      </c>
    </row>
    <row r="224" spans="1:11" x14ac:dyDescent="0.3">
      <c r="A224" t="s">
        <v>160</v>
      </c>
      <c r="B224" s="2">
        <v>45707</v>
      </c>
      <c r="C224" t="s">
        <v>22</v>
      </c>
      <c r="D224" t="s">
        <v>23</v>
      </c>
      <c r="E224" t="s">
        <v>38</v>
      </c>
      <c r="F224" t="s">
        <v>17</v>
      </c>
      <c r="G224">
        <v>65939</v>
      </c>
      <c r="H224">
        <v>47476</v>
      </c>
      <c r="I224">
        <f>sales_data[[#This Row],[revenue]]-sales_data[[#This Row],[cost]]</f>
        <v>18463</v>
      </c>
      <c r="J224" s="1">
        <f>sales_data[[#This Row],[profit]]/sales_data[[#This Row],[revenue]]</f>
        <v>0.28000121324254235</v>
      </c>
      <c r="K224" t="str">
        <f>IF(OR(sales_data[[#This Row],[revenue]]="",sales_data[[#This Row],[cost]]=""),"Check","OK")</f>
        <v>OK</v>
      </c>
    </row>
    <row r="225" spans="1:11" x14ac:dyDescent="0.3">
      <c r="A225" t="s">
        <v>161</v>
      </c>
      <c r="B225" s="2">
        <v>45690</v>
      </c>
      <c r="C225" t="s">
        <v>22</v>
      </c>
      <c r="D225" t="s">
        <v>10</v>
      </c>
      <c r="E225" t="s">
        <v>38</v>
      </c>
      <c r="F225" t="s">
        <v>17</v>
      </c>
      <c r="G225">
        <v>34316</v>
      </c>
      <c r="H225">
        <v>26080</v>
      </c>
      <c r="I225">
        <f>sales_data[[#This Row],[revenue]]-sales_data[[#This Row],[cost]]</f>
        <v>8236</v>
      </c>
      <c r="J225" s="1">
        <f>sales_data[[#This Row],[profit]]/sales_data[[#This Row],[revenue]]</f>
        <v>0.24000466254808253</v>
      </c>
      <c r="K225" t="str">
        <f>IF(OR(sales_data[[#This Row],[revenue]]="",sales_data[[#This Row],[cost]]=""),"Check","OK")</f>
        <v>OK</v>
      </c>
    </row>
    <row r="226" spans="1:11" x14ac:dyDescent="0.3">
      <c r="A226" t="s">
        <v>162</v>
      </c>
      <c r="B226" s="2">
        <v>45700</v>
      </c>
      <c r="C226" t="s">
        <v>22</v>
      </c>
      <c r="D226" t="s">
        <v>10</v>
      </c>
      <c r="E226" t="s">
        <v>20</v>
      </c>
      <c r="F226" t="s">
        <v>17</v>
      </c>
      <c r="G226">
        <v>80234</v>
      </c>
      <c r="H226">
        <v>50547</v>
      </c>
      <c r="I226">
        <f>sales_data[[#This Row],[revenue]]-sales_data[[#This Row],[cost]]</f>
        <v>29687</v>
      </c>
      <c r="J226" s="1">
        <f>sales_data[[#This Row],[profit]]/sales_data[[#This Row],[revenue]]</f>
        <v>0.37000523468853602</v>
      </c>
      <c r="K226" t="str">
        <f>IF(OR(sales_data[[#This Row],[revenue]]="",sales_data[[#This Row],[cost]]=""),"Check","OK")</f>
        <v>OK</v>
      </c>
    </row>
    <row r="227" spans="1:11" x14ac:dyDescent="0.3">
      <c r="A227" t="s">
        <v>163</v>
      </c>
      <c r="B227" s="2">
        <v>45693</v>
      </c>
      <c r="C227" t="s">
        <v>9</v>
      </c>
      <c r="D227" t="s">
        <v>15</v>
      </c>
      <c r="E227" t="s">
        <v>16</v>
      </c>
      <c r="F227" t="s">
        <v>12</v>
      </c>
      <c r="G227">
        <v>94126</v>
      </c>
      <c r="H227">
        <v>67771</v>
      </c>
      <c r="I227">
        <f>sales_data[[#This Row],[revenue]]-sales_data[[#This Row],[cost]]</f>
        <v>26355</v>
      </c>
      <c r="J227" s="1">
        <f>sales_data[[#This Row],[profit]]/sales_data[[#This Row],[revenue]]</f>
        <v>0.27999702526400783</v>
      </c>
      <c r="K227" t="str">
        <f>IF(OR(sales_data[[#This Row],[revenue]]="",sales_data[[#This Row],[cost]]=""),"Check","OK")</f>
        <v>OK</v>
      </c>
    </row>
    <row r="228" spans="1:11" x14ac:dyDescent="0.3">
      <c r="A228" t="s">
        <v>164</v>
      </c>
      <c r="B228" s="2">
        <v>45712</v>
      </c>
      <c r="C228" t="s">
        <v>22</v>
      </c>
      <c r="D228" t="s">
        <v>23</v>
      </c>
      <c r="E228" t="s">
        <v>34</v>
      </c>
      <c r="F228" t="s">
        <v>17</v>
      </c>
      <c r="G228">
        <v>94004</v>
      </c>
      <c r="H228">
        <v>56402</v>
      </c>
      <c r="I228">
        <f>sales_data[[#This Row],[revenue]]-sales_data[[#This Row],[cost]]</f>
        <v>37602</v>
      </c>
      <c r="J228" s="1">
        <f>sales_data[[#This Row],[profit]]/sales_data[[#This Row],[revenue]]</f>
        <v>0.40000425513807925</v>
      </c>
      <c r="K228" t="str">
        <f>IF(OR(sales_data[[#This Row],[revenue]]="",sales_data[[#This Row],[cost]]=""),"Check","OK")</f>
        <v>OK</v>
      </c>
    </row>
    <row r="229" spans="1:11" x14ac:dyDescent="0.3">
      <c r="A229" t="s">
        <v>165</v>
      </c>
      <c r="B229" s="2">
        <v>45706</v>
      </c>
      <c r="C229" t="s">
        <v>22</v>
      </c>
      <c r="D229" t="s">
        <v>10</v>
      </c>
      <c r="E229" t="s">
        <v>11</v>
      </c>
      <c r="F229" t="s">
        <v>17</v>
      </c>
      <c r="G229">
        <v>43641</v>
      </c>
      <c r="H229">
        <v>29676</v>
      </c>
      <c r="I229">
        <f>sales_data[[#This Row],[revenue]]-sales_data[[#This Row],[cost]]</f>
        <v>13965</v>
      </c>
      <c r="J229" s="1">
        <f>sales_data[[#This Row],[profit]]/sales_data[[#This Row],[revenue]]</f>
        <v>0.31999725029215648</v>
      </c>
      <c r="K229" t="str">
        <f>IF(OR(sales_data[[#This Row],[revenue]]="",sales_data[[#This Row],[cost]]=""),"Check","OK")</f>
        <v>OK</v>
      </c>
    </row>
    <row r="230" spans="1:11" x14ac:dyDescent="0.3">
      <c r="A230" t="s">
        <v>166</v>
      </c>
      <c r="B230" s="2">
        <v>45705</v>
      </c>
      <c r="C230" t="s">
        <v>9</v>
      </c>
      <c r="D230" t="s">
        <v>15</v>
      </c>
      <c r="E230" t="s">
        <v>26</v>
      </c>
      <c r="F230" t="s">
        <v>12</v>
      </c>
      <c r="G230">
        <v>31381</v>
      </c>
      <c r="H230">
        <v>24163</v>
      </c>
      <c r="I230">
        <f>sales_data[[#This Row],[revenue]]-sales_data[[#This Row],[cost]]</f>
        <v>7218</v>
      </c>
      <c r="J230" s="1">
        <f>sales_data[[#This Row],[profit]]/sales_data[[#This Row],[revenue]]</f>
        <v>0.23001179057391416</v>
      </c>
      <c r="K230" t="str">
        <f>IF(OR(sales_data[[#This Row],[revenue]]="",sales_data[[#This Row],[cost]]=""),"Check","OK")</f>
        <v>OK</v>
      </c>
    </row>
    <row r="231" spans="1:11" x14ac:dyDescent="0.3">
      <c r="A231" t="s">
        <v>167</v>
      </c>
      <c r="B231" s="2">
        <v>45704</v>
      </c>
      <c r="C231" t="s">
        <v>22</v>
      </c>
      <c r="D231" t="s">
        <v>10</v>
      </c>
      <c r="E231" t="s">
        <v>32</v>
      </c>
      <c r="F231" t="s">
        <v>12</v>
      </c>
      <c r="G231">
        <v>90209</v>
      </c>
      <c r="H231">
        <v>66755</v>
      </c>
      <c r="I231">
        <f>sales_data[[#This Row],[revenue]]-sales_data[[#This Row],[cost]]</f>
        <v>23454</v>
      </c>
      <c r="J231" s="1">
        <f>sales_data[[#This Row],[profit]]/sales_data[[#This Row],[revenue]]</f>
        <v>0.25999623097473645</v>
      </c>
      <c r="K231" t="str">
        <f>IF(OR(sales_data[[#This Row],[revenue]]="",sales_data[[#This Row],[cost]]=""),"Check","OK")</f>
        <v>OK</v>
      </c>
    </row>
    <row r="232" spans="1:11" x14ac:dyDescent="0.3">
      <c r="A232" t="s">
        <v>168</v>
      </c>
      <c r="B232" s="2">
        <v>45714</v>
      </c>
      <c r="C232" t="s">
        <v>19</v>
      </c>
      <c r="D232" t="s">
        <v>23</v>
      </c>
      <c r="E232" t="s">
        <v>32</v>
      </c>
      <c r="F232" t="s">
        <v>17</v>
      </c>
      <c r="G232">
        <v>15940</v>
      </c>
      <c r="H232">
        <v>10520</v>
      </c>
      <c r="I232">
        <f>sales_data[[#This Row],[revenue]]-sales_data[[#This Row],[cost]]</f>
        <v>5420</v>
      </c>
      <c r="J232" s="1">
        <f>sales_data[[#This Row],[profit]]/sales_data[[#This Row],[revenue]]</f>
        <v>0.34002509410288584</v>
      </c>
      <c r="K232" t="str">
        <f>IF(OR(sales_data[[#This Row],[revenue]]="",sales_data[[#This Row],[cost]]=""),"Check","OK")</f>
        <v>OK</v>
      </c>
    </row>
    <row r="233" spans="1:11" x14ac:dyDescent="0.3">
      <c r="A233" t="s">
        <v>169</v>
      </c>
      <c r="B233" s="2">
        <v>45713</v>
      </c>
      <c r="C233" t="s">
        <v>19</v>
      </c>
      <c r="D233" t="s">
        <v>10</v>
      </c>
      <c r="E233" t="s">
        <v>16</v>
      </c>
      <c r="F233" t="s">
        <v>17</v>
      </c>
      <c r="G233">
        <v>24387</v>
      </c>
      <c r="H233">
        <v>19022</v>
      </c>
      <c r="I233">
        <f>sales_data[[#This Row],[revenue]]-sales_data[[#This Row],[cost]]</f>
        <v>5365</v>
      </c>
      <c r="J233" s="1">
        <f>sales_data[[#This Row],[profit]]/sales_data[[#This Row],[revenue]]</f>
        <v>0.21999425923647845</v>
      </c>
      <c r="K233" t="str">
        <f>IF(OR(sales_data[[#This Row],[revenue]]="",sales_data[[#This Row],[cost]]=""),"Check","OK")</f>
        <v>OK</v>
      </c>
    </row>
    <row r="234" spans="1:11" x14ac:dyDescent="0.3">
      <c r="A234" t="s">
        <v>170</v>
      </c>
      <c r="B234" s="2">
        <v>45711</v>
      </c>
      <c r="C234" t="s">
        <v>19</v>
      </c>
      <c r="D234" t="s">
        <v>10</v>
      </c>
      <c r="E234" t="s">
        <v>11</v>
      </c>
      <c r="F234" t="s">
        <v>12</v>
      </c>
      <c r="G234">
        <v>64468</v>
      </c>
      <c r="H234">
        <v>50285</v>
      </c>
      <c r="I234">
        <f>sales_data[[#This Row],[revenue]]-sales_data[[#This Row],[cost]]</f>
        <v>14183</v>
      </c>
      <c r="J234" s="1">
        <f>sales_data[[#This Row],[profit]]/sales_data[[#This Row],[revenue]]</f>
        <v>0.22000062046286531</v>
      </c>
      <c r="K234" t="str">
        <f>IF(OR(sales_data[[#This Row],[revenue]]="",sales_data[[#This Row],[cost]]=""),"Check","OK")</f>
        <v>OK</v>
      </c>
    </row>
    <row r="235" spans="1:11" x14ac:dyDescent="0.3">
      <c r="A235" t="s">
        <v>171</v>
      </c>
      <c r="B235" s="2">
        <v>45704</v>
      </c>
      <c r="C235" t="s">
        <v>19</v>
      </c>
      <c r="D235" t="s">
        <v>10</v>
      </c>
      <c r="E235" t="s">
        <v>32</v>
      </c>
      <c r="F235" t="s">
        <v>17</v>
      </c>
      <c r="G235">
        <v>26169</v>
      </c>
      <c r="H235">
        <v>20150</v>
      </c>
      <c r="I235">
        <f>sales_data[[#This Row],[revenue]]-sales_data[[#This Row],[cost]]</f>
        <v>6019</v>
      </c>
      <c r="J235" s="1">
        <f>sales_data[[#This Row],[profit]]/sales_data[[#This Row],[revenue]]</f>
        <v>0.23000496770988574</v>
      </c>
      <c r="K235" t="str">
        <f>IF(OR(sales_data[[#This Row],[revenue]]="",sales_data[[#This Row],[cost]]=""),"Check","OK")</f>
        <v>OK</v>
      </c>
    </row>
    <row r="236" spans="1:11" x14ac:dyDescent="0.3">
      <c r="A236" t="s">
        <v>172</v>
      </c>
      <c r="B236" s="2">
        <v>45708</v>
      </c>
      <c r="C236" t="s">
        <v>14</v>
      </c>
      <c r="D236" t="s">
        <v>15</v>
      </c>
      <c r="E236" t="s">
        <v>34</v>
      </c>
      <c r="F236" t="s">
        <v>12</v>
      </c>
      <c r="G236">
        <v>70585</v>
      </c>
      <c r="H236">
        <v>54350</v>
      </c>
      <c r="I236">
        <f>sales_data[[#This Row],[revenue]]-sales_data[[#This Row],[cost]]</f>
        <v>16235</v>
      </c>
      <c r="J236" s="1">
        <f>sales_data[[#This Row],[profit]]/sales_data[[#This Row],[revenue]]</f>
        <v>0.23000637529220089</v>
      </c>
      <c r="K236" t="str">
        <f>IF(OR(sales_data[[#This Row],[revenue]]="",sales_data[[#This Row],[cost]]=""),"Check","OK")</f>
        <v>OK</v>
      </c>
    </row>
    <row r="237" spans="1:11" x14ac:dyDescent="0.3">
      <c r="A237" t="s">
        <v>173</v>
      </c>
      <c r="B237" s="2">
        <v>45702</v>
      </c>
      <c r="C237" t="s">
        <v>19</v>
      </c>
      <c r="D237" t="s">
        <v>15</v>
      </c>
      <c r="E237" t="s">
        <v>32</v>
      </c>
      <c r="F237" t="s">
        <v>12</v>
      </c>
      <c r="G237">
        <v>79560</v>
      </c>
      <c r="H237">
        <v>58079</v>
      </c>
      <c r="I237">
        <f>sales_data[[#This Row],[revenue]]-sales_data[[#This Row],[cost]]</f>
        <v>21481</v>
      </c>
      <c r="J237" s="1">
        <f>sales_data[[#This Row],[profit]]/sales_data[[#This Row],[revenue]]</f>
        <v>0.26999748617395675</v>
      </c>
      <c r="K237" t="str">
        <f>IF(OR(sales_data[[#This Row],[revenue]]="",sales_data[[#This Row],[cost]]=""),"Check","OK")</f>
        <v>OK</v>
      </c>
    </row>
    <row r="238" spans="1:11" x14ac:dyDescent="0.3">
      <c r="A238" t="s">
        <v>174</v>
      </c>
      <c r="B238" s="2">
        <v>45699</v>
      </c>
      <c r="C238" t="s">
        <v>14</v>
      </c>
      <c r="D238" t="s">
        <v>10</v>
      </c>
      <c r="E238" t="s">
        <v>34</v>
      </c>
      <c r="F238" t="s">
        <v>17</v>
      </c>
      <c r="G238">
        <v>30481</v>
      </c>
      <c r="H238">
        <v>22861</v>
      </c>
      <c r="I238">
        <f>sales_data[[#This Row],[revenue]]-sales_data[[#This Row],[cost]]</f>
        <v>7620</v>
      </c>
      <c r="J238" s="1">
        <f>sales_data[[#This Row],[profit]]/sales_data[[#This Row],[revenue]]</f>
        <v>0.24999179816935141</v>
      </c>
      <c r="K238" t="str">
        <f>IF(OR(sales_data[[#This Row],[revenue]]="",sales_data[[#This Row],[cost]]=""),"Check","OK")</f>
        <v>OK</v>
      </c>
    </row>
    <row r="239" spans="1:11" x14ac:dyDescent="0.3">
      <c r="A239" t="s">
        <v>175</v>
      </c>
      <c r="B239" s="2">
        <v>45691</v>
      </c>
      <c r="C239" t="s">
        <v>14</v>
      </c>
      <c r="D239" t="s">
        <v>10</v>
      </c>
      <c r="E239" t="s">
        <v>26</v>
      </c>
      <c r="F239" t="s">
        <v>12</v>
      </c>
      <c r="G239">
        <v>34350</v>
      </c>
      <c r="H239">
        <v>22671</v>
      </c>
      <c r="I239">
        <f>sales_data[[#This Row],[revenue]]-sales_data[[#This Row],[cost]]</f>
        <v>11679</v>
      </c>
      <c r="J239" s="1">
        <f>sales_data[[#This Row],[profit]]/sales_data[[#This Row],[revenue]]</f>
        <v>0.34</v>
      </c>
      <c r="K239" t="str">
        <f>IF(OR(sales_data[[#This Row],[revenue]]="",sales_data[[#This Row],[cost]]=""),"Check","OK")</f>
        <v>OK</v>
      </c>
    </row>
    <row r="240" spans="1:11" x14ac:dyDescent="0.3">
      <c r="A240" t="s">
        <v>176</v>
      </c>
      <c r="B240" s="2">
        <v>45705</v>
      </c>
      <c r="C240" t="s">
        <v>19</v>
      </c>
      <c r="D240" t="s">
        <v>10</v>
      </c>
      <c r="E240" t="s">
        <v>16</v>
      </c>
      <c r="F240" t="s">
        <v>17</v>
      </c>
      <c r="G240">
        <v>20093</v>
      </c>
      <c r="H240">
        <v>12659</v>
      </c>
      <c r="I240">
        <f>sales_data[[#This Row],[revenue]]-sales_data[[#This Row],[cost]]</f>
        <v>7434</v>
      </c>
      <c r="J240" s="1">
        <f>sales_data[[#This Row],[profit]]/sales_data[[#This Row],[revenue]]</f>
        <v>0.3699795948837904</v>
      </c>
      <c r="K240" t="str">
        <f>IF(OR(sales_data[[#This Row],[revenue]]="",sales_data[[#This Row],[cost]]=""),"Check","OK")</f>
        <v>OK</v>
      </c>
    </row>
    <row r="241" spans="1:11" x14ac:dyDescent="0.3">
      <c r="A241" t="s">
        <v>177</v>
      </c>
      <c r="B241" s="2">
        <v>45707</v>
      </c>
      <c r="C241" t="s">
        <v>9</v>
      </c>
      <c r="D241" t="s">
        <v>23</v>
      </c>
      <c r="E241" t="s">
        <v>16</v>
      </c>
      <c r="F241" t="s">
        <v>12</v>
      </c>
      <c r="G241">
        <v>94217</v>
      </c>
      <c r="H241">
        <v>68778</v>
      </c>
      <c r="I241">
        <f>sales_data[[#This Row],[revenue]]-sales_data[[#This Row],[cost]]</f>
        <v>25439</v>
      </c>
      <c r="J241" s="1">
        <f>sales_data[[#This Row],[profit]]/sales_data[[#This Row],[revenue]]</f>
        <v>0.27000435165628284</v>
      </c>
      <c r="K241" t="str">
        <f>IF(OR(sales_data[[#This Row],[revenue]]="",sales_data[[#This Row],[cost]]=""),"Check","OK")</f>
        <v>OK</v>
      </c>
    </row>
    <row r="242" spans="1:11" x14ac:dyDescent="0.3">
      <c r="A242" t="s">
        <v>178</v>
      </c>
      <c r="B242" s="2">
        <v>45701</v>
      </c>
      <c r="C242" t="s">
        <v>14</v>
      </c>
      <c r="D242" t="s">
        <v>23</v>
      </c>
      <c r="E242" t="s">
        <v>34</v>
      </c>
      <c r="F242" t="s">
        <v>17</v>
      </c>
      <c r="G242">
        <v>99379</v>
      </c>
      <c r="H242">
        <v>63603</v>
      </c>
      <c r="I242">
        <f>sales_data[[#This Row],[revenue]]-sales_data[[#This Row],[cost]]</f>
        <v>35776</v>
      </c>
      <c r="J242" s="1">
        <f>sales_data[[#This Row],[profit]]/sales_data[[#This Row],[revenue]]</f>
        <v>0.35999557250525765</v>
      </c>
      <c r="K242" t="str">
        <f>IF(OR(sales_data[[#This Row],[revenue]]="",sales_data[[#This Row],[cost]]=""),"Check","OK")</f>
        <v>OK</v>
      </c>
    </row>
    <row r="243" spans="1:11" x14ac:dyDescent="0.3">
      <c r="A243" t="s">
        <v>179</v>
      </c>
      <c r="B243" s="2">
        <v>45713</v>
      </c>
      <c r="C243" t="s">
        <v>19</v>
      </c>
      <c r="D243" t="s">
        <v>23</v>
      </c>
      <c r="E243" t="s">
        <v>11</v>
      </c>
      <c r="F243" t="s">
        <v>12</v>
      </c>
      <c r="G243">
        <v>82930</v>
      </c>
      <c r="H243">
        <v>63027</v>
      </c>
      <c r="I243">
        <f>sales_data[[#This Row],[revenue]]-sales_data[[#This Row],[cost]]</f>
        <v>19903</v>
      </c>
      <c r="J243" s="1">
        <f>sales_data[[#This Row],[profit]]/sales_data[[#This Row],[revenue]]</f>
        <v>0.23999758832750512</v>
      </c>
      <c r="K243" t="str">
        <f>IF(OR(sales_data[[#This Row],[revenue]]="",sales_data[[#This Row],[cost]]=""),"Check","OK")</f>
        <v>OK</v>
      </c>
    </row>
    <row r="244" spans="1:11" x14ac:dyDescent="0.3">
      <c r="A244" t="s">
        <v>180</v>
      </c>
      <c r="B244" s="2">
        <v>45699</v>
      </c>
      <c r="C244" t="s">
        <v>14</v>
      </c>
      <c r="D244" t="s">
        <v>15</v>
      </c>
      <c r="E244" t="s">
        <v>36</v>
      </c>
      <c r="F244" t="s">
        <v>12</v>
      </c>
      <c r="G244">
        <v>29449</v>
      </c>
      <c r="H244">
        <v>19436</v>
      </c>
      <c r="I244">
        <f>sales_data[[#This Row],[revenue]]-sales_data[[#This Row],[cost]]</f>
        <v>10013</v>
      </c>
      <c r="J244" s="1">
        <f>sales_data[[#This Row],[profit]]/sales_data[[#This Row],[revenue]]</f>
        <v>0.34001154538354444</v>
      </c>
      <c r="K244" t="str">
        <f>IF(OR(sales_data[[#This Row],[revenue]]="",sales_data[[#This Row],[cost]]=""),"Check","OK")</f>
        <v>OK</v>
      </c>
    </row>
    <row r="245" spans="1:11" x14ac:dyDescent="0.3">
      <c r="A245" t="s">
        <v>181</v>
      </c>
      <c r="B245" s="2">
        <v>45715</v>
      </c>
      <c r="C245" t="s">
        <v>22</v>
      </c>
      <c r="D245" t="s">
        <v>15</v>
      </c>
      <c r="E245" t="s">
        <v>24</v>
      </c>
      <c r="F245" t="s">
        <v>12</v>
      </c>
      <c r="G245">
        <v>85547</v>
      </c>
      <c r="H245">
        <v>53895</v>
      </c>
      <c r="I245">
        <f>sales_data[[#This Row],[revenue]]-sales_data[[#This Row],[cost]]</f>
        <v>31652</v>
      </c>
      <c r="J245" s="1">
        <f>sales_data[[#This Row],[profit]]/sales_data[[#This Row],[revenue]]</f>
        <v>0.36999544110255184</v>
      </c>
      <c r="K245" t="str">
        <f>IF(OR(sales_data[[#This Row],[revenue]]="",sales_data[[#This Row],[cost]]=""),"Check","OK")</f>
        <v>OK</v>
      </c>
    </row>
    <row r="246" spans="1:11" x14ac:dyDescent="0.3">
      <c r="A246" t="s">
        <v>182</v>
      </c>
      <c r="B246" s="2">
        <v>45711</v>
      </c>
      <c r="C246" t="s">
        <v>22</v>
      </c>
      <c r="D246" t="s">
        <v>15</v>
      </c>
      <c r="E246" t="s">
        <v>34</v>
      </c>
      <c r="F246" t="s">
        <v>17</v>
      </c>
      <c r="G246">
        <v>9018</v>
      </c>
      <c r="H246">
        <v>6583</v>
      </c>
      <c r="I246">
        <f>sales_data[[#This Row],[revenue]]-sales_data[[#This Row],[cost]]</f>
        <v>2435</v>
      </c>
      <c r="J246" s="1">
        <f>sales_data[[#This Row],[profit]]/sales_data[[#This Row],[revenue]]</f>
        <v>0.27001552450654248</v>
      </c>
      <c r="K246" t="str">
        <f>IF(OR(sales_data[[#This Row],[revenue]]="",sales_data[[#This Row],[cost]]=""),"Check","OK")</f>
        <v>OK</v>
      </c>
    </row>
    <row r="247" spans="1:11" x14ac:dyDescent="0.3">
      <c r="A247" t="s">
        <v>183</v>
      </c>
      <c r="B247" s="2">
        <v>45698</v>
      </c>
      <c r="C247" t="s">
        <v>9</v>
      </c>
      <c r="D247" t="s">
        <v>10</v>
      </c>
      <c r="E247" t="s">
        <v>26</v>
      </c>
      <c r="F247" t="s">
        <v>12</v>
      </c>
      <c r="G247">
        <v>37398</v>
      </c>
      <c r="H247">
        <v>28796</v>
      </c>
      <c r="I247">
        <f>sales_data[[#This Row],[revenue]]-sales_data[[#This Row],[cost]]</f>
        <v>8602</v>
      </c>
      <c r="J247" s="1">
        <f>sales_data[[#This Row],[profit]]/sales_data[[#This Row],[revenue]]</f>
        <v>0.23001230012300122</v>
      </c>
      <c r="K247" t="str">
        <f>IF(OR(sales_data[[#This Row],[revenue]]="",sales_data[[#This Row],[cost]]=""),"Check","OK")</f>
        <v>OK</v>
      </c>
    </row>
    <row r="248" spans="1:11" x14ac:dyDescent="0.3">
      <c r="A248" t="s">
        <v>184</v>
      </c>
      <c r="B248" s="2">
        <v>45714</v>
      </c>
      <c r="C248" t="s">
        <v>19</v>
      </c>
      <c r="D248" t="s">
        <v>10</v>
      </c>
      <c r="E248" t="s">
        <v>24</v>
      </c>
      <c r="F248" t="s">
        <v>17</v>
      </c>
      <c r="G248">
        <v>58924</v>
      </c>
      <c r="H248">
        <v>45371</v>
      </c>
      <c r="I248">
        <f>sales_data[[#This Row],[revenue]]-sales_data[[#This Row],[cost]]</f>
        <v>13553</v>
      </c>
      <c r="J248" s="1">
        <f>sales_data[[#This Row],[profit]]/sales_data[[#This Row],[revenue]]</f>
        <v>0.23000814608648429</v>
      </c>
      <c r="K248" t="str">
        <f>IF(OR(sales_data[[#This Row],[revenue]]="",sales_data[[#This Row],[cost]]=""),"Check","OK")</f>
        <v>OK</v>
      </c>
    </row>
    <row r="249" spans="1:11" x14ac:dyDescent="0.3">
      <c r="A249" t="s">
        <v>185</v>
      </c>
      <c r="B249" s="2">
        <v>45707</v>
      </c>
      <c r="C249" t="s">
        <v>9</v>
      </c>
      <c r="D249" t="s">
        <v>23</v>
      </c>
      <c r="E249" t="s">
        <v>34</v>
      </c>
      <c r="F249" t="s">
        <v>12</v>
      </c>
      <c r="G249">
        <v>73507</v>
      </c>
      <c r="H249">
        <v>52925</v>
      </c>
      <c r="I249">
        <f>sales_data[[#This Row],[revenue]]-sales_data[[#This Row],[cost]]</f>
        <v>20582</v>
      </c>
      <c r="J249" s="1">
        <f>sales_data[[#This Row],[profit]]/sales_data[[#This Row],[revenue]]</f>
        <v>0.28000054416586173</v>
      </c>
      <c r="K249" t="str">
        <f>IF(OR(sales_data[[#This Row],[revenue]]="",sales_data[[#This Row],[cost]]=""),"Check","OK")</f>
        <v>OK</v>
      </c>
    </row>
    <row r="250" spans="1:11" x14ac:dyDescent="0.3">
      <c r="A250" t="s">
        <v>186</v>
      </c>
      <c r="B250" s="2">
        <v>45689</v>
      </c>
      <c r="C250" t="s">
        <v>22</v>
      </c>
      <c r="D250" t="s">
        <v>15</v>
      </c>
      <c r="E250" t="s">
        <v>32</v>
      </c>
      <c r="F250" t="s">
        <v>17</v>
      </c>
      <c r="G250">
        <v>7311</v>
      </c>
      <c r="H250">
        <v>4679</v>
      </c>
      <c r="I250">
        <f>sales_data[[#This Row],[revenue]]-sales_data[[#This Row],[cost]]</f>
        <v>2632</v>
      </c>
      <c r="J250" s="1">
        <f>sales_data[[#This Row],[profit]]/sales_data[[#This Row],[revenue]]</f>
        <v>0.3600054712077691</v>
      </c>
      <c r="K250" t="str">
        <f>IF(OR(sales_data[[#This Row],[revenue]]="",sales_data[[#This Row],[cost]]=""),"Check","OK")</f>
        <v>OK</v>
      </c>
    </row>
    <row r="251" spans="1:11" x14ac:dyDescent="0.3">
      <c r="A251" t="s">
        <v>187</v>
      </c>
      <c r="B251" s="2">
        <v>45706</v>
      </c>
      <c r="C251" t="s">
        <v>22</v>
      </c>
      <c r="D251" t="s">
        <v>10</v>
      </c>
      <c r="E251" t="s">
        <v>20</v>
      </c>
      <c r="F251" t="s">
        <v>17</v>
      </c>
      <c r="G251">
        <v>63348</v>
      </c>
      <c r="H251">
        <v>39909</v>
      </c>
      <c r="I251">
        <f>sales_data[[#This Row],[revenue]]-sales_data[[#This Row],[cost]]</f>
        <v>23439</v>
      </c>
      <c r="J251" s="1">
        <f>sales_data[[#This Row],[profit]]/sales_data[[#This Row],[revenue]]</f>
        <v>0.37000378859632505</v>
      </c>
      <c r="K251" t="str">
        <f>IF(OR(sales_data[[#This Row],[revenue]]="",sales_data[[#This Row],[cost]]=""),"Check","OK")</f>
        <v>OK</v>
      </c>
    </row>
    <row r="252" spans="1:11" x14ac:dyDescent="0.3">
      <c r="A252" t="s">
        <v>188</v>
      </c>
      <c r="B252" s="2">
        <v>45709</v>
      </c>
      <c r="C252" t="s">
        <v>19</v>
      </c>
      <c r="D252" t="s">
        <v>15</v>
      </c>
      <c r="E252" t="s">
        <v>20</v>
      </c>
      <c r="F252" t="s">
        <v>17</v>
      </c>
      <c r="G252">
        <v>80651</v>
      </c>
      <c r="H252">
        <v>59682</v>
      </c>
      <c r="I252">
        <f>sales_data[[#This Row],[revenue]]-sales_data[[#This Row],[cost]]</f>
        <v>20969</v>
      </c>
      <c r="J252" s="1">
        <f>sales_data[[#This Row],[profit]]/sales_data[[#This Row],[revenue]]</f>
        <v>0.25999677623340073</v>
      </c>
      <c r="K252" t="str">
        <f>IF(OR(sales_data[[#This Row],[revenue]]="",sales_data[[#This Row],[cost]]=""),"Check","OK")</f>
        <v>OK</v>
      </c>
    </row>
    <row r="253" spans="1:11" x14ac:dyDescent="0.3">
      <c r="A253" t="s">
        <v>189</v>
      </c>
      <c r="B253" s="2">
        <v>45706</v>
      </c>
      <c r="C253" t="s">
        <v>14</v>
      </c>
      <c r="D253" t="s">
        <v>23</v>
      </c>
      <c r="E253" t="s">
        <v>11</v>
      </c>
      <c r="F253" t="s">
        <v>17</v>
      </c>
      <c r="G253">
        <v>41435</v>
      </c>
      <c r="H253">
        <v>29833</v>
      </c>
      <c r="I253">
        <f>sales_data[[#This Row],[revenue]]-sales_data[[#This Row],[cost]]</f>
        <v>11602</v>
      </c>
      <c r="J253" s="1">
        <f>sales_data[[#This Row],[profit]]/sales_data[[#This Row],[revenue]]</f>
        <v>0.28000482683721489</v>
      </c>
      <c r="K253" t="str">
        <f>IF(OR(sales_data[[#This Row],[revenue]]="",sales_data[[#This Row],[cost]]=""),"Check","OK")</f>
        <v>OK</v>
      </c>
    </row>
    <row r="254" spans="1:11" x14ac:dyDescent="0.3">
      <c r="A254" t="s">
        <v>190</v>
      </c>
      <c r="B254" s="2">
        <v>45701</v>
      </c>
      <c r="C254" t="s">
        <v>9</v>
      </c>
      <c r="D254" t="s">
        <v>10</v>
      </c>
      <c r="E254" t="s">
        <v>11</v>
      </c>
      <c r="F254" t="s">
        <v>17</v>
      </c>
      <c r="G254">
        <v>14255</v>
      </c>
      <c r="H254">
        <v>9693</v>
      </c>
      <c r="I254">
        <f>sales_data[[#This Row],[revenue]]-sales_data[[#This Row],[cost]]</f>
        <v>4562</v>
      </c>
      <c r="J254" s="1">
        <f>sales_data[[#This Row],[profit]]/sales_data[[#This Row],[revenue]]</f>
        <v>0.32002806032970887</v>
      </c>
      <c r="K254" t="str">
        <f>IF(OR(sales_data[[#This Row],[revenue]]="",sales_data[[#This Row],[cost]]=""),"Check","OK")</f>
        <v>OK</v>
      </c>
    </row>
    <row r="255" spans="1:11" x14ac:dyDescent="0.3">
      <c r="A255" t="s">
        <v>191</v>
      </c>
      <c r="B255" s="2">
        <v>45716</v>
      </c>
      <c r="C255" t="s">
        <v>9</v>
      </c>
      <c r="D255" t="s">
        <v>10</v>
      </c>
      <c r="E255" t="s">
        <v>20</v>
      </c>
      <c r="F255" t="s">
        <v>12</v>
      </c>
      <c r="G255">
        <v>39869</v>
      </c>
      <c r="H255">
        <v>27908</v>
      </c>
      <c r="I255">
        <f>sales_data[[#This Row],[revenue]]-sales_data[[#This Row],[cost]]</f>
        <v>11961</v>
      </c>
      <c r="J255" s="1">
        <f>sales_data[[#This Row],[profit]]/sales_data[[#This Row],[revenue]]</f>
        <v>0.30000752464320651</v>
      </c>
      <c r="K255" t="str">
        <f>IF(OR(sales_data[[#This Row],[revenue]]="",sales_data[[#This Row],[cost]]=""),"Check","OK")</f>
        <v>OK</v>
      </c>
    </row>
    <row r="256" spans="1:11" x14ac:dyDescent="0.3">
      <c r="A256" t="s">
        <v>192</v>
      </c>
      <c r="B256" s="2">
        <v>45705</v>
      </c>
      <c r="C256" t="s">
        <v>19</v>
      </c>
      <c r="D256" t="s">
        <v>23</v>
      </c>
      <c r="E256" t="s">
        <v>29</v>
      </c>
      <c r="F256" t="s">
        <v>12</v>
      </c>
      <c r="G256">
        <v>98472</v>
      </c>
      <c r="H256">
        <v>64007</v>
      </c>
      <c r="I256">
        <f>sales_data[[#This Row],[revenue]]-sales_data[[#This Row],[cost]]</f>
        <v>34465</v>
      </c>
      <c r="J256" s="1">
        <f>sales_data[[#This Row],[profit]]/sales_data[[#This Row],[revenue]]</f>
        <v>0.34999796896579738</v>
      </c>
      <c r="K256" t="str">
        <f>IF(OR(sales_data[[#This Row],[revenue]]="",sales_data[[#This Row],[cost]]=""),"Check","OK")</f>
        <v>OK</v>
      </c>
    </row>
    <row r="257" spans="1:11" x14ac:dyDescent="0.3">
      <c r="A257" t="s">
        <v>193</v>
      </c>
      <c r="B257" s="2">
        <v>45701</v>
      </c>
      <c r="C257" t="s">
        <v>19</v>
      </c>
      <c r="D257" t="s">
        <v>15</v>
      </c>
      <c r="E257" t="s">
        <v>32</v>
      </c>
      <c r="F257" t="s">
        <v>12</v>
      </c>
      <c r="G257">
        <v>61524</v>
      </c>
      <c r="H257">
        <v>46758</v>
      </c>
      <c r="I257">
        <f>sales_data[[#This Row],[revenue]]-sales_data[[#This Row],[cost]]</f>
        <v>14766</v>
      </c>
      <c r="J257" s="1">
        <f>sales_data[[#This Row],[profit]]/sales_data[[#This Row],[revenue]]</f>
        <v>0.24000390091671542</v>
      </c>
      <c r="K257" t="str">
        <f>IF(OR(sales_data[[#This Row],[revenue]]="",sales_data[[#This Row],[cost]]=""),"Check","OK")</f>
        <v>OK</v>
      </c>
    </row>
    <row r="258" spans="1:11" x14ac:dyDescent="0.3">
      <c r="A258" t="s">
        <v>194</v>
      </c>
      <c r="B258" s="2">
        <v>45712</v>
      </c>
      <c r="C258" t="s">
        <v>9</v>
      </c>
      <c r="D258" t="s">
        <v>15</v>
      </c>
      <c r="E258" t="s">
        <v>26</v>
      </c>
      <c r="F258" t="s">
        <v>12</v>
      </c>
      <c r="G258">
        <v>11842</v>
      </c>
      <c r="H258">
        <v>7579</v>
      </c>
      <c r="I258">
        <f>sales_data[[#This Row],[revenue]]-sales_data[[#This Row],[cost]]</f>
        <v>4263</v>
      </c>
      <c r="J258" s="1">
        <f>sales_data[[#This Row],[profit]]/sales_data[[#This Row],[revenue]]</f>
        <v>0.35998986657659177</v>
      </c>
      <c r="K258" t="str">
        <f>IF(OR(sales_data[[#This Row],[revenue]]="",sales_data[[#This Row],[cost]]=""),"Check","OK")</f>
        <v>OK</v>
      </c>
    </row>
    <row r="259" spans="1:11" x14ac:dyDescent="0.3">
      <c r="A259" t="s">
        <v>195</v>
      </c>
      <c r="B259" s="2">
        <v>45702</v>
      </c>
      <c r="C259" t="s">
        <v>19</v>
      </c>
      <c r="D259" t="s">
        <v>23</v>
      </c>
      <c r="E259" t="s">
        <v>34</v>
      </c>
      <c r="F259" t="s">
        <v>17</v>
      </c>
      <c r="G259">
        <v>67073</v>
      </c>
      <c r="H259">
        <v>48963</v>
      </c>
      <c r="I259">
        <f>sales_data[[#This Row],[revenue]]-sales_data[[#This Row],[cost]]</f>
        <v>18110</v>
      </c>
      <c r="J259" s="1">
        <f>sales_data[[#This Row],[profit]]/sales_data[[#This Row],[revenue]]</f>
        <v>0.27000432364736926</v>
      </c>
      <c r="K259" t="str">
        <f>IF(OR(sales_data[[#This Row],[revenue]]="",sales_data[[#This Row],[cost]]=""),"Check","OK")</f>
        <v>OK</v>
      </c>
    </row>
    <row r="260" spans="1:11" x14ac:dyDescent="0.3">
      <c r="A260" t="s">
        <v>196</v>
      </c>
      <c r="B260" s="2">
        <v>45714</v>
      </c>
      <c r="C260" t="s">
        <v>22</v>
      </c>
      <c r="D260" t="s">
        <v>10</v>
      </c>
      <c r="E260" t="s">
        <v>26</v>
      </c>
      <c r="F260" t="s">
        <v>12</v>
      </c>
      <c r="G260">
        <v>75188</v>
      </c>
      <c r="H260">
        <v>50376</v>
      </c>
      <c r="I260">
        <f>sales_data[[#This Row],[revenue]]-sales_data[[#This Row],[cost]]</f>
        <v>24812</v>
      </c>
      <c r="J260" s="1">
        <f>sales_data[[#This Row],[profit]]/sales_data[[#This Row],[revenue]]</f>
        <v>0.32999946800021279</v>
      </c>
      <c r="K260" t="str">
        <f>IF(OR(sales_data[[#This Row],[revenue]]="",sales_data[[#This Row],[cost]]=""),"Check","OK")</f>
        <v>OK</v>
      </c>
    </row>
    <row r="261" spans="1:11" x14ac:dyDescent="0.3">
      <c r="A261" t="s">
        <v>197</v>
      </c>
      <c r="B261" s="2">
        <v>45697</v>
      </c>
      <c r="C261" t="s">
        <v>19</v>
      </c>
      <c r="D261" t="s">
        <v>23</v>
      </c>
      <c r="E261" t="s">
        <v>16</v>
      </c>
      <c r="F261" t="s">
        <v>17</v>
      </c>
      <c r="G261">
        <v>63466</v>
      </c>
      <c r="H261">
        <v>47600</v>
      </c>
      <c r="I261">
        <f>sales_data[[#This Row],[revenue]]-sales_data[[#This Row],[cost]]</f>
        <v>15866</v>
      </c>
      <c r="J261" s="1">
        <f>sales_data[[#This Row],[profit]]/sales_data[[#This Row],[revenue]]</f>
        <v>0.24999212176598493</v>
      </c>
      <c r="K261" t="str">
        <f>IF(OR(sales_data[[#This Row],[revenue]]="",sales_data[[#This Row],[cost]]=""),"Check","OK")</f>
        <v>OK</v>
      </c>
    </row>
    <row r="262" spans="1:11" x14ac:dyDescent="0.3">
      <c r="A262" t="s">
        <v>198</v>
      </c>
      <c r="B262" s="2">
        <v>45703</v>
      </c>
      <c r="C262" t="s">
        <v>22</v>
      </c>
      <c r="D262" t="s">
        <v>15</v>
      </c>
      <c r="E262" t="s">
        <v>11</v>
      </c>
      <c r="F262" t="s">
        <v>12</v>
      </c>
      <c r="G262">
        <v>50500</v>
      </c>
      <c r="H262">
        <v>30300</v>
      </c>
      <c r="I262">
        <f>sales_data[[#This Row],[revenue]]-sales_data[[#This Row],[cost]]</f>
        <v>20200</v>
      </c>
      <c r="J262" s="1">
        <f>sales_data[[#This Row],[profit]]/sales_data[[#This Row],[revenue]]</f>
        <v>0.4</v>
      </c>
      <c r="K262" t="str">
        <f>IF(OR(sales_data[[#This Row],[revenue]]="",sales_data[[#This Row],[cost]]=""),"Check","OK")</f>
        <v>OK</v>
      </c>
    </row>
    <row r="263" spans="1:11" x14ac:dyDescent="0.3">
      <c r="A263" t="s">
        <v>199</v>
      </c>
      <c r="B263" s="2">
        <v>45701</v>
      </c>
      <c r="C263" t="s">
        <v>14</v>
      </c>
      <c r="D263" t="s">
        <v>23</v>
      </c>
      <c r="E263" t="s">
        <v>24</v>
      </c>
      <c r="F263" t="s">
        <v>17</v>
      </c>
      <c r="G263">
        <v>52563</v>
      </c>
      <c r="H263">
        <v>36268</v>
      </c>
      <c r="I263">
        <f>sales_data[[#This Row],[revenue]]-sales_data[[#This Row],[cost]]</f>
        <v>16295</v>
      </c>
      <c r="J263" s="1">
        <f>sales_data[[#This Row],[profit]]/sales_data[[#This Row],[revenue]]</f>
        <v>0.3100089416509712</v>
      </c>
      <c r="K263" t="str">
        <f>IF(OR(sales_data[[#This Row],[revenue]]="",sales_data[[#This Row],[cost]]=""),"Check","OK")</f>
        <v>OK</v>
      </c>
    </row>
    <row r="264" spans="1:11" x14ac:dyDescent="0.3">
      <c r="A264" t="s">
        <v>200</v>
      </c>
      <c r="B264" s="2">
        <v>45691</v>
      </c>
      <c r="C264" t="s">
        <v>14</v>
      </c>
      <c r="D264" t="s">
        <v>10</v>
      </c>
      <c r="E264" t="s">
        <v>24</v>
      </c>
      <c r="F264" t="s">
        <v>12</v>
      </c>
      <c r="G264">
        <v>40884</v>
      </c>
      <c r="H264">
        <v>32707</v>
      </c>
      <c r="I264">
        <f>sales_data[[#This Row],[revenue]]-sales_data[[#This Row],[cost]]</f>
        <v>8177</v>
      </c>
      <c r="J264" s="1">
        <f>sales_data[[#This Row],[profit]]/sales_data[[#This Row],[revenue]]</f>
        <v>0.20000489188924764</v>
      </c>
      <c r="K264" t="str">
        <f>IF(OR(sales_data[[#This Row],[revenue]]="",sales_data[[#This Row],[cost]]=""),"Check","OK")</f>
        <v>OK</v>
      </c>
    </row>
    <row r="265" spans="1:11" x14ac:dyDescent="0.3">
      <c r="A265" t="s">
        <v>201</v>
      </c>
      <c r="B265" s="2">
        <v>45694</v>
      </c>
      <c r="C265" t="s">
        <v>22</v>
      </c>
      <c r="D265" t="s">
        <v>10</v>
      </c>
      <c r="E265" t="s">
        <v>29</v>
      </c>
      <c r="F265" t="s">
        <v>17</v>
      </c>
      <c r="G265">
        <v>98905</v>
      </c>
      <c r="H265">
        <v>61321</v>
      </c>
      <c r="I265">
        <f>sales_data[[#This Row],[revenue]]-sales_data[[#This Row],[cost]]</f>
        <v>37584</v>
      </c>
      <c r="J265" s="1">
        <f>sales_data[[#This Row],[profit]]/sales_data[[#This Row],[revenue]]</f>
        <v>0.38000101107122997</v>
      </c>
      <c r="K265" t="str">
        <f>IF(OR(sales_data[[#This Row],[revenue]]="",sales_data[[#This Row],[cost]]=""),"Check","OK")</f>
        <v>OK</v>
      </c>
    </row>
    <row r="266" spans="1:11" x14ac:dyDescent="0.3">
      <c r="A266" t="s">
        <v>202</v>
      </c>
      <c r="B266" s="2">
        <v>45702</v>
      </c>
      <c r="C266" t="s">
        <v>14</v>
      </c>
      <c r="D266" t="s">
        <v>15</v>
      </c>
      <c r="E266" t="s">
        <v>32</v>
      </c>
      <c r="F266" t="s">
        <v>12</v>
      </c>
      <c r="G266">
        <v>11851</v>
      </c>
      <c r="H266">
        <v>8414</v>
      </c>
      <c r="I266">
        <f>sales_data[[#This Row],[revenue]]-sales_data[[#This Row],[cost]]</f>
        <v>3437</v>
      </c>
      <c r="J266" s="1">
        <f>sales_data[[#This Row],[profit]]/sales_data[[#This Row],[revenue]]</f>
        <v>0.29001772002362669</v>
      </c>
      <c r="K266" t="str">
        <f>IF(OR(sales_data[[#This Row],[revenue]]="",sales_data[[#This Row],[cost]]=""),"Check","OK")</f>
        <v>OK</v>
      </c>
    </row>
    <row r="267" spans="1:11" x14ac:dyDescent="0.3">
      <c r="A267" t="s">
        <v>203</v>
      </c>
      <c r="B267" s="2">
        <v>45716</v>
      </c>
      <c r="C267" t="s">
        <v>14</v>
      </c>
      <c r="D267" t="s">
        <v>15</v>
      </c>
      <c r="E267" t="s">
        <v>20</v>
      </c>
      <c r="F267" t="s">
        <v>12</v>
      </c>
      <c r="G267">
        <v>26871</v>
      </c>
      <c r="H267">
        <v>16660</v>
      </c>
      <c r="I267">
        <f>sales_data[[#This Row],[revenue]]-sales_data[[#This Row],[cost]]</f>
        <v>10211</v>
      </c>
      <c r="J267" s="1">
        <f>sales_data[[#This Row],[profit]]/sales_data[[#This Row],[revenue]]</f>
        <v>0.38000074429682557</v>
      </c>
      <c r="K267" t="str">
        <f>IF(OR(sales_data[[#This Row],[revenue]]="",sales_data[[#This Row],[cost]]=""),"Check","OK")</f>
        <v>OK</v>
      </c>
    </row>
    <row r="268" spans="1:11" x14ac:dyDescent="0.3">
      <c r="A268" t="s">
        <v>204</v>
      </c>
      <c r="B268" s="2">
        <v>45692</v>
      </c>
      <c r="C268" t="s">
        <v>14</v>
      </c>
      <c r="D268" t="s">
        <v>15</v>
      </c>
      <c r="E268" t="s">
        <v>34</v>
      </c>
      <c r="F268" t="s">
        <v>17</v>
      </c>
      <c r="G268">
        <v>46721</v>
      </c>
      <c r="H268">
        <v>35041</v>
      </c>
      <c r="I268">
        <f>sales_data[[#This Row],[revenue]]-sales_data[[#This Row],[cost]]</f>
        <v>11680</v>
      </c>
      <c r="J268" s="1">
        <f>sales_data[[#This Row],[profit]]/sales_data[[#This Row],[revenue]]</f>
        <v>0.24999464908713426</v>
      </c>
      <c r="K268" t="str">
        <f>IF(OR(sales_data[[#This Row],[revenue]]="",sales_data[[#This Row],[cost]]=""),"Check","OK")</f>
        <v>OK</v>
      </c>
    </row>
    <row r="269" spans="1:11" x14ac:dyDescent="0.3">
      <c r="A269" t="s">
        <v>205</v>
      </c>
      <c r="B269" s="2">
        <v>45715</v>
      </c>
      <c r="C269" t="s">
        <v>9</v>
      </c>
      <c r="D269" t="s">
        <v>23</v>
      </c>
      <c r="E269" t="s">
        <v>29</v>
      </c>
      <c r="F269" t="s">
        <v>12</v>
      </c>
      <c r="G269">
        <v>95756</v>
      </c>
      <c r="H269">
        <v>74690</v>
      </c>
      <c r="I269">
        <f>sales_data[[#This Row],[revenue]]-sales_data[[#This Row],[cost]]</f>
        <v>21066</v>
      </c>
      <c r="J269" s="1">
        <f>sales_data[[#This Row],[profit]]/sales_data[[#This Row],[revenue]]</f>
        <v>0.21999665817285602</v>
      </c>
      <c r="K269" t="str">
        <f>IF(OR(sales_data[[#This Row],[revenue]]="",sales_data[[#This Row],[cost]]=""),"Check","OK")</f>
        <v>OK</v>
      </c>
    </row>
    <row r="270" spans="1:11" x14ac:dyDescent="0.3">
      <c r="A270" t="s">
        <v>206</v>
      </c>
      <c r="B270" s="2">
        <v>45710</v>
      </c>
      <c r="C270" t="s">
        <v>14</v>
      </c>
      <c r="D270" t="s">
        <v>15</v>
      </c>
      <c r="E270" t="s">
        <v>16</v>
      </c>
      <c r="F270" t="s">
        <v>17</v>
      </c>
      <c r="G270">
        <v>70255</v>
      </c>
      <c r="H270">
        <v>55501</v>
      </c>
      <c r="I270">
        <f>sales_data[[#This Row],[revenue]]-sales_data[[#This Row],[cost]]</f>
        <v>14754</v>
      </c>
      <c r="J270" s="1">
        <f>sales_data[[#This Row],[profit]]/sales_data[[#This Row],[revenue]]</f>
        <v>0.21000640523806136</v>
      </c>
      <c r="K270" t="str">
        <f>IF(OR(sales_data[[#This Row],[revenue]]="",sales_data[[#This Row],[cost]]=""),"Check","OK")</f>
        <v>OK</v>
      </c>
    </row>
    <row r="271" spans="1:11" x14ac:dyDescent="0.3">
      <c r="A271" t="s">
        <v>207</v>
      </c>
      <c r="B271" s="2">
        <v>45709</v>
      </c>
      <c r="C271" t="s">
        <v>14</v>
      </c>
      <c r="D271" t="s">
        <v>10</v>
      </c>
      <c r="E271" t="s">
        <v>24</v>
      </c>
      <c r="F271" t="s">
        <v>17</v>
      </c>
      <c r="G271">
        <v>26541</v>
      </c>
      <c r="H271">
        <v>19375</v>
      </c>
      <c r="I271">
        <f>sales_data[[#This Row],[revenue]]-sales_data[[#This Row],[cost]]</f>
        <v>7166</v>
      </c>
      <c r="J271" s="1">
        <f>sales_data[[#This Row],[profit]]/sales_data[[#This Row],[revenue]]</f>
        <v>0.26999736257111639</v>
      </c>
      <c r="K271" t="str">
        <f>IF(OR(sales_data[[#This Row],[revenue]]="",sales_data[[#This Row],[cost]]=""),"Check","OK")</f>
        <v>OK</v>
      </c>
    </row>
    <row r="272" spans="1:11" x14ac:dyDescent="0.3">
      <c r="A272" t="s">
        <v>208</v>
      </c>
      <c r="B272" s="2">
        <v>45713</v>
      </c>
      <c r="C272" t="s">
        <v>9</v>
      </c>
      <c r="D272" t="s">
        <v>10</v>
      </c>
      <c r="E272" t="s">
        <v>24</v>
      </c>
      <c r="F272" t="s">
        <v>17</v>
      </c>
      <c r="G272">
        <v>80083</v>
      </c>
      <c r="H272">
        <v>59261</v>
      </c>
      <c r="I272">
        <f>sales_data[[#This Row],[revenue]]-sales_data[[#This Row],[cost]]</f>
        <v>20822</v>
      </c>
      <c r="J272" s="1">
        <f>sales_data[[#This Row],[profit]]/sales_data[[#This Row],[revenue]]</f>
        <v>0.26000524455877028</v>
      </c>
      <c r="K272" t="str">
        <f>IF(OR(sales_data[[#This Row],[revenue]]="",sales_data[[#This Row],[cost]]=""),"Check","OK")</f>
        <v>OK</v>
      </c>
    </row>
    <row r="273" spans="1:11" x14ac:dyDescent="0.3">
      <c r="A273" t="s">
        <v>209</v>
      </c>
      <c r="B273" s="2">
        <v>45694</v>
      </c>
      <c r="C273" t="s">
        <v>14</v>
      </c>
      <c r="D273" t="s">
        <v>10</v>
      </c>
      <c r="E273" t="s">
        <v>29</v>
      </c>
      <c r="F273" t="s">
        <v>17</v>
      </c>
      <c r="G273">
        <v>13465</v>
      </c>
      <c r="H273">
        <v>8887</v>
      </c>
      <c r="I273">
        <f>sales_data[[#This Row],[revenue]]-sales_data[[#This Row],[cost]]</f>
        <v>4578</v>
      </c>
      <c r="J273" s="1">
        <f>sales_data[[#This Row],[profit]]/sales_data[[#This Row],[revenue]]</f>
        <v>0.33999257333828442</v>
      </c>
      <c r="K273" t="str">
        <f>IF(OR(sales_data[[#This Row],[revenue]]="",sales_data[[#This Row],[cost]]=""),"Check","OK")</f>
        <v>OK</v>
      </c>
    </row>
    <row r="274" spans="1:11" x14ac:dyDescent="0.3">
      <c r="A274" t="s">
        <v>210</v>
      </c>
      <c r="B274" s="2">
        <v>45691</v>
      </c>
      <c r="C274" t="s">
        <v>22</v>
      </c>
      <c r="D274" t="s">
        <v>10</v>
      </c>
      <c r="E274" t="s">
        <v>24</v>
      </c>
      <c r="F274" t="s">
        <v>17</v>
      </c>
      <c r="G274">
        <v>6230</v>
      </c>
      <c r="H274">
        <v>4859</v>
      </c>
      <c r="I274">
        <f>sales_data[[#This Row],[revenue]]-sales_data[[#This Row],[cost]]</f>
        <v>1371</v>
      </c>
      <c r="J274" s="1">
        <f>sales_data[[#This Row],[profit]]/sales_data[[#This Row],[revenue]]</f>
        <v>0.22006420545746389</v>
      </c>
      <c r="K274" t="str">
        <f>IF(OR(sales_data[[#This Row],[revenue]]="",sales_data[[#This Row],[cost]]=""),"Check","OK")</f>
        <v>OK</v>
      </c>
    </row>
    <row r="275" spans="1:11" x14ac:dyDescent="0.3">
      <c r="A275" t="s">
        <v>211</v>
      </c>
      <c r="B275" s="2">
        <v>45700</v>
      </c>
      <c r="C275" t="s">
        <v>9</v>
      </c>
      <c r="D275" t="s">
        <v>10</v>
      </c>
      <c r="E275" t="s">
        <v>20</v>
      </c>
      <c r="F275" t="s">
        <v>12</v>
      </c>
      <c r="G275">
        <v>17427</v>
      </c>
      <c r="H275">
        <v>10456</v>
      </c>
      <c r="I275">
        <f>sales_data[[#This Row],[revenue]]-sales_data[[#This Row],[cost]]</f>
        <v>6971</v>
      </c>
      <c r="J275" s="1">
        <f>sales_data[[#This Row],[profit]]/sales_data[[#This Row],[revenue]]</f>
        <v>0.40001147644459745</v>
      </c>
      <c r="K275" t="str">
        <f>IF(OR(sales_data[[#This Row],[revenue]]="",sales_data[[#This Row],[cost]]=""),"Check","OK")</f>
        <v>OK</v>
      </c>
    </row>
    <row r="276" spans="1:11" x14ac:dyDescent="0.3">
      <c r="A276" t="s">
        <v>212</v>
      </c>
      <c r="B276" s="2">
        <v>45706</v>
      </c>
      <c r="C276" t="s">
        <v>9</v>
      </c>
      <c r="D276" t="s">
        <v>15</v>
      </c>
      <c r="E276" t="s">
        <v>26</v>
      </c>
      <c r="F276" t="s">
        <v>17</v>
      </c>
      <c r="G276">
        <v>98340</v>
      </c>
      <c r="H276">
        <v>71788</v>
      </c>
      <c r="I276">
        <f>sales_data[[#This Row],[revenue]]-sales_data[[#This Row],[cost]]</f>
        <v>26552</v>
      </c>
      <c r="J276" s="1">
        <f>sales_data[[#This Row],[profit]]/sales_data[[#This Row],[revenue]]</f>
        <v>0.27000203376042303</v>
      </c>
      <c r="K276" t="str">
        <f>IF(OR(sales_data[[#This Row],[revenue]]="",sales_data[[#This Row],[cost]]=""),"Check","OK")</f>
        <v>OK</v>
      </c>
    </row>
    <row r="277" spans="1:11" x14ac:dyDescent="0.3">
      <c r="A277" t="s">
        <v>213</v>
      </c>
      <c r="B277" s="2">
        <v>45699</v>
      </c>
      <c r="C277" t="s">
        <v>14</v>
      </c>
      <c r="D277" t="s">
        <v>10</v>
      </c>
      <c r="E277" t="s">
        <v>26</v>
      </c>
      <c r="F277" t="s">
        <v>12</v>
      </c>
      <c r="G277">
        <v>53583</v>
      </c>
      <c r="H277">
        <v>32150</v>
      </c>
      <c r="I277">
        <f>sales_data[[#This Row],[revenue]]-sales_data[[#This Row],[cost]]</f>
        <v>21433</v>
      </c>
      <c r="J277" s="1">
        <f>sales_data[[#This Row],[profit]]/sales_data[[#This Row],[revenue]]</f>
        <v>0.39999626747289252</v>
      </c>
      <c r="K277" t="str">
        <f>IF(OR(sales_data[[#This Row],[revenue]]="",sales_data[[#This Row],[cost]]=""),"Check","OK")</f>
        <v>OK</v>
      </c>
    </row>
    <row r="278" spans="1:11" x14ac:dyDescent="0.3">
      <c r="A278" t="s">
        <v>214</v>
      </c>
      <c r="B278" s="2">
        <v>45696</v>
      </c>
      <c r="C278" t="s">
        <v>14</v>
      </c>
      <c r="D278" t="s">
        <v>10</v>
      </c>
      <c r="E278" t="s">
        <v>29</v>
      </c>
      <c r="F278" t="s">
        <v>12</v>
      </c>
      <c r="G278">
        <v>82058</v>
      </c>
      <c r="H278">
        <v>51697</v>
      </c>
      <c r="I278">
        <f>sales_data[[#This Row],[revenue]]-sales_data[[#This Row],[cost]]</f>
        <v>30361</v>
      </c>
      <c r="J278" s="1">
        <f>sales_data[[#This Row],[profit]]/sales_data[[#This Row],[revenue]]</f>
        <v>0.36999439420897412</v>
      </c>
      <c r="K278" t="str">
        <f>IF(OR(sales_data[[#This Row],[revenue]]="",sales_data[[#This Row],[cost]]=""),"Check","OK")</f>
        <v>OK</v>
      </c>
    </row>
    <row r="279" spans="1:11" x14ac:dyDescent="0.3">
      <c r="A279" t="s">
        <v>215</v>
      </c>
      <c r="B279" s="2">
        <v>45706</v>
      </c>
      <c r="C279" t="s">
        <v>14</v>
      </c>
      <c r="D279" t="s">
        <v>15</v>
      </c>
      <c r="E279" t="s">
        <v>29</v>
      </c>
      <c r="F279" t="s">
        <v>17</v>
      </c>
      <c r="G279">
        <v>49379</v>
      </c>
      <c r="H279">
        <v>35553</v>
      </c>
      <c r="I279">
        <f>sales_data[[#This Row],[revenue]]-sales_data[[#This Row],[cost]]</f>
        <v>13826</v>
      </c>
      <c r="J279" s="1">
        <f>sales_data[[#This Row],[profit]]/sales_data[[#This Row],[revenue]]</f>
        <v>0.27999756981712876</v>
      </c>
      <c r="K279" t="str">
        <f>IF(OR(sales_data[[#This Row],[revenue]]="",sales_data[[#This Row],[cost]]=""),"Check","OK")</f>
        <v>OK</v>
      </c>
    </row>
    <row r="280" spans="1:11" x14ac:dyDescent="0.3">
      <c r="A280" t="s">
        <v>216</v>
      </c>
      <c r="B280" s="2">
        <v>45710</v>
      </c>
      <c r="C280" t="s">
        <v>9</v>
      </c>
      <c r="D280" t="s">
        <v>23</v>
      </c>
      <c r="E280" t="s">
        <v>16</v>
      </c>
      <c r="F280" t="s">
        <v>17</v>
      </c>
      <c r="G280">
        <v>42345</v>
      </c>
      <c r="H280">
        <v>27101</v>
      </c>
      <c r="I280">
        <f>sales_data[[#This Row],[revenue]]-sales_data[[#This Row],[cost]]</f>
        <v>15244</v>
      </c>
      <c r="J280" s="1">
        <f>sales_data[[#This Row],[profit]]/sales_data[[#This Row],[revenue]]</f>
        <v>0.35999527689219507</v>
      </c>
      <c r="K280" t="str">
        <f>IF(OR(sales_data[[#This Row],[revenue]]="",sales_data[[#This Row],[cost]]=""),"Check","OK")</f>
        <v>OK</v>
      </c>
    </row>
    <row r="281" spans="1:11" x14ac:dyDescent="0.3">
      <c r="A281" t="s">
        <v>217</v>
      </c>
      <c r="B281" s="2">
        <v>45710</v>
      </c>
      <c r="C281" t="s">
        <v>19</v>
      </c>
      <c r="D281" t="s">
        <v>15</v>
      </c>
      <c r="E281" t="s">
        <v>16</v>
      </c>
      <c r="F281" t="s">
        <v>17</v>
      </c>
      <c r="G281">
        <v>76582</v>
      </c>
      <c r="H281">
        <v>59734</v>
      </c>
      <c r="I281">
        <f>sales_data[[#This Row],[revenue]]-sales_data[[#This Row],[cost]]</f>
        <v>16848</v>
      </c>
      <c r="J281" s="1">
        <f>sales_data[[#This Row],[profit]]/sales_data[[#This Row],[revenue]]</f>
        <v>0.21999947768405109</v>
      </c>
      <c r="K281" t="str">
        <f>IF(OR(sales_data[[#This Row],[revenue]]="",sales_data[[#This Row],[cost]]=""),"Check","OK")</f>
        <v>OK</v>
      </c>
    </row>
    <row r="282" spans="1:11" x14ac:dyDescent="0.3">
      <c r="A282" t="s">
        <v>218</v>
      </c>
      <c r="B282" s="2">
        <v>45694</v>
      </c>
      <c r="C282" t="s">
        <v>22</v>
      </c>
      <c r="D282" t="s">
        <v>23</v>
      </c>
      <c r="E282" t="s">
        <v>16</v>
      </c>
      <c r="F282" t="s">
        <v>12</v>
      </c>
      <c r="G282">
        <v>81510</v>
      </c>
      <c r="H282">
        <v>50536</v>
      </c>
      <c r="I282">
        <f>sales_data[[#This Row],[revenue]]-sales_data[[#This Row],[cost]]</f>
        <v>30974</v>
      </c>
      <c r="J282" s="1">
        <f>sales_data[[#This Row],[profit]]/sales_data[[#This Row],[revenue]]</f>
        <v>0.38000245368666419</v>
      </c>
      <c r="K282" t="str">
        <f>IF(OR(sales_data[[#This Row],[revenue]]="",sales_data[[#This Row],[cost]]=""),"Check","OK")</f>
        <v>OK</v>
      </c>
    </row>
    <row r="283" spans="1:11" x14ac:dyDescent="0.3">
      <c r="A283" t="s">
        <v>219</v>
      </c>
      <c r="B283" s="2">
        <v>45701</v>
      </c>
      <c r="C283" t="s">
        <v>14</v>
      </c>
      <c r="D283" t="s">
        <v>10</v>
      </c>
      <c r="E283" t="s">
        <v>11</v>
      </c>
      <c r="F283" t="s">
        <v>17</v>
      </c>
      <c r="G283">
        <v>68808</v>
      </c>
      <c r="H283">
        <v>47478</v>
      </c>
      <c r="I283">
        <f>sales_data[[#This Row],[revenue]]-sales_data[[#This Row],[cost]]</f>
        <v>21330</v>
      </c>
      <c r="J283" s="1">
        <f>sales_data[[#This Row],[profit]]/sales_data[[#This Row],[revenue]]</f>
        <v>0.30999302406696894</v>
      </c>
      <c r="K283" t="str">
        <f>IF(OR(sales_data[[#This Row],[revenue]]="",sales_data[[#This Row],[cost]]=""),"Check","OK")</f>
        <v>OK</v>
      </c>
    </row>
    <row r="284" spans="1:11" x14ac:dyDescent="0.3">
      <c r="A284" t="s">
        <v>220</v>
      </c>
      <c r="B284" s="2">
        <v>45704</v>
      </c>
      <c r="C284" t="s">
        <v>22</v>
      </c>
      <c r="D284" t="s">
        <v>10</v>
      </c>
      <c r="E284" t="s">
        <v>20</v>
      </c>
      <c r="F284" t="s">
        <v>12</v>
      </c>
      <c r="G284">
        <v>41293</v>
      </c>
      <c r="H284">
        <v>30557</v>
      </c>
      <c r="I284">
        <f>sales_data[[#This Row],[revenue]]-sales_data[[#This Row],[cost]]</f>
        <v>10736</v>
      </c>
      <c r="J284" s="1">
        <f>sales_data[[#This Row],[profit]]/sales_data[[#This Row],[revenue]]</f>
        <v>0.25999564090765992</v>
      </c>
      <c r="K284" t="str">
        <f>IF(OR(sales_data[[#This Row],[revenue]]="",sales_data[[#This Row],[cost]]=""),"Check","OK")</f>
        <v>OK</v>
      </c>
    </row>
    <row r="285" spans="1:11" x14ac:dyDescent="0.3">
      <c r="A285" t="s">
        <v>221</v>
      </c>
      <c r="B285" s="2">
        <v>45713</v>
      </c>
      <c r="C285" t="s">
        <v>14</v>
      </c>
      <c r="D285" t="s">
        <v>10</v>
      </c>
      <c r="E285" t="s">
        <v>32</v>
      </c>
      <c r="F285" t="s">
        <v>17</v>
      </c>
      <c r="G285">
        <v>57142</v>
      </c>
      <c r="H285">
        <v>39428</v>
      </c>
      <c r="I285">
        <f>sales_data[[#This Row],[revenue]]-sales_data[[#This Row],[cost]]</f>
        <v>17714</v>
      </c>
      <c r="J285" s="1">
        <f>sales_data[[#This Row],[profit]]/sales_data[[#This Row],[revenue]]</f>
        <v>0.30999964999474994</v>
      </c>
      <c r="K285" t="str">
        <f>IF(OR(sales_data[[#This Row],[revenue]]="",sales_data[[#This Row],[cost]]=""),"Check","OK")</f>
        <v>OK</v>
      </c>
    </row>
    <row r="286" spans="1:11" x14ac:dyDescent="0.3">
      <c r="A286" t="s">
        <v>222</v>
      </c>
      <c r="B286" s="2">
        <v>45716</v>
      </c>
      <c r="C286" t="s">
        <v>9</v>
      </c>
      <c r="D286" t="s">
        <v>23</v>
      </c>
      <c r="E286" t="s">
        <v>24</v>
      </c>
      <c r="F286" t="s">
        <v>17</v>
      </c>
      <c r="G286">
        <v>35157</v>
      </c>
      <c r="H286">
        <v>23204</v>
      </c>
      <c r="I286">
        <f>sales_data[[#This Row],[revenue]]-sales_data[[#This Row],[cost]]</f>
        <v>11953</v>
      </c>
      <c r="J286" s="1">
        <f>sales_data[[#This Row],[profit]]/sales_data[[#This Row],[revenue]]</f>
        <v>0.33998919134169581</v>
      </c>
      <c r="K286" t="str">
        <f>IF(OR(sales_data[[#This Row],[revenue]]="",sales_data[[#This Row],[cost]]=""),"Check","OK")</f>
        <v>OK</v>
      </c>
    </row>
    <row r="287" spans="1:11" x14ac:dyDescent="0.3">
      <c r="A287" t="s">
        <v>223</v>
      </c>
      <c r="B287" s="2">
        <v>45703</v>
      </c>
      <c r="C287" t="s">
        <v>9</v>
      </c>
      <c r="D287" t="s">
        <v>23</v>
      </c>
      <c r="E287" t="s">
        <v>32</v>
      </c>
      <c r="F287" t="s">
        <v>12</v>
      </c>
      <c r="G287">
        <v>90166</v>
      </c>
      <c r="H287">
        <v>69428</v>
      </c>
      <c r="I287">
        <f>sales_data[[#This Row],[revenue]]-sales_data[[#This Row],[cost]]</f>
        <v>20738</v>
      </c>
      <c r="J287" s="1">
        <f>sales_data[[#This Row],[profit]]/sales_data[[#This Row],[revenue]]</f>
        <v>0.22999800368209747</v>
      </c>
      <c r="K287" t="str">
        <f>IF(OR(sales_data[[#This Row],[revenue]]="",sales_data[[#This Row],[cost]]=""),"Check","OK")</f>
        <v>OK</v>
      </c>
    </row>
    <row r="288" spans="1:11" x14ac:dyDescent="0.3">
      <c r="A288" t="s">
        <v>224</v>
      </c>
      <c r="B288" s="2">
        <v>45708</v>
      </c>
      <c r="C288" t="s">
        <v>22</v>
      </c>
      <c r="D288" t="s">
        <v>23</v>
      </c>
      <c r="E288" t="s">
        <v>36</v>
      </c>
      <c r="F288" t="s">
        <v>17</v>
      </c>
      <c r="G288">
        <v>38333</v>
      </c>
      <c r="H288">
        <v>27600</v>
      </c>
      <c r="I288">
        <f>sales_data[[#This Row],[revenue]]-sales_data[[#This Row],[cost]]</f>
        <v>10733</v>
      </c>
      <c r="J288" s="1">
        <f>sales_data[[#This Row],[profit]]/sales_data[[#This Row],[revenue]]</f>
        <v>0.27999373907599195</v>
      </c>
      <c r="K288" t="str">
        <f>IF(OR(sales_data[[#This Row],[revenue]]="",sales_data[[#This Row],[cost]]=""),"Check","OK")</f>
        <v>OK</v>
      </c>
    </row>
    <row r="289" spans="1:11" x14ac:dyDescent="0.3">
      <c r="A289" t="s">
        <v>225</v>
      </c>
      <c r="B289" s="2">
        <v>45693</v>
      </c>
      <c r="C289" t="s">
        <v>19</v>
      </c>
      <c r="D289" t="s">
        <v>15</v>
      </c>
      <c r="E289" t="s">
        <v>26</v>
      </c>
      <c r="F289" t="s">
        <v>12</v>
      </c>
      <c r="G289">
        <v>78280</v>
      </c>
      <c r="H289">
        <v>62624</v>
      </c>
      <c r="I289">
        <f>sales_data[[#This Row],[revenue]]-sales_data[[#This Row],[cost]]</f>
        <v>15656</v>
      </c>
      <c r="J289" s="1">
        <f>sales_data[[#This Row],[profit]]/sales_data[[#This Row],[revenue]]</f>
        <v>0.2</v>
      </c>
      <c r="K289" t="str">
        <f>IF(OR(sales_data[[#This Row],[revenue]]="",sales_data[[#This Row],[cost]]=""),"Check","OK")</f>
        <v>OK</v>
      </c>
    </row>
    <row r="290" spans="1:11" x14ac:dyDescent="0.3">
      <c r="A290" t="s">
        <v>226</v>
      </c>
      <c r="B290" s="2">
        <v>45705</v>
      </c>
      <c r="C290" t="s">
        <v>19</v>
      </c>
      <c r="D290" t="s">
        <v>15</v>
      </c>
      <c r="E290" t="s">
        <v>32</v>
      </c>
      <c r="F290" t="s">
        <v>17</v>
      </c>
      <c r="G290">
        <v>26421</v>
      </c>
      <c r="H290">
        <v>21137</v>
      </c>
      <c r="I290">
        <f>sales_data[[#This Row],[revenue]]-sales_data[[#This Row],[cost]]</f>
        <v>5284</v>
      </c>
      <c r="J290" s="1">
        <f>sales_data[[#This Row],[profit]]/sales_data[[#This Row],[revenue]]</f>
        <v>0.19999243026380531</v>
      </c>
      <c r="K290" t="str">
        <f>IF(OR(sales_data[[#This Row],[revenue]]="",sales_data[[#This Row],[cost]]=""),"Check","OK")</f>
        <v>OK</v>
      </c>
    </row>
    <row r="291" spans="1:11" x14ac:dyDescent="0.3">
      <c r="A291" t="s">
        <v>227</v>
      </c>
      <c r="B291" s="2">
        <v>45695</v>
      </c>
      <c r="C291" t="s">
        <v>19</v>
      </c>
      <c r="D291" t="s">
        <v>10</v>
      </c>
      <c r="E291" t="s">
        <v>16</v>
      </c>
      <c r="F291" t="s">
        <v>12</v>
      </c>
      <c r="G291">
        <v>72238</v>
      </c>
      <c r="H291">
        <v>44788</v>
      </c>
      <c r="I291">
        <f>sales_data[[#This Row],[revenue]]-sales_data[[#This Row],[cost]]</f>
        <v>27450</v>
      </c>
      <c r="J291" s="1">
        <f>sales_data[[#This Row],[profit]]/sales_data[[#This Row],[revenue]]</f>
        <v>0.37999390902295194</v>
      </c>
      <c r="K291" t="str">
        <f>IF(OR(sales_data[[#This Row],[revenue]]="",sales_data[[#This Row],[cost]]=""),"Check","OK")</f>
        <v>OK</v>
      </c>
    </row>
    <row r="292" spans="1:11" x14ac:dyDescent="0.3">
      <c r="A292" t="s">
        <v>228</v>
      </c>
      <c r="B292" s="2">
        <v>45701</v>
      </c>
      <c r="C292" t="s">
        <v>22</v>
      </c>
      <c r="D292" t="s">
        <v>10</v>
      </c>
      <c r="E292" t="s">
        <v>16</v>
      </c>
      <c r="F292" t="s">
        <v>17</v>
      </c>
      <c r="G292">
        <v>66651</v>
      </c>
      <c r="H292">
        <v>41324</v>
      </c>
      <c r="I292">
        <f>sales_data[[#This Row],[revenue]]-sales_data[[#This Row],[cost]]</f>
        <v>25327</v>
      </c>
      <c r="J292" s="1">
        <f>sales_data[[#This Row],[profit]]/sales_data[[#This Row],[revenue]]</f>
        <v>0.37999429866018514</v>
      </c>
      <c r="K292" t="str">
        <f>IF(OR(sales_data[[#This Row],[revenue]]="",sales_data[[#This Row],[cost]]=""),"Check","OK")</f>
        <v>OK</v>
      </c>
    </row>
    <row r="293" spans="1:11" x14ac:dyDescent="0.3">
      <c r="A293" t="s">
        <v>229</v>
      </c>
      <c r="B293" s="2">
        <v>45699</v>
      </c>
      <c r="C293" t="s">
        <v>9</v>
      </c>
      <c r="D293" t="s">
        <v>23</v>
      </c>
      <c r="E293" t="s">
        <v>20</v>
      </c>
      <c r="F293" t="s">
        <v>12</v>
      </c>
      <c r="G293">
        <v>89971</v>
      </c>
      <c r="H293">
        <v>63879</v>
      </c>
      <c r="I293">
        <f>sales_data[[#This Row],[revenue]]-sales_data[[#This Row],[cost]]</f>
        <v>26092</v>
      </c>
      <c r="J293" s="1">
        <f>sales_data[[#This Row],[profit]]/sales_data[[#This Row],[revenue]]</f>
        <v>0.29000455702392991</v>
      </c>
      <c r="K293" t="str">
        <f>IF(OR(sales_data[[#This Row],[revenue]]="",sales_data[[#This Row],[cost]]=""),"Check","OK")</f>
        <v>OK</v>
      </c>
    </row>
    <row r="294" spans="1:11" x14ac:dyDescent="0.3">
      <c r="A294" t="s">
        <v>230</v>
      </c>
      <c r="B294" s="2">
        <v>45697</v>
      </c>
      <c r="C294" t="s">
        <v>9</v>
      </c>
      <c r="D294" t="s">
        <v>10</v>
      </c>
      <c r="E294" t="s">
        <v>29</v>
      </c>
      <c r="F294" t="s">
        <v>17</v>
      </c>
      <c r="G294">
        <v>63863</v>
      </c>
      <c r="H294">
        <v>42788</v>
      </c>
      <c r="I294">
        <f>sales_data[[#This Row],[revenue]]-sales_data[[#This Row],[cost]]</f>
        <v>21075</v>
      </c>
      <c r="J294" s="1">
        <f>sales_data[[#This Row],[profit]]/sales_data[[#This Row],[revenue]]</f>
        <v>0.33000328828899361</v>
      </c>
      <c r="K294" t="str">
        <f>IF(OR(sales_data[[#This Row],[revenue]]="",sales_data[[#This Row],[cost]]=""),"Check","OK")</f>
        <v>OK</v>
      </c>
    </row>
    <row r="295" spans="1:11" x14ac:dyDescent="0.3">
      <c r="A295" t="s">
        <v>231</v>
      </c>
      <c r="B295" s="2">
        <v>45715</v>
      </c>
      <c r="C295" t="s">
        <v>9</v>
      </c>
      <c r="D295" t="s">
        <v>15</v>
      </c>
      <c r="E295" t="s">
        <v>34</v>
      </c>
      <c r="F295" t="s">
        <v>12</v>
      </c>
      <c r="G295">
        <v>27365</v>
      </c>
      <c r="H295">
        <v>21892</v>
      </c>
      <c r="I295">
        <f>sales_data[[#This Row],[revenue]]-sales_data[[#This Row],[cost]]</f>
        <v>5473</v>
      </c>
      <c r="J295" s="1">
        <f>sales_data[[#This Row],[profit]]/sales_data[[#This Row],[revenue]]</f>
        <v>0.2</v>
      </c>
      <c r="K295" t="str">
        <f>IF(OR(sales_data[[#This Row],[revenue]]="",sales_data[[#This Row],[cost]]=""),"Check","OK")</f>
        <v>OK</v>
      </c>
    </row>
    <row r="296" spans="1:11" x14ac:dyDescent="0.3">
      <c r="A296" t="s">
        <v>232</v>
      </c>
      <c r="B296" s="2">
        <v>45695</v>
      </c>
      <c r="C296" t="s">
        <v>22</v>
      </c>
      <c r="D296" t="s">
        <v>23</v>
      </c>
      <c r="E296" t="s">
        <v>24</v>
      </c>
      <c r="F296" t="s">
        <v>17</v>
      </c>
      <c r="G296">
        <v>39111</v>
      </c>
      <c r="H296">
        <v>27378</v>
      </c>
      <c r="I296">
        <f>sales_data[[#This Row],[revenue]]-sales_data[[#This Row],[cost]]</f>
        <v>11733</v>
      </c>
      <c r="J296" s="1">
        <f>sales_data[[#This Row],[profit]]/sales_data[[#This Row],[revenue]]</f>
        <v>0.29999232952366339</v>
      </c>
      <c r="K296" t="str">
        <f>IF(OR(sales_data[[#This Row],[revenue]]="",sales_data[[#This Row],[cost]]=""),"Check","OK")</f>
        <v>OK</v>
      </c>
    </row>
    <row r="297" spans="1:11" x14ac:dyDescent="0.3">
      <c r="A297" t="s">
        <v>233</v>
      </c>
      <c r="B297" s="2">
        <v>45704</v>
      </c>
      <c r="C297" t="s">
        <v>14</v>
      </c>
      <c r="D297" t="s">
        <v>10</v>
      </c>
      <c r="E297" t="s">
        <v>11</v>
      </c>
      <c r="F297" t="s">
        <v>17</v>
      </c>
      <c r="G297">
        <v>70274</v>
      </c>
      <c r="H297">
        <v>47786</v>
      </c>
      <c r="I297">
        <f>sales_data[[#This Row],[revenue]]-sales_data[[#This Row],[cost]]</f>
        <v>22488</v>
      </c>
      <c r="J297" s="1">
        <f>sales_data[[#This Row],[profit]]/sales_data[[#This Row],[revenue]]</f>
        <v>0.3200045536044625</v>
      </c>
      <c r="K297" t="str">
        <f>IF(OR(sales_data[[#This Row],[revenue]]="",sales_data[[#This Row],[cost]]=""),"Check","OK")</f>
        <v>OK</v>
      </c>
    </row>
    <row r="298" spans="1:11" x14ac:dyDescent="0.3">
      <c r="A298" t="s">
        <v>234</v>
      </c>
      <c r="B298" s="2">
        <v>45690</v>
      </c>
      <c r="C298" t="s">
        <v>19</v>
      </c>
      <c r="D298" t="s">
        <v>23</v>
      </c>
      <c r="E298" t="s">
        <v>34</v>
      </c>
      <c r="F298" t="s">
        <v>12</v>
      </c>
      <c r="G298">
        <v>25806</v>
      </c>
      <c r="H298">
        <v>19096</v>
      </c>
      <c r="I298">
        <f>sales_data[[#This Row],[revenue]]-sales_data[[#This Row],[cost]]</f>
        <v>6710</v>
      </c>
      <c r="J298" s="1">
        <f>sales_data[[#This Row],[profit]]/sales_data[[#This Row],[revenue]]</f>
        <v>0.26001705029838024</v>
      </c>
      <c r="K298" t="str">
        <f>IF(OR(sales_data[[#This Row],[revenue]]="",sales_data[[#This Row],[cost]]=""),"Check","OK")</f>
        <v>OK</v>
      </c>
    </row>
    <row r="299" spans="1:11" x14ac:dyDescent="0.3">
      <c r="A299" t="s">
        <v>235</v>
      </c>
      <c r="B299" s="2">
        <v>45689</v>
      </c>
      <c r="C299" t="s">
        <v>9</v>
      </c>
      <c r="D299" t="s">
        <v>15</v>
      </c>
      <c r="E299" t="s">
        <v>16</v>
      </c>
      <c r="F299" t="s">
        <v>17</v>
      </c>
      <c r="G299">
        <v>75251</v>
      </c>
      <c r="H299">
        <v>59448</v>
      </c>
      <c r="I299">
        <f>sales_data[[#This Row],[revenue]]-sales_data[[#This Row],[cost]]</f>
        <v>15803</v>
      </c>
      <c r="J299" s="1">
        <f>sales_data[[#This Row],[profit]]/sales_data[[#This Row],[revenue]]</f>
        <v>0.21000385376938513</v>
      </c>
      <c r="K299" t="str">
        <f>IF(OR(sales_data[[#This Row],[revenue]]="",sales_data[[#This Row],[cost]]=""),"Check","OK")</f>
        <v>OK</v>
      </c>
    </row>
    <row r="300" spans="1:11" x14ac:dyDescent="0.3">
      <c r="A300" t="s">
        <v>236</v>
      </c>
      <c r="B300" s="2">
        <v>45699</v>
      </c>
      <c r="C300" t="s">
        <v>22</v>
      </c>
      <c r="D300" t="s">
        <v>15</v>
      </c>
      <c r="E300" t="s">
        <v>32</v>
      </c>
      <c r="F300" t="s">
        <v>17</v>
      </c>
      <c r="G300">
        <v>69173</v>
      </c>
      <c r="H300">
        <v>50496</v>
      </c>
      <c r="I300">
        <f>sales_data[[#This Row],[revenue]]-sales_data[[#This Row],[cost]]</f>
        <v>18677</v>
      </c>
      <c r="J300" s="1">
        <f>sales_data[[#This Row],[profit]]/sales_data[[#This Row],[revenue]]</f>
        <v>0.27000419238720308</v>
      </c>
      <c r="K300" t="str">
        <f>IF(OR(sales_data[[#This Row],[revenue]]="",sales_data[[#This Row],[cost]]=""),"Check","OK")</f>
        <v>OK</v>
      </c>
    </row>
    <row r="301" spans="1:11" x14ac:dyDescent="0.3">
      <c r="A301" t="s">
        <v>237</v>
      </c>
      <c r="B301" s="2">
        <v>45710</v>
      </c>
      <c r="C301" t="s">
        <v>19</v>
      </c>
      <c r="D301" t="s">
        <v>10</v>
      </c>
      <c r="E301" t="s">
        <v>16</v>
      </c>
      <c r="F301" t="s">
        <v>17</v>
      </c>
      <c r="G301">
        <v>48847</v>
      </c>
      <c r="H301">
        <v>37124</v>
      </c>
      <c r="I301">
        <f>sales_data[[#This Row],[revenue]]-sales_data[[#This Row],[cost]]</f>
        <v>11723</v>
      </c>
      <c r="J301" s="1">
        <f>sales_data[[#This Row],[profit]]/sales_data[[#This Row],[revenue]]</f>
        <v>0.23999426781583311</v>
      </c>
      <c r="K301" t="str">
        <f>IF(OR(sales_data[[#This Row],[revenue]]="",sales_data[[#This Row],[cost]]=""),"Check","OK")</f>
        <v>OK</v>
      </c>
    </row>
    <row r="302" spans="1:11" x14ac:dyDescent="0.3">
      <c r="A302" t="s">
        <v>238</v>
      </c>
      <c r="B302" s="2">
        <v>45692</v>
      </c>
      <c r="C302" t="s">
        <v>9</v>
      </c>
      <c r="D302" t="s">
        <v>23</v>
      </c>
      <c r="E302" t="s">
        <v>11</v>
      </c>
      <c r="F302" t="s">
        <v>17</v>
      </c>
      <c r="G302">
        <v>75643</v>
      </c>
      <c r="H302">
        <v>60514</v>
      </c>
      <c r="I302">
        <f>sales_data[[#This Row],[revenue]]-sales_data[[#This Row],[cost]]</f>
        <v>15129</v>
      </c>
      <c r="J302" s="1">
        <f>sales_data[[#This Row],[profit]]/sales_data[[#This Row],[revenue]]</f>
        <v>0.20000528799756753</v>
      </c>
      <c r="K302" t="str">
        <f>IF(OR(sales_data[[#This Row],[revenue]]="",sales_data[[#This Row],[cost]]=""),"Check","OK")</f>
        <v>OK</v>
      </c>
    </row>
    <row r="303" spans="1:11" x14ac:dyDescent="0.3">
      <c r="A303" t="s">
        <v>239</v>
      </c>
      <c r="B303" s="2">
        <v>45713</v>
      </c>
      <c r="C303" t="s">
        <v>9</v>
      </c>
      <c r="D303" t="s">
        <v>15</v>
      </c>
      <c r="E303" t="s">
        <v>16</v>
      </c>
      <c r="F303" t="s">
        <v>12</v>
      </c>
      <c r="G303">
        <v>20518</v>
      </c>
      <c r="H303">
        <v>16414</v>
      </c>
      <c r="I303">
        <f>sales_data[[#This Row],[revenue]]-sales_data[[#This Row],[cost]]</f>
        <v>4104</v>
      </c>
      <c r="J303" s="1">
        <f>sales_data[[#This Row],[profit]]/sales_data[[#This Row],[revenue]]</f>
        <v>0.20001949507749292</v>
      </c>
      <c r="K303" t="str">
        <f>IF(OR(sales_data[[#This Row],[revenue]]="",sales_data[[#This Row],[cost]]=""),"Check","OK")</f>
        <v>OK</v>
      </c>
    </row>
    <row r="304" spans="1:11" x14ac:dyDescent="0.3">
      <c r="A304" t="s">
        <v>240</v>
      </c>
      <c r="B304" s="2">
        <v>45695</v>
      </c>
      <c r="C304" t="s">
        <v>22</v>
      </c>
      <c r="D304" t="s">
        <v>10</v>
      </c>
      <c r="E304" t="s">
        <v>11</v>
      </c>
      <c r="F304" t="s">
        <v>12</v>
      </c>
      <c r="G304">
        <v>94769</v>
      </c>
      <c r="H304">
        <v>62548</v>
      </c>
      <c r="I304">
        <f>sales_data[[#This Row],[revenue]]-sales_data[[#This Row],[cost]]</f>
        <v>32221</v>
      </c>
      <c r="J304" s="1">
        <f>sales_data[[#This Row],[profit]]/sales_data[[#This Row],[revenue]]</f>
        <v>0.33999514609207654</v>
      </c>
      <c r="K304" t="str">
        <f>IF(OR(sales_data[[#This Row],[revenue]]="",sales_data[[#This Row],[cost]]=""),"Check","OK")</f>
        <v>OK</v>
      </c>
    </row>
    <row r="305" spans="1:11" x14ac:dyDescent="0.3">
      <c r="A305" t="s">
        <v>241</v>
      </c>
      <c r="B305" s="2">
        <v>45699</v>
      </c>
      <c r="C305" t="s">
        <v>9</v>
      </c>
      <c r="D305" t="s">
        <v>23</v>
      </c>
      <c r="E305" t="s">
        <v>11</v>
      </c>
      <c r="F305" t="s">
        <v>17</v>
      </c>
      <c r="G305">
        <v>10567</v>
      </c>
      <c r="H305">
        <v>6552</v>
      </c>
      <c r="I305">
        <f>sales_data[[#This Row],[revenue]]-sales_data[[#This Row],[cost]]</f>
        <v>4015</v>
      </c>
      <c r="J305" s="1">
        <f>sales_data[[#This Row],[profit]]/sales_data[[#This Row],[revenue]]</f>
        <v>0.37995646825021295</v>
      </c>
      <c r="K305" t="str">
        <f>IF(OR(sales_data[[#This Row],[revenue]]="",sales_data[[#This Row],[cost]]=""),"Check","OK")</f>
        <v>OK</v>
      </c>
    </row>
    <row r="306" spans="1:11" x14ac:dyDescent="0.3">
      <c r="A306" t="s">
        <v>242</v>
      </c>
      <c r="B306" s="2">
        <v>45708</v>
      </c>
      <c r="C306" t="s">
        <v>9</v>
      </c>
      <c r="D306" t="s">
        <v>10</v>
      </c>
      <c r="E306" t="s">
        <v>16</v>
      </c>
      <c r="F306" t="s">
        <v>12</v>
      </c>
      <c r="G306">
        <v>28132</v>
      </c>
      <c r="H306">
        <v>17723</v>
      </c>
      <c r="I306">
        <f>sales_data[[#This Row],[revenue]]-sales_data[[#This Row],[cost]]</f>
        <v>10409</v>
      </c>
      <c r="J306" s="1">
        <f>sales_data[[#This Row],[profit]]/sales_data[[#This Row],[revenue]]</f>
        <v>0.37000568747333995</v>
      </c>
      <c r="K306" t="str">
        <f>IF(OR(sales_data[[#This Row],[revenue]]="",sales_data[[#This Row],[cost]]=""),"Check","OK")</f>
        <v>OK</v>
      </c>
    </row>
    <row r="307" spans="1:11" x14ac:dyDescent="0.3">
      <c r="A307" t="s">
        <v>243</v>
      </c>
      <c r="B307" s="2">
        <v>45695</v>
      </c>
      <c r="C307" t="s">
        <v>22</v>
      </c>
      <c r="D307" t="s">
        <v>15</v>
      </c>
      <c r="E307" t="s">
        <v>38</v>
      </c>
      <c r="F307" t="s">
        <v>17</v>
      </c>
      <c r="G307">
        <v>12079</v>
      </c>
      <c r="H307">
        <v>8697</v>
      </c>
      <c r="I307">
        <f>sales_data[[#This Row],[revenue]]-sales_data[[#This Row],[cost]]</f>
        <v>3382</v>
      </c>
      <c r="J307" s="1">
        <f>sales_data[[#This Row],[profit]]/sales_data[[#This Row],[revenue]]</f>
        <v>0.27999006540276511</v>
      </c>
      <c r="K307" t="str">
        <f>IF(OR(sales_data[[#This Row],[revenue]]="",sales_data[[#This Row],[cost]]=""),"Check","OK")</f>
        <v>OK</v>
      </c>
    </row>
    <row r="308" spans="1:11" x14ac:dyDescent="0.3">
      <c r="A308" t="s">
        <v>244</v>
      </c>
      <c r="B308" s="2">
        <v>45696</v>
      </c>
      <c r="C308" t="s">
        <v>14</v>
      </c>
      <c r="D308" t="s">
        <v>23</v>
      </c>
      <c r="E308" t="s">
        <v>32</v>
      </c>
      <c r="F308" t="s">
        <v>17</v>
      </c>
      <c r="G308">
        <v>87275</v>
      </c>
      <c r="H308">
        <v>58474</v>
      </c>
      <c r="I308">
        <f>sales_data[[#This Row],[revenue]]-sales_data[[#This Row],[cost]]</f>
        <v>28801</v>
      </c>
      <c r="J308" s="1">
        <f>sales_data[[#This Row],[profit]]/sales_data[[#This Row],[revenue]]</f>
        <v>0.33000286450873673</v>
      </c>
      <c r="K308" t="str">
        <f>IF(OR(sales_data[[#This Row],[revenue]]="",sales_data[[#This Row],[cost]]=""),"Check","OK")</f>
        <v>OK</v>
      </c>
    </row>
    <row r="309" spans="1:11" x14ac:dyDescent="0.3">
      <c r="A309" t="s">
        <v>245</v>
      </c>
      <c r="B309" s="2">
        <v>45701</v>
      </c>
      <c r="C309" t="s">
        <v>22</v>
      </c>
      <c r="D309" t="s">
        <v>10</v>
      </c>
      <c r="E309" t="s">
        <v>20</v>
      </c>
      <c r="F309" t="s">
        <v>17</v>
      </c>
      <c r="G309">
        <v>40893</v>
      </c>
      <c r="H309">
        <v>28216</v>
      </c>
      <c r="I309">
        <f>sales_data[[#This Row],[revenue]]-sales_data[[#This Row],[cost]]</f>
        <v>12677</v>
      </c>
      <c r="J309" s="1">
        <f>sales_data[[#This Row],[profit]]/sales_data[[#This Row],[revenue]]</f>
        <v>0.31000415719071722</v>
      </c>
      <c r="K309" t="str">
        <f>IF(OR(sales_data[[#This Row],[revenue]]="",sales_data[[#This Row],[cost]]=""),"Check","OK")</f>
        <v>OK</v>
      </c>
    </row>
    <row r="310" spans="1:11" x14ac:dyDescent="0.3">
      <c r="A310" t="s">
        <v>246</v>
      </c>
      <c r="B310" s="2">
        <v>45716</v>
      </c>
      <c r="C310" t="s">
        <v>9</v>
      </c>
      <c r="D310" t="s">
        <v>10</v>
      </c>
      <c r="E310" t="s">
        <v>34</v>
      </c>
      <c r="F310" t="s">
        <v>17</v>
      </c>
      <c r="G310">
        <v>92255</v>
      </c>
      <c r="H310">
        <v>59966</v>
      </c>
      <c r="I310">
        <f>sales_data[[#This Row],[revenue]]-sales_data[[#This Row],[cost]]</f>
        <v>32289</v>
      </c>
      <c r="J310" s="1">
        <f>sales_data[[#This Row],[profit]]/sales_data[[#This Row],[revenue]]</f>
        <v>0.34999729011977671</v>
      </c>
      <c r="K310" t="str">
        <f>IF(OR(sales_data[[#This Row],[revenue]]="",sales_data[[#This Row],[cost]]=""),"Check","OK")</f>
        <v>OK</v>
      </c>
    </row>
    <row r="311" spans="1:11" x14ac:dyDescent="0.3">
      <c r="A311" t="s">
        <v>247</v>
      </c>
      <c r="B311" s="2">
        <v>45713</v>
      </c>
      <c r="C311" t="s">
        <v>22</v>
      </c>
      <c r="D311" t="s">
        <v>10</v>
      </c>
      <c r="E311" t="s">
        <v>34</v>
      </c>
      <c r="F311" t="s">
        <v>12</v>
      </c>
      <c r="G311">
        <v>94066</v>
      </c>
      <c r="H311">
        <v>68668</v>
      </c>
      <c r="I311">
        <f>sales_data[[#This Row],[revenue]]-sales_data[[#This Row],[cost]]</f>
        <v>25398</v>
      </c>
      <c r="J311" s="1">
        <f>sales_data[[#This Row],[profit]]/sales_data[[#This Row],[revenue]]</f>
        <v>0.27000191355006059</v>
      </c>
      <c r="K311" t="str">
        <f>IF(OR(sales_data[[#This Row],[revenue]]="",sales_data[[#This Row],[cost]]=""),"Check","OK")</f>
        <v>OK</v>
      </c>
    </row>
    <row r="312" spans="1:11" x14ac:dyDescent="0.3">
      <c r="A312" t="s">
        <v>248</v>
      </c>
      <c r="B312" s="2">
        <v>45694</v>
      </c>
      <c r="C312" t="s">
        <v>22</v>
      </c>
      <c r="D312" t="s">
        <v>23</v>
      </c>
      <c r="E312" t="s">
        <v>32</v>
      </c>
      <c r="F312" t="s">
        <v>17</v>
      </c>
      <c r="G312">
        <v>54720</v>
      </c>
      <c r="H312">
        <v>40493</v>
      </c>
      <c r="I312">
        <f>sales_data[[#This Row],[revenue]]-sales_data[[#This Row],[cost]]</f>
        <v>14227</v>
      </c>
      <c r="J312" s="1">
        <f>sales_data[[#This Row],[profit]]/sales_data[[#This Row],[revenue]]</f>
        <v>0.25999634502923974</v>
      </c>
      <c r="K312" t="str">
        <f>IF(OR(sales_data[[#This Row],[revenue]]="",sales_data[[#This Row],[cost]]=""),"Check","OK")</f>
        <v>OK</v>
      </c>
    </row>
    <row r="313" spans="1:11" x14ac:dyDescent="0.3">
      <c r="A313" t="s">
        <v>249</v>
      </c>
      <c r="B313" s="2">
        <v>45698</v>
      </c>
      <c r="C313" t="s">
        <v>19</v>
      </c>
      <c r="D313" t="s">
        <v>15</v>
      </c>
      <c r="E313" t="s">
        <v>38</v>
      </c>
      <c r="F313" t="s">
        <v>17</v>
      </c>
      <c r="G313">
        <v>74946</v>
      </c>
      <c r="H313">
        <v>59957</v>
      </c>
      <c r="I313">
        <f>sales_data[[#This Row],[revenue]]-sales_data[[#This Row],[cost]]</f>
        <v>14989</v>
      </c>
      <c r="J313" s="1">
        <f>sales_data[[#This Row],[profit]]/sales_data[[#This Row],[revenue]]</f>
        <v>0.19999733141194995</v>
      </c>
      <c r="K313" t="str">
        <f>IF(OR(sales_data[[#This Row],[revenue]]="",sales_data[[#This Row],[cost]]=""),"Check","OK")</f>
        <v>OK</v>
      </c>
    </row>
    <row r="314" spans="1:11" x14ac:dyDescent="0.3">
      <c r="A314" t="s">
        <v>250</v>
      </c>
      <c r="B314" s="2">
        <v>45692</v>
      </c>
      <c r="C314" t="s">
        <v>22</v>
      </c>
      <c r="D314" t="s">
        <v>10</v>
      </c>
      <c r="E314" t="s">
        <v>32</v>
      </c>
      <c r="F314" t="s">
        <v>17</v>
      </c>
      <c r="G314">
        <v>69738</v>
      </c>
      <c r="H314">
        <v>50211</v>
      </c>
      <c r="I314">
        <f>sales_data[[#This Row],[revenue]]-sales_data[[#This Row],[cost]]</f>
        <v>19527</v>
      </c>
      <c r="J314" s="1">
        <f>sales_data[[#This Row],[profit]]/sales_data[[#This Row],[revenue]]</f>
        <v>0.28000516217843929</v>
      </c>
      <c r="K314" t="str">
        <f>IF(OR(sales_data[[#This Row],[revenue]]="",sales_data[[#This Row],[cost]]=""),"Check","OK")</f>
        <v>OK</v>
      </c>
    </row>
    <row r="315" spans="1:11" x14ac:dyDescent="0.3">
      <c r="A315" t="s">
        <v>251</v>
      </c>
      <c r="B315" s="2">
        <v>45692</v>
      </c>
      <c r="C315" t="s">
        <v>9</v>
      </c>
      <c r="D315" t="s">
        <v>23</v>
      </c>
      <c r="E315" t="s">
        <v>24</v>
      </c>
      <c r="F315" t="s">
        <v>17</v>
      </c>
      <c r="G315">
        <v>19611</v>
      </c>
      <c r="H315">
        <v>13532</v>
      </c>
      <c r="I315">
        <f>sales_data[[#This Row],[revenue]]-sales_data[[#This Row],[cost]]</f>
        <v>6079</v>
      </c>
      <c r="J315" s="1">
        <f>sales_data[[#This Row],[profit]]/sales_data[[#This Row],[revenue]]</f>
        <v>0.30997909336596807</v>
      </c>
      <c r="K315" t="str">
        <f>IF(OR(sales_data[[#This Row],[revenue]]="",sales_data[[#This Row],[cost]]=""),"Check","OK")</f>
        <v>OK</v>
      </c>
    </row>
    <row r="316" spans="1:11" x14ac:dyDescent="0.3">
      <c r="A316" t="s">
        <v>252</v>
      </c>
      <c r="B316" s="2">
        <v>45710</v>
      </c>
      <c r="C316" t="s">
        <v>22</v>
      </c>
      <c r="D316" t="s">
        <v>23</v>
      </c>
      <c r="E316" t="s">
        <v>29</v>
      </c>
      <c r="F316" t="s">
        <v>17</v>
      </c>
      <c r="G316">
        <v>53155</v>
      </c>
      <c r="H316">
        <v>41992</v>
      </c>
      <c r="I316">
        <f>sales_data[[#This Row],[revenue]]-sales_data[[#This Row],[cost]]</f>
        <v>11163</v>
      </c>
      <c r="J316" s="1">
        <f>sales_data[[#This Row],[profit]]/sales_data[[#This Row],[revenue]]</f>
        <v>0.21000846580754398</v>
      </c>
      <c r="K316" t="str">
        <f>IF(OR(sales_data[[#This Row],[revenue]]="",sales_data[[#This Row],[cost]]=""),"Check","OK")</f>
        <v>OK</v>
      </c>
    </row>
    <row r="317" spans="1:11" x14ac:dyDescent="0.3">
      <c r="A317" t="s">
        <v>253</v>
      </c>
      <c r="B317" s="2">
        <v>45703</v>
      </c>
      <c r="C317" t="s">
        <v>14</v>
      </c>
      <c r="D317" t="s">
        <v>23</v>
      </c>
      <c r="E317" t="s">
        <v>11</v>
      </c>
      <c r="F317" t="s">
        <v>17</v>
      </c>
      <c r="G317">
        <v>92014</v>
      </c>
      <c r="H317">
        <v>69931</v>
      </c>
      <c r="I317">
        <f>sales_data[[#This Row],[revenue]]-sales_data[[#This Row],[cost]]</f>
        <v>22083</v>
      </c>
      <c r="J317" s="1">
        <f>sales_data[[#This Row],[profit]]/sales_data[[#This Row],[revenue]]</f>
        <v>0.23999608755189428</v>
      </c>
      <c r="K317" t="str">
        <f>IF(OR(sales_data[[#This Row],[revenue]]="",sales_data[[#This Row],[cost]]=""),"Check","OK")</f>
        <v>OK</v>
      </c>
    </row>
    <row r="318" spans="1:11" x14ac:dyDescent="0.3">
      <c r="A318" t="s">
        <v>254</v>
      </c>
      <c r="B318" s="2">
        <v>45711</v>
      </c>
      <c r="C318" t="s">
        <v>9</v>
      </c>
      <c r="D318" t="s">
        <v>10</v>
      </c>
      <c r="E318" t="s">
        <v>36</v>
      </c>
      <c r="F318" t="s">
        <v>12</v>
      </c>
      <c r="G318">
        <v>62908</v>
      </c>
      <c r="H318">
        <v>47181</v>
      </c>
      <c r="I318">
        <f>sales_data[[#This Row],[revenue]]-sales_data[[#This Row],[cost]]</f>
        <v>15727</v>
      </c>
      <c r="J318" s="1">
        <f>sales_data[[#This Row],[profit]]/sales_data[[#This Row],[revenue]]</f>
        <v>0.25</v>
      </c>
      <c r="K318" t="str">
        <f>IF(OR(sales_data[[#This Row],[revenue]]="",sales_data[[#This Row],[cost]]=""),"Check","OK")</f>
        <v>OK</v>
      </c>
    </row>
    <row r="319" spans="1:11" x14ac:dyDescent="0.3">
      <c r="A319" t="s">
        <v>255</v>
      </c>
      <c r="B319" s="2">
        <v>45699</v>
      </c>
      <c r="C319" t="s">
        <v>9</v>
      </c>
      <c r="D319" t="s">
        <v>15</v>
      </c>
      <c r="E319" t="s">
        <v>29</v>
      </c>
      <c r="F319" t="s">
        <v>12</v>
      </c>
      <c r="G319">
        <v>58037</v>
      </c>
      <c r="H319">
        <v>44688</v>
      </c>
      <c r="I319">
        <f>sales_data[[#This Row],[revenue]]-sales_data[[#This Row],[cost]]</f>
        <v>13349</v>
      </c>
      <c r="J319" s="1">
        <f>sales_data[[#This Row],[profit]]/sales_data[[#This Row],[revenue]]</f>
        <v>0.23000844288988059</v>
      </c>
      <c r="K319" t="str">
        <f>IF(OR(sales_data[[#This Row],[revenue]]="",sales_data[[#This Row],[cost]]=""),"Check","OK")</f>
        <v>OK</v>
      </c>
    </row>
    <row r="320" spans="1:11" x14ac:dyDescent="0.3">
      <c r="A320" t="s">
        <v>256</v>
      </c>
      <c r="B320" s="2">
        <v>45695</v>
      </c>
      <c r="C320" t="s">
        <v>19</v>
      </c>
      <c r="D320" t="s">
        <v>10</v>
      </c>
      <c r="E320" t="s">
        <v>24</v>
      </c>
      <c r="F320" t="s">
        <v>12</v>
      </c>
      <c r="G320">
        <v>22398</v>
      </c>
      <c r="H320">
        <v>14783</v>
      </c>
      <c r="I320">
        <f>sales_data[[#This Row],[revenue]]-sales_data[[#This Row],[cost]]</f>
        <v>7615</v>
      </c>
      <c r="J320" s="1">
        <f>sales_data[[#This Row],[profit]]/sales_data[[#This Row],[revenue]]</f>
        <v>0.33998571301009017</v>
      </c>
      <c r="K320" t="str">
        <f>IF(OR(sales_data[[#This Row],[revenue]]="",sales_data[[#This Row],[cost]]=""),"Check","OK")</f>
        <v>OK</v>
      </c>
    </row>
    <row r="321" spans="1:11" x14ac:dyDescent="0.3">
      <c r="A321" t="s">
        <v>257</v>
      </c>
      <c r="B321" s="2">
        <v>45705</v>
      </c>
      <c r="C321" t="s">
        <v>9</v>
      </c>
      <c r="D321" t="s">
        <v>23</v>
      </c>
      <c r="E321" t="s">
        <v>34</v>
      </c>
      <c r="F321" t="s">
        <v>12</v>
      </c>
      <c r="G321">
        <v>58063</v>
      </c>
      <c r="H321">
        <v>40644</v>
      </c>
      <c r="I321">
        <f>sales_data[[#This Row],[revenue]]-sales_data[[#This Row],[cost]]</f>
        <v>17419</v>
      </c>
      <c r="J321" s="1">
        <f>sales_data[[#This Row],[profit]]/sales_data[[#This Row],[revenue]]</f>
        <v>0.30000172226719252</v>
      </c>
      <c r="K321" t="str">
        <f>IF(OR(sales_data[[#This Row],[revenue]]="",sales_data[[#This Row],[cost]]=""),"Check","OK")</f>
        <v>OK</v>
      </c>
    </row>
    <row r="322" spans="1:11" x14ac:dyDescent="0.3">
      <c r="A322" t="s">
        <v>258</v>
      </c>
      <c r="B322" s="2">
        <v>45704</v>
      </c>
      <c r="C322" t="s">
        <v>14</v>
      </c>
      <c r="D322" t="s">
        <v>15</v>
      </c>
      <c r="E322" t="s">
        <v>11</v>
      </c>
      <c r="F322" t="s">
        <v>12</v>
      </c>
      <c r="G322">
        <v>94961</v>
      </c>
      <c r="H322">
        <v>65523</v>
      </c>
      <c r="I322">
        <f>sales_data[[#This Row],[revenue]]-sales_data[[#This Row],[cost]]</f>
        <v>29438</v>
      </c>
      <c r="J322" s="1">
        <f>sales_data[[#This Row],[profit]]/sales_data[[#This Row],[revenue]]</f>
        <v>0.31000094775750042</v>
      </c>
      <c r="K322" t="str">
        <f>IF(OR(sales_data[[#This Row],[revenue]]="",sales_data[[#This Row],[cost]]=""),"Check","OK")</f>
        <v>OK</v>
      </c>
    </row>
    <row r="323" spans="1:11" x14ac:dyDescent="0.3">
      <c r="A323" t="s">
        <v>259</v>
      </c>
      <c r="B323" s="2">
        <v>45706</v>
      </c>
      <c r="C323" t="s">
        <v>19</v>
      </c>
      <c r="D323" t="s">
        <v>15</v>
      </c>
      <c r="E323" t="s">
        <v>26</v>
      </c>
      <c r="F323" t="s">
        <v>12</v>
      </c>
      <c r="G323">
        <v>54989</v>
      </c>
      <c r="H323">
        <v>36843</v>
      </c>
      <c r="I323">
        <f>sales_data[[#This Row],[revenue]]-sales_data[[#This Row],[cost]]</f>
        <v>18146</v>
      </c>
      <c r="J323" s="1">
        <f>sales_data[[#This Row],[profit]]/sales_data[[#This Row],[revenue]]</f>
        <v>0.32999327138154905</v>
      </c>
      <c r="K323" t="str">
        <f>IF(OR(sales_data[[#This Row],[revenue]]="",sales_data[[#This Row],[cost]]=""),"Check","OK")</f>
        <v>OK</v>
      </c>
    </row>
    <row r="324" spans="1:11" x14ac:dyDescent="0.3">
      <c r="A324" t="s">
        <v>260</v>
      </c>
      <c r="B324" s="2">
        <v>45704</v>
      </c>
      <c r="C324" t="s">
        <v>19</v>
      </c>
      <c r="D324" t="s">
        <v>23</v>
      </c>
      <c r="E324" t="s">
        <v>36</v>
      </c>
      <c r="F324" t="s">
        <v>17</v>
      </c>
      <c r="G324">
        <v>41832</v>
      </c>
      <c r="H324">
        <v>31374</v>
      </c>
      <c r="I324">
        <f>sales_data[[#This Row],[revenue]]-sales_data[[#This Row],[cost]]</f>
        <v>10458</v>
      </c>
      <c r="J324" s="1">
        <f>sales_data[[#This Row],[profit]]/sales_data[[#This Row],[revenue]]</f>
        <v>0.25</v>
      </c>
      <c r="K324" t="str">
        <f>IF(OR(sales_data[[#This Row],[revenue]]="",sales_data[[#This Row],[cost]]=""),"Check","OK")</f>
        <v>OK</v>
      </c>
    </row>
    <row r="325" spans="1:11" x14ac:dyDescent="0.3">
      <c r="A325" t="s">
        <v>261</v>
      </c>
      <c r="B325" s="2">
        <v>45716</v>
      </c>
      <c r="C325" t="s">
        <v>22</v>
      </c>
      <c r="D325" t="s">
        <v>23</v>
      </c>
      <c r="E325" t="s">
        <v>24</v>
      </c>
      <c r="F325" t="s">
        <v>17</v>
      </c>
      <c r="G325">
        <v>60153</v>
      </c>
      <c r="H325">
        <v>40904</v>
      </c>
      <c r="I325">
        <f>sales_data[[#This Row],[revenue]]-sales_data[[#This Row],[cost]]</f>
        <v>19249</v>
      </c>
      <c r="J325" s="1">
        <f>sales_data[[#This Row],[profit]]/sales_data[[#This Row],[revenue]]</f>
        <v>0.32000066497099067</v>
      </c>
      <c r="K325" t="str">
        <f>IF(OR(sales_data[[#This Row],[revenue]]="",sales_data[[#This Row],[cost]]=""),"Check","OK")</f>
        <v>OK</v>
      </c>
    </row>
    <row r="326" spans="1:11" x14ac:dyDescent="0.3">
      <c r="A326" t="s">
        <v>262</v>
      </c>
      <c r="B326" s="2">
        <v>45699</v>
      </c>
      <c r="C326" t="s">
        <v>14</v>
      </c>
      <c r="D326" t="s">
        <v>10</v>
      </c>
      <c r="E326" t="s">
        <v>29</v>
      </c>
      <c r="F326" t="s">
        <v>12</v>
      </c>
      <c r="G326">
        <v>90901</v>
      </c>
      <c r="H326">
        <v>63631</v>
      </c>
      <c r="I326">
        <f>sales_data[[#This Row],[revenue]]-sales_data[[#This Row],[cost]]</f>
        <v>27270</v>
      </c>
      <c r="J326" s="1">
        <f>sales_data[[#This Row],[profit]]/sales_data[[#This Row],[revenue]]</f>
        <v>0.29999669970627385</v>
      </c>
      <c r="K326" t="str">
        <f>IF(OR(sales_data[[#This Row],[revenue]]="",sales_data[[#This Row],[cost]]=""),"Check","OK")</f>
        <v>OK</v>
      </c>
    </row>
    <row r="327" spans="1:11" x14ac:dyDescent="0.3">
      <c r="A327" t="s">
        <v>263</v>
      </c>
      <c r="B327" s="2">
        <v>45696</v>
      </c>
      <c r="C327" t="s">
        <v>9</v>
      </c>
      <c r="D327" t="s">
        <v>23</v>
      </c>
      <c r="E327" t="s">
        <v>11</v>
      </c>
      <c r="F327" t="s">
        <v>12</v>
      </c>
      <c r="G327">
        <v>23141</v>
      </c>
      <c r="H327">
        <v>15504</v>
      </c>
      <c r="I327">
        <f>sales_data[[#This Row],[revenue]]-sales_data[[#This Row],[cost]]</f>
        <v>7637</v>
      </c>
      <c r="J327" s="1">
        <f>sales_data[[#This Row],[profit]]/sales_data[[#This Row],[revenue]]</f>
        <v>0.33002031027181195</v>
      </c>
      <c r="K327" t="str">
        <f>IF(OR(sales_data[[#This Row],[revenue]]="",sales_data[[#This Row],[cost]]=""),"Check","OK")</f>
        <v>OK</v>
      </c>
    </row>
    <row r="328" spans="1:11" x14ac:dyDescent="0.3">
      <c r="A328" t="s">
        <v>264</v>
      </c>
      <c r="B328" s="2">
        <v>45697</v>
      </c>
      <c r="C328" t="s">
        <v>19</v>
      </c>
      <c r="D328" t="s">
        <v>23</v>
      </c>
      <c r="E328" t="s">
        <v>29</v>
      </c>
      <c r="F328" t="s">
        <v>17</v>
      </c>
      <c r="G328">
        <v>61011</v>
      </c>
      <c r="H328">
        <v>40267</v>
      </c>
      <c r="I328">
        <f>sales_data[[#This Row],[revenue]]-sales_data[[#This Row],[cost]]</f>
        <v>20744</v>
      </c>
      <c r="J328" s="1">
        <f>sales_data[[#This Row],[profit]]/sales_data[[#This Row],[revenue]]</f>
        <v>0.34000426152660995</v>
      </c>
      <c r="K328" t="str">
        <f>IF(OR(sales_data[[#This Row],[revenue]]="",sales_data[[#This Row],[cost]]=""),"Check","OK")</f>
        <v>OK</v>
      </c>
    </row>
    <row r="329" spans="1:11" x14ac:dyDescent="0.3">
      <c r="A329" t="s">
        <v>265</v>
      </c>
      <c r="B329" s="2">
        <v>45701</v>
      </c>
      <c r="C329" t="s">
        <v>22</v>
      </c>
      <c r="D329" t="s">
        <v>10</v>
      </c>
      <c r="E329" t="s">
        <v>34</v>
      </c>
      <c r="F329" t="s">
        <v>12</v>
      </c>
      <c r="G329">
        <v>96142</v>
      </c>
      <c r="H329">
        <v>74029</v>
      </c>
      <c r="I329">
        <f>sales_data[[#This Row],[revenue]]-sales_data[[#This Row],[cost]]</f>
        <v>22113</v>
      </c>
      <c r="J329" s="1">
        <f>sales_data[[#This Row],[profit]]/sales_data[[#This Row],[revenue]]</f>
        <v>0.23000353643568888</v>
      </c>
      <c r="K329" t="str">
        <f>IF(OR(sales_data[[#This Row],[revenue]]="",sales_data[[#This Row],[cost]]=""),"Check","OK")</f>
        <v>OK</v>
      </c>
    </row>
    <row r="330" spans="1:11" x14ac:dyDescent="0.3">
      <c r="A330" t="s">
        <v>266</v>
      </c>
      <c r="B330" s="2">
        <v>45694</v>
      </c>
      <c r="C330" t="s">
        <v>19</v>
      </c>
      <c r="D330" t="s">
        <v>23</v>
      </c>
      <c r="E330" t="s">
        <v>20</v>
      </c>
      <c r="F330" t="s">
        <v>17</v>
      </c>
      <c r="G330">
        <v>22264</v>
      </c>
      <c r="H330">
        <v>15585</v>
      </c>
      <c r="I330">
        <f>sales_data[[#This Row],[revenue]]-sales_data[[#This Row],[cost]]</f>
        <v>6679</v>
      </c>
      <c r="J330" s="1">
        <f>sales_data[[#This Row],[profit]]/sales_data[[#This Row],[revenue]]</f>
        <v>0.29999101688825008</v>
      </c>
      <c r="K330" t="str">
        <f>IF(OR(sales_data[[#This Row],[revenue]]="",sales_data[[#This Row],[cost]]=""),"Check","OK")</f>
        <v>OK</v>
      </c>
    </row>
    <row r="331" spans="1:11" x14ac:dyDescent="0.3">
      <c r="A331" t="s">
        <v>267</v>
      </c>
      <c r="B331" s="2">
        <v>45701</v>
      </c>
      <c r="C331" t="s">
        <v>14</v>
      </c>
      <c r="D331" t="s">
        <v>15</v>
      </c>
      <c r="E331" t="s">
        <v>24</v>
      </c>
      <c r="F331" t="s">
        <v>17</v>
      </c>
      <c r="G331">
        <v>39809</v>
      </c>
      <c r="H331">
        <v>24283</v>
      </c>
      <c r="I331">
        <f>sales_data[[#This Row],[revenue]]-sales_data[[#This Row],[cost]]</f>
        <v>15526</v>
      </c>
      <c r="J331" s="1">
        <f>sales_data[[#This Row],[profit]]/sales_data[[#This Row],[revenue]]</f>
        <v>0.39001230877439774</v>
      </c>
      <c r="K331" t="str">
        <f>IF(OR(sales_data[[#This Row],[revenue]]="",sales_data[[#This Row],[cost]]=""),"Check","OK")</f>
        <v>OK</v>
      </c>
    </row>
    <row r="332" spans="1:11" x14ac:dyDescent="0.3">
      <c r="A332" t="s">
        <v>268</v>
      </c>
      <c r="B332" s="2">
        <v>45711</v>
      </c>
      <c r="C332" t="s">
        <v>9</v>
      </c>
      <c r="D332" t="s">
        <v>10</v>
      </c>
      <c r="E332" t="s">
        <v>29</v>
      </c>
      <c r="F332" t="s">
        <v>17</v>
      </c>
      <c r="G332">
        <v>45843</v>
      </c>
      <c r="H332">
        <v>32090</v>
      </c>
      <c r="I332">
        <f>sales_data[[#This Row],[revenue]]-sales_data[[#This Row],[cost]]</f>
        <v>13753</v>
      </c>
      <c r="J332" s="1">
        <f>sales_data[[#This Row],[profit]]/sales_data[[#This Row],[revenue]]</f>
        <v>0.30000218135811357</v>
      </c>
      <c r="K332" t="str">
        <f>IF(OR(sales_data[[#This Row],[revenue]]="",sales_data[[#This Row],[cost]]=""),"Check","OK")</f>
        <v>OK</v>
      </c>
    </row>
    <row r="333" spans="1:11" x14ac:dyDescent="0.3">
      <c r="A333" t="s">
        <v>269</v>
      </c>
      <c r="B333" s="2">
        <v>45699</v>
      </c>
      <c r="C333" t="s">
        <v>22</v>
      </c>
      <c r="D333" t="s">
        <v>10</v>
      </c>
      <c r="E333" t="s">
        <v>11</v>
      </c>
      <c r="F333" t="s">
        <v>17</v>
      </c>
      <c r="G333">
        <v>68533</v>
      </c>
      <c r="H333">
        <v>50029</v>
      </c>
      <c r="I333">
        <f>sales_data[[#This Row],[revenue]]-sales_data[[#This Row],[cost]]</f>
        <v>18504</v>
      </c>
      <c r="J333" s="1">
        <f>sales_data[[#This Row],[profit]]/sales_data[[#This Row],[revenue]]</f>
        <v>0.27000131323595933</v>
      </c>
      <c r="K333" t="str">
        <f>IF(OR(sales_data[[#This Row],[revenue]]="",sales_data[[#This Row],[cost]]=""),"Check","OK")</f>
        <v>OK</v>
      </c>
    </row>
    <row r="334" spans="1:11" x14ac:dyDescent="0.3">
      <c r="A334" t="s">
        <v>270</v>
      </c>
      <c r="B334" s="2">
        <v>45691</v>
      </c>
      <c r="C334" t="s">
        <v>22</v>
      </c>
      <c r="D334" t="s">
        <v>23</v>
      </c>
      <c r="E334" t="s">
        <v>29</v>
      </c>
      <c r="F334" t="s">
        <v>12</v>
      </c>
      <c r="G334">
        <v>26581</v>
      </c>
      <c r="H334">
        <v>20202</v>
      </c>
      <c r="I334">
        <f>sales_data[[#This Row],[revenue]]-sales_data[[#This Row],[cost]]</f>
        <v>6379</v>
      </c>
      <c r="J334" s="1">
        <f>sales_data[[#This Row],[profit]]/sales_data[[#This Row],[revenue]]</f>
        <v>0.23998344682291864</v>
      </c>
      <c r="K334" t="str">
        <f>IF(OR(sales_data[[#This Row],[revenue]]="",sales_data[[#This Row],[cost]]=""),"Check","OK")</f>
        <v>OK</v>
      </c>
    </row>
    <row r="335" spans="1:11" x14ac:dyDescent="0.3">
      <c r="A335" t="s">
        <v>271</v>
      </c>
      <c r="B335" s="2">
        <v>45695</v>
      </c>
      <c r="C335" t="s">
        <v>14</v>
      </c>
      <c r="D335" t="s">
        <v>23</v>
      </c>
      <c r="E335" t="s">
        <v>36</v>
      </c>
      <c r="F335" t="s">
        <v>12</v>
      </c>
      <c r="G335">
        <v>73122</v>
      </c>
      <c r="H335">
        <v>46067</v>
      </c>
      <c r="I335">
        <f>sales_data[[#This Row],[revenue]]-sales_data[[#This Row],[cost]]</f>
        <v>27055</v>
      </c>
      <c r="J335" s="1">
        <f>sales_data[[#This Row],[profit]]/sales_data[[#This Row],[revenue]]</f>
        <v>0.36999808539153745</v>
      </c>
      <c r="K335" t="str">
        <f>IF(OR(sales_data[[#This Row],[revenue]]="",sales_data[[#This Row],[cost]]=""),"Check","OK")</f>
        <v>OK</v>
      </c>
    </row>
    <row r="336" spans="1:11" x14ac:dyDescent="0.3">
      <c r="A336" t="s">
        <v>272</v>
      </c>
      <c r="B336" s="2">
        <v>45695</v>
      </c>
      <c r="C336" t="s">
        <v>22</v>
      </c>
      <c r="D336" t="s">
        <v>23</v>
      </c>
      <c r="E336" t="s">
        <v>24</v>
      </c>
      <c r="F336" t="s">
        <v>17</v>
      </c>
      <c r="G336">
        <v>90842</v>
      </c>
      <c r="H336">
        <v>59047</v>
      </c>
      <c r="I336">
        <f>sales_data[[#This Row],[revenue]]-sales_data[[#This Row],[cost]]</f>
        <v>31795</v>
      </c>
      <c r="J336" s="1">
        <f>sales_data[[#This Row],[profit]]/sales_data[[#This Row],[revenue]]</f>
        <v>0.35000330243719863</v>
      </c>
      <c r="K336" t="str">
        <f>IF(OR(sales_data[[#This Row],[revenue]]="",sales_data[[#This Row],[cost]]=""),"Check","OK")</f>
        <v>OK</v>
      </c>
    </row>
    <row r="337" spans="1:11" x14ac:dyDescent="0.3">
      <c r="A337" t="s">
        <v>273</v>
      </c>
      <c r="B337" s="2">
        <v>45693</v>
      </c>
      <c r="C337" t="s">
        <v>19</v>
      </c>
      <c r="D337" t="s">
        <v>10</v>
      </c>
      <c r="E337" t="s">
        <v>36</v>
      </c>
      <c r="F337" t="s">
        <v>17</v>
      </c>
      <c r="G337">
        <v>39645</v>
      </c>
      <c r="H337">
        <v>26959</v>
      </c>
      <c r="I337">
        <f>sales_data[[#This Row],[revenue]]-sales_data[[#This Row],[cost]]</f>
        <v>12686</v>
      </c>
      <c r="J337" s="1">
        <f>sales_data[[#This Row],[profit]]/sales_data[[#This Row],[revenue]]</f>
        <v>0.31998991045529068</v>
      </c>
      <c r="K337" t="str">
        <f>IF(OR(sales_data[[#This Row],[revenue]]="",sales_data[[#This Row],[cost]]=""),"Check","OK")</f>
        <v>OK</v>
      </c>
    </row>
    <row r="338" spans="1:11" x14ac:dyDescent="0.3">
      <c r="A338" t="s">
        <v>274</v>
      </c>
      <c r="B338" s="2">
        <v>45708</v>
      </c>
      <c r="C338" t="s">
        <v>9</v>
      </c>
      <c r="D338" t="s">
        <v>10</v>
      </c>
      <c r="E338" t="s">
        <v>26</v>
      </c>
      <c r="F338" t="s">
        <v>17</v>
      </c>
      <c r="G338">
        <v>14673</v>
      </c>
      <c r="H338">
        <v>11298</v>
      </c>
      <c r="I338">
        <f>sales_data[[#This Row],[revenue]]-sales_data[[#This Row],[cost]]</f>
        <v>3375</v>
      </c>
      <c r="J338" s="1">
        <f>sales_data[[#This Row],[profit]]/sales_data[[#This Row],[revenue]]</f>
        <v>0.23001431200163566</v>
      </c>
      <c r="K338" t="str">
        <f>IF(OR(sales_data[[#This Row],[revenue]]="",sales_data[[#This Row],[cost]]=""),"Check","OK")</f>
        <v>OK</v>
      </c>
    </row>
    <row r="339" spans="1:11" x14ac:dyDescent="0.3">
      <c r="A339" t="s">
        <v>275</v>
      </c>
      <c r="B339" s="2">
        <v>45700</v>
      </c>
      <c r="C339" t="s">
        <v>22</v>
      </c>
      <c r="D339" t="s">
        <v>10</v>
      </c>
      <c r="E339" t="s">
        <v>11</v>
      </c>
      <c r="F339" t="s">
        <v>17</v>
      </c>
      <c r="G339">
        <v>35042</v>
      </c>
      <c r="H339">
        <v>26282</v>
      </c>
      <c r="I339">
        <f>sales_data[[#This Row],[revenue]]-sales_data[[#This Row],[cost]]</f>
        <v>8760</v>
      </c>
      <c r="J339" s="1">
        <f>sales_data[[#This Row],[profit]]/sales_data[[#This Row],[revenue]]</f>
        <v>0.24998573140802466</v>
      </c>
      <c r="K339" t="str">
        <f>IF(OR(sales_data[[#This Row],[revenue]]="",sales_data[[#This Row],[cost]]=""),"Check","OK")</f>
        <v>OK</v>
      </c>
    </row>
    <row r="340" spans="1:11" x14ac:dyDescent="0.3">
      <c r="A340" t="s">
        <v>276</v>
      </c>
      <c r="B340" s="2">
        <v>45703</v>
      </c>
      <c r="C340" t="s">
        <v>19</v>
      </c>
      <c r="D340" t="s">
        <v>23</v>
      </c>
      <c r="E340" t="s">
        <v>16</v>
      </c>
      <c r="F340" t="s">
        <v>17</v>
      </c>
      <c r="G340">
        <v>13157</v>
      </c>
      <c r="H340">
        <v>8947</v>
      </c>
      <c r="I340">
        <f>sales_data[[#This Row],[revenue]]-sales_data[[#This Row],[cost]]</f>
        <v>4210</v>
      </c>
      <c r="J340" s="1">
        <f>sales_data[[#This Row],[profit]]/sales_data[[#This Row],[revenue]]</f>
        <v>0.31998175875959567</v>
      </c>
      <c r="K340" t="str">
        <f>IF(OR(sales_data[[#This Row],[revenue]]="",sales_data[[#This Row],[cost]]=""),"Check","OK")</f>
        <v>OK</v>
      </c>
    </row>
    <row r="341" spans="1:11" x14ac:dyDescent="0.3">
      <c r="A341" t="s">
        <v>277</v>
      </c>
      <c r="B341" s="2">
        <v>45696</v>
      </c>
      <c r="C341" t="s">
        <v>22</v>
      </c>
      <c r="D341" t="s">
        <v>15</v>
      </c>
      <c r="E341" t="s">
        <v>32</v>
      </c>
      <c r="F341" t="s">
        <v>12</v>
      </c>
      <c r="G341">
        <v>32983</v>
      </c>
      <c r="H341">
        <v>23088</v>
      </c>
      <c r="I341">
        <f>sales_data[[#This Row],[revenue]]-sales_data[[#This Row],[cost]]</f>
        <v>9895</v>
      </c>
      <c r="J341" s="1">
        <f>sales_data[[#This Row],[profit]]/sales_data[[#This Row],[revenue]]</f>
        <v>0.30000303186490013</v>
      </c>
      <c r="K341" t="str">
        <f>IF(OR(sales_data[[#This Row],[revenue]]="",sales_data[[#This Row],[cost]]=""),"Check","OK")</f>
        <v>OK</v>
      </c>
    </row>
    <row r="342" spans="1:11" x14ac:dyDescent="0.3">
      <c r="A342" t="s">
        <v>278</v>
      </c>
      <c r="B342" s="2">
        <v>45689</v>
      </c>
      <c r="C342" t="s">
        <v>19</v>
      </c>
      <c r="D342" t="s">
        <v>23</v>
      </c>
      <c r="E342" t="s">
        <v>38</v>
      </c>
      <c r="F342" t="s">
        <v>17</v>
      </c>
      <c r="G342">
        <v>40102</v>
      </c>
      <c r="H342">
        <v>31280</v>
      </c>
      <c r="I342">
        <f>sales_data[[#This Row],[revenue]]-sales_data[[#This Row],[cost]]</f>
        <v>8822</v>
      </c>
      <c r="J342" s="1">
        <f>sales_data[[#This Row],[profit]]/sales_data[[#This Row],[revenue]]</f>
        <v>0.21998902797865444</v>
      </c>
      <c r="K342" t="str">
        <f>IF(OR(sales_data[[#This Row],[revenue]]="",sales_data[[#This Row],[cost]]=""),"Check","OK")</f>
        <v>OK</v>
      </c>
    </row>
    <row r="343" spans="1:11" x14ac:dyDescent="0.3">
      <c r="A343" t="s">
        <v>279</v>
      </c>
      <c r="B343" s="2">
        <v>45698</v>
      </c>
      <c r="C343" t="s">
        <v>14</v>
      </c>
      <c r="D343" t="s">
        <v>15</v>
      </c>
      <c r="E343" t="s">
        <v>20</v>
      </c>
      <c r="F343" t="s">
        <v>12</v>
      </c>
      <c r="G343">
        <v>7016</v>
      </c>
      <c r="H343">
        <v>4560</v>
      </c>
      <c r="I343">
        <f>sales_data[[#This Row],[revenue]]-sales_data[[#This Row],[cost]]</f>
        <v>2456</v>
      </c>
      <c r="J343" s="1">
        <f>sales_data[[#This Row],[profit]]/sales_data[[#This Row],[revenue]]</f>
        <v>0.35005701254275939</v>
      </c>
      <c r="K343" t="str">
        <f>IF(OR(sales_data[[#This Row],[revenue]]="",sales_data[[#This Row],[cost]]=""),"Check","OK")</f>
        <v>OK</v>
      </c>
    </row>
    <row r="344" spans="1:11" x14ac:dyDescent="0.3">
      <c r="A344" t="s">
        <v>280</v>
      </c>
      <c r="B344" s="2">
        <v>45699</v>
      </c>
      <c r="C344" t="s">
        <v>22</v>
      </c>
      <c r="D344" t="s">
        <v>23</v>
      </c>
      <c r="E344" t="s">
        <v>16</v>
      </c>
      <c r="F344" t="s">
        <v>12</v>
      </c>
      <c r="G344">
        <v>63691</v>
      </c>
      <c r="H344">
        <v>45858</v>
      </c>
      <c r="I344">
        <f>sales_data[[#This Row],[revenue]]-sales_data[[#This Row],[cost]]</f>
        <v>17833</v>
      </c>
      <c r="J344" s="1">
        <f>sales_data[[#This Row],[profit]]/sales_data[[#This Row],[revenue]]</f>
        <v>0.27999246361338337</v>
      </c>
      <c r="K344" t="str">
        <f>IF(OR(sales_data[[#This Row],[revenue]]="",sales_data[[#This Row],[cost]]=""),"Check","OK")</f>
        <v>OK</v>
      </c>
    </row>
    <row r="345" spans="1:11" x14ac:dyDescent="0.3">
      <c r="A345" t="s">
        <v>281</v>
      </c>
      <c r="B345" s="2">
        <v>45702</v>
      </c>
      <c r="C345" t="s">
        <v>19</v>
      </c>
      <c r="D345" t="s">
        <v>10</v>
      </c>
      <c r="E345" t="s">
        <v>26</v>
      </c>
      <c r="F345" t="s">
        <v>12</v>
      </c>
      <c r="G345">
        <v>65339</v>
      </c>
      <c r="H345">
        <v>41164</v>
      </c>
      <c r="I345">
        <f>sales_data[[#This Row],[revenue]]-sales_data[[#This Row],[cost]]</f>
        <v>24175</v>
      </c>
      <c r="J345" s="1">
        <f>sales_data[[#This Row],[profit]]/sales_data[[#This Row],[revenue]]</f>
        <v>0.36999341893815335</v>
      </c>
      <c r="K345" t="str">
        <f>IF(OR(sales_data[[#This Row],[revenue]]="",sales_data[[#This Row],[cost]]=""),"Check","OK")</f>
        <v>OK</v>
      </c>
    </row>
    <row r="346" spans="1:11" x14ac:dyDescent="0.3">
      <c r="A346" t="s">
        <v>282</v>
      </c>
      <c r="B346" s="2">
        <v>45706</v>
      </c>
      <c r="C346" t="s">
        <v>22</v>
      </c>
      <c r="D346" t="s">
        <v>15</v>
      </c>
      <c r="E346" t="s">
        <v>11</v>
      </c>
      <c r="F346" t="s">
        <v>17</v>
      </c>
      <c r="G346">
        <v>52690</v>
      </c>
      <c r="H346">
        <v>32668</v>
      </c>
      <c r="I346">
        <f>sales_data[[#This Row],[revenue]]-sales_data[[#This Row],[cost]]</f>
        <v>20022</v>
      </c>
      <c r="J346" s="1">
        <f>sales_data[[#This Row],[profit]]/sales_data[[#This Row],[revenue]]</f>
        <v>0.3799962042133232</v>
      </c>
      <c r="K346" t="str">
        <f>IF(OR(sales_data[[#This Row],[revenue]]="",sales_data[[#This Row],[cost]]=""),"Check","OK")</f>
        <v>OK</v>
      </c>
    </row>
    <row r="347" spans="1:11" x14ac:dyDescent="0.3">
      <c r="A347" t="s">
        <v>283</v>
      </c>
      <c r="B347" s="2">
        <v>45705</v>
      </c>
      <c r="C347" t="s">
        <v>22</v>
      </c>
      <c r="D347" t="s">
        <v>15</v>
      </c>
      <c r="E347" t="s">
        <v>11</v>
      </c>
      <c r="F347" t="s">
        <v>12</v>
      </c>
      <c r="G347">
        <v>54827</v>
      </c>
      <c r="H347">
        <v>40572</v>
      </c>
      <c r="I347">
        <f>sales_data[[#This Row],[revenue]]-sales_data[[#This Row],[cost]]</f>
        <v>14255</v>
      </c>
      <c r="J347" s="1">
        <f>sales_data[[#This Row],[profit]]/sales_data[[#This Row],[revenue]]</f>
        <v>0.2599996352162256</v>
      </c>
      <c r="K347" t="str">
        <f>IF(OR(sales_data[[#This Row],[revenue]]="",sales_data[[#This Row],[cost]]=""),"Check","OK")</f>
        <v>OK</v>
      </c>
    </row>
    <row r="348" spans="1:11" x14ac:dyDescent="0.3">
      <c r="A348" t="s">
        <v>284</v>
      </c>
      <c r="B348" s="2">
        <v>45706</v>
      </c>
      <c r="C348" t="s">
        <v>9</v>
      </c>
      <c r="D348" t="s">
        <v>23</v>
      </c>
      <c r="E348" t="s">
        <v>24</v>
      </c>
      <c r="F348" t="s">
        <v>12</v>
      </c>
      <c r="G348">
        <v>60452</v>
      </c>
      <c r="H348">
        <v>47153</v>
      </c>
      <c r="I348">
        <f>sales_data[[#This Row],[revenue]]-sales_data[[#This Row],[cost]]</f>
        <v>13299</v>
      </c>
      <c r="J348" s="1">
        <f>sales_data[[#This Row],[profit]]/sales_data[[#This Row],[revenue]]</f>
        <v>0.21999272149804805</v>
      </c>
      <c r="K348" t="str">
        <f>IF(OR(sales_data[[#This Row],[revenue]]="",sales_data[[#This Row],[cost]]=""),"Check","OK")</f>
        <v>OK</v>
      </c>
    </row>
    <row r="349" spans="1:11" x14ac:dyDescent="0.3">
      <c r="A349" t="s">
        <v>285</v>
      </c>
      <c r="B349" s="2">
        <v>45693</v>
      </c>
      <c r="C349" t="s">
        <v>9</v>
      </c>
      <c r="D349" t="s">
        <v>15</v>
      </c>
      <c r="E349" t="s">
        <v>32</v>
      </c>
      <c r="F349" t="s">
        <v>17</v>
      </c>
      <c r="G349">
        <v>49619</v>
      </c>
      <c r="H349">
        <v>34733</v>
      </c>
      <c r="I349">
        <f>sales_data[[#This Row],[revenue]]-sales_data[[#This Row],[cost]]</f>
        <v>14886</v>
      </c>
      <c r="J349" s="1">
        <f>sales_data[[#This Row],[profit]]/sales_data[[#This Row],[revenue]]</f>
        <v>0.30000604607106152</v>
      </c>
      <c r="K349" t="str">
        <f>IF(OR(sales_data[[#This Row],[revenue]]="",sales_data[[#This Row],[cost]]=""),"Check","OK")</f>
        <v>OK</v>
      </c>
    </row>
    <row r="350" spans="1:11" x14ac:dyDescent="0.3">
      <c r="A350" t="s">
        <v>286</v>
      </c>
      <c r="B350" s="2">
        <v>45702</v>
      </c>
      <c r="C350" t="s">
        <v>14</v>
      </c>
      <c r="D350" t="s">
        <v>15</v>
      </c>
      <c r="E350" t="s">
        <v>24</v>
      </c>
      <c r="F350" t="s">
        <v>17</v>
      </c>
      <c r="G350">
        <v>71309</v>
      </c>
      <c r="H350">
        <v>49916</v>
      </c>
      <c r="I350">
        <f>sales_data[[#This Row],[revenue]]-sales_data[[#This Row],[cost]]</f>
        <v>21393</v>
      </c>
      <c r="J350" s="1">
        <f>sales_data[[#This Row],[profit]]/sales_data[[#This Row],[revenue]]</f>
        <v>0.30000420704258929</v>
      </c>
      <c r="K350" t="str">
        <f>IF(OR(sales_data[[#This Row],[revenue]]="",sales_data[[#This Row],[cost]]=""),"Check","OK")</f>
        <v>OK</v>
      </c>
    </row>
    <row r="351" spans="1:11" x14ac:dyDescent="0.3">
      <c r="A351" t="s">
        <v>287</v>
      </c>
      <c r="B351" s="2">
        <v>45691</v>
      </c>
      <c r="C351" t="s">
        <v>9</v>
      </c>
      <c r="D351" t="s">
        <v>10</v>
      </c>
      <c r="E351" t="s">
        <v>26</v>
      </c>
      <c r="F351" t="s">
        <v>17</v>
      </c>
      <c r="G351">
        <v>63631</v>
      </c>
      <c r="H351">
        <v>45178</v>
      </c>
      <c r="I351">
        <f>sales_data[[#This Row],[revenue]]-sales_data[[#This Row],[cost]]</f>
        <v>18453</v>
      </c>
      <c r="J351" s="1">
        <f>sales_data[[#This Row],[profit]]/sales_data[[#This Row],[revenue]]</f>
        <v>0.29000015715610317</v>
      </c>
      <c r="K351" t="str">
        <f>IF(OR(sales_data[[#This Row],[revenue]]="",sales_data[[#This Row],[cost]]=""),"Check","OK")</f>
        <v>OK</v>
      </c>
    </row>
    <row r="352" spans="1:11" x14ac:dyDescent="0.3">
      <c r="A352" t="s">
        <v>288</v>
      </c>
      <c r="B352" s="2">
        <v>45693</v>
      </c>
      <c r="C352" t="s">
        <v>9</v>
      </c>
      <c r="D352" t="s">
        <v>15</v>
      </c>
      <c r="E352" t="s">
        <v>20</v>
      </c>
      <c r="F352" t="s">
        <v>17</v>
      </c>
      <c r="G352">
        <v>73299</v>
      </c>
      <c r="H352">
        <v>46178</v>
      </c>
      <c r="I352">
        <f>sales_data[[#This Row],[revenue]]-sales_data[[#This Row],[cost]]</f>
        <v>27121</v>
      </c>
      <c r="J352" s="1">
        <f>sales_data[[#This Row],[profit]]/sales_data[[#This Row],[revenue]]</f>
        <v>0.37000504781784199</v>
      </c>
      <c r="K352" t="str">
        <f>IF(OR(sales_data[[#This Row],[revenue]]="",sales_data[[#This Row],[cost]]=""),"Check","OK")</f>
        <v>OK</v>
      </c>
    </row>
    <row r="353" spans="1:11" x14ac:dyDescent="0.3">
      <c r="A353" t="s">
        <v>289</v>
      </c>
      <c r="B353" s="2">
        <v>45709</v>
      </c>
      <c r="C353" t="s">
        <v>9</v>
      </c>
      <c r="D353" t="s">
        <v>23</v>
      </c>
      <c r="E353" t="s">
        <v>29</v>
      </c>
      <c r="F353" t="s">
        <v>12</v>
      </c>
      <c r="G353">
        <v>16391</v>
      </c>
      <c r="H353">
        <v>12785</v>
      </c>
      <c r="I353">
        <f>sales_data[[#This Row],[revenue]]-sales_data[[#This Row],[cost]]</f>
        <v>3606</v>
      </c>
      <c r="J353" s="1">
        <f>sales_data[[#This Row],[profit]]/sales_data[[#This Row],[revenue]]</f>
        <v>0.21999877981819291</v>
      </c>
      <c r="K353" t="str">
        <f>IF(OR(sales_data[[#This Row],[revenue]]="",sales_data[[#This Row],[cost]]=""),"Check","OK")</f>
        <v>OK</v>
      </c>
    </row>
    <row r="354" spans="1:11" x14ac:dyDescent="0.3">
      <c r="A354" t="s">
        <v>290</v>
      </c>
      <c r="B354" s="2">
        <v>45711</v>
      </c>
      <c r="C354" t="s">
        <v>19</v>
      </c>
      <c r="D354" t="s">
        <v>10</v>
      </c>
      <c r="E354" t="s">
        <v>24</v>
      </c>
      <c r="F354" t="s">
        <v>17</v>
      </c>
      <c r="G354">
        <v>54426</v>
      </c>
      <c r="H354">
        <v>39187</v>
      </c>
      <c r="I354">
        <f>sales_data[[#This Row],[revenue]]-sales_data[[#This Row],[cost]]</f>
        <v>15239</v>
      </c>
      <c r="J354" s="1">
        <f>sales_data[[#This Row],[profit]]/sales_data[[#This Row],[revenue]]</f>
        <v>0.27999485539999264</v>
      </c>
      <c r="K354" t="str">
        <f>IF(OR(sales_data[[#This Row],[revenue]]="",sales_data[[#This Row],[cost]]=""),"Check","OK")</f>
        <v>OK</v>
      </c>
    </row>
    <row r="355" spans="1:11" x14ac:dyDescent="0.3">
      <c r="A355" t="s">
        <v>291</v>
      </c>
      <c r="B355" s="2">
        <v>45692</v>
      </c>
      <c r="C355" t="s">
        <v>19</v>
      </c>
      <c r="D355" t="s">
        <v>15</v>
      </c>
      <c r="E355" t="s">
        <v>29</v>
      </c>
      <c r="F355" t="s">
        <v>12</v>
      </c>
      <c r="G355">
        <v>65118</v>
      </c>
      <c r="H355">
        <v>41676</v>
      </c>
      <c r="I355">
        <f>sales_data[[#This Row],[revenue]]-sales_data[[#This Row],[cost]]</f>
        <v>23442</v>
      </c>
      <c r="J355" s="1">
        <f>sales_data[[#This Row],[profit]]/sales_data[[#This Row],[revenue]]</f>
        <v>0.35999262876623978</v>
      </c>
      <c r="K355" t="str">
        <f>IF(OR(sales_data[[#This Row],[revenue]]="",sales_data[[#This Row],[cost]]=""),"Check","OK")</f>
        <v>OK</v>
      </c>
    </row>
    <row r="356" spans="1:11" x14ac:dyDescent="0.3">
      <c r="A356" t="s">
        <v>292</v>
      </c>
      <c r="B356" s="2">
        <v>45700</v>
      </c>
      <c r="C356" t="s">
        <v>19</v>
      </c>
      <c r="D356" t="s">
        <v>10</v>
      </c>
      <c r="E356" t="s">
        <v>29</v>
      </c>
      <c r="F356" t="s">
        <v>17</v>
      </c>
      <c r="G356">
        <v>95803</v>
      </c>
      <c r="H356">
        <v>73768</v>
      </c>
      <c r="I356">
        <f>sales_data[[#This Row],[revenue]]-sales_data[[#This Row],[cost]]</f>
        <v>22035</v>
      </c>
      <c r="J356" s="1">
        <f>sales_data[[#This Row],[profit]]/sales_data[[#This Row],[revenue]]</f>
        <v>0.2300032358068119</v>
      </c>
      <c r="K356" t="str">
        <f>IF(OR(sales_data[[#This Row],[revenue]]="",sales_data[[#This Row],[cost]]=""),"Check","OK")</f>
        <v>OK</v>
      </c>
    </row>
    <row r="357" spans="1:11" x14ac:dyDescent="0.3">
      <c r="A357" t="s">
        <v>293</v>
      </c>
      <c r="B357" s="2">
        <v>45711</v>
      </c>
      <c r="C357" t="s">
        <v>22</v>
      </c>
      <c r="D357" t="s">
        <v>15</v>
      </c>
      <c r="E357" t="s">
        <v>34</v>
      </c>
      <c r="F357" t="s">
        <v>12</v>
      </c>
      <c r="G357">
        <v>47652</v>
      </c>
      <c r="H357">
        <v>37645</v>
      </c>
      <c r="I357">
        <f>sales_data[[#This Row],[revenue]]-sales_data[[#This Row],[cost]]</f>
        <v>10007</v>
      </c>
      <c r="J357" s="1">
        <f>sales_data[[#This Row],[profit]]/sales_data[[#This Row],[revenue]]</f>
        <v>0.21000167883824394</v>
      </c>
      <c r="K357" t="str">
        <f>IF(OR(sales_data[[#This Row],[revenue]]="",sales_data[[#This Row],[cost]]=""),"Check","OK")</f>
        <v>OK</v>
      </c>
    </row>
    <row r="358" spans="1:11" x14ac:dyDescent="0.3">
      <c r="A358" t="s">
        <v>294</v>
      </c>
      <c r="B358" s="2">
        <v>45705</v>
      </c>
      <c r="C358" t="s">
        <v>22</v>
      </c>
      <c r="D358" t="s">
        <v>10</v>
      </c>
      <c r="E358" t="s">
        <v>32</v>
      </c>
      <c r="F358" t="s">
        <v>12</v>
      </c>
      <c r="G358">
        <v>8742</v>
      </c>
      <c r="H358">
        <v>6119</v>
      </c>
      <c r="I358">
        <f>sales_data[[#This Row],[revenue]]-sales_data[[#This Row],[cost]]</f>
        <v>2623</v>
      </c>
      <c r="J358" s="1">
        <f>sales_data[[#This Row],[profit]]/sales_data[[#This Row],[revenue]]</f>
        <v>0.30004575611988105</v>
      </c>
      <c r="K358" t="str">
        <f>IF(OR(sales_data[[#This Row],[revenue]]="",sales_data[[#This Row],[cost]]=""),"Check","OK")</f>
        <v>OK</v>
      </c>
    </row>
    <row r="359" spans="1:11" x14ac:dyDescent="0.3">
      <c r="A359" t="s">
        <v>295</v>
      </c>
      <c r="B359" s="2">
        <v>45709</v>
      </c>
      <c r="C359" t="s">
        <v>14</v>
      </c>
      <c r="D359" t="s">
        <v>15</v>
      </c>
      <c r="E359" t="s">
        <v>36</v>
      </c>
      <c r="F359" t="s">
        <v>17</v>
      </c>
      <c r="G359">
        <v>68546</v>
      </c>
      <c r="H359">
        <v>45926</v>
      </c>
      <c r="I359">
        <f>sales_data[[#This Row],[revenue]]-sales_data[[#This Row],[cost]]</f>
        <v>22620</v>
      </c>
      <c r="J359" s="1">
        <f>sales_data[[#This Row],[profit]]/sales_data[[#This Row],[revenue]]</f>
        <v>0.32999737402620138</v>
      </c>
      <c r="K359" t="str">
        <f>IF(OR(sales_data[[#This Row],[revenue]]="",sales_data[[#This Row],[cost]]=""),"Check","OK")</f>
        <v>OK</v>
      </c>
    </row>
    <row r="360" spans="1:11" x14ac:dyDescent="0.3">
      <c r="A360" t="s">
        <v>296</v>
      </c>
      <c r="B360" s="2">
        <v>45710</v>
      </c>
      <c r="C360" t="s">
        <v>9</v>
      </c>
      <c r="D360" t="s">
        <v>15</v>
      </c>
      <c r="E360" t="s">
        <v>36</v>
      </c>
      <c r="F360" t="s">
        <v>17</v>
      </c>
      <c r="G360">
        <v>66002</v>
      </c>
      <c r="H360">
        <v>52142</v>
      </c>
      <c r="I360">
        <f>sales_data[[#This Row],[revenue]]-sales_data[[#This Row],[cost]]</f>
        <v>13860</v>
      </c>
      <c r="J360" s="1">
        <f>sales_data[[#This Row],[profit]]/sales_data[[#This Row],[revenue]]</f>
        <v>0.20999363655646799</v>
      </c>
      <c r="K360" t="str">
        <f>IF(OR(sales_data[[#This Row],[revenue]]="",sales_data[[#This Row],[cost]]=""),"Check","OK")</f>
        <v>OK</v>
      </c>
    </row>
    <row r="361" spans="1:11" x14ac:dyDescent="0.3">
      <c r="A361" t="s">
        <v>297</v>
      </c>
      <c r="B361" s="2">
        <v>45700</v>
      </c>
      <c r="C361" t="s">
        <v>22</v>
      </c>
      <c r="D361" t="s">
        <v>10</v>
      </c>
      <c r="E361" t="s">
        <v>32</v>
      </c>
      <c r="F361" t="s">
        <v>17</v>
      </c>
      <c r="G361">
        <v>80310</v>
      </c>
      <c r="H361">
        <v>53005</v>
      </c>
      <c r="I361">
        <f>sales_data[[#This Row],[revenue]]-sales_data[[#This Row],[cost]]</f>
        <v>27305</v>
      </c>
      <c r="J361" s="1">
        <f>sales_data[[#This Row],[profit]]/sales_data[[#This Row],[revenue]]</f>
        <v>0.3399950193002117</v>
      </c>
      <c r="K361" t="str">
        <f>IF(OR(sales_data[[#This Row],[revenue]]="",sales_data[[#This Row],[cost]]=""),"Check","OK")</f>
        <v>OK</v>
      </c>
    </row>
    <row r="362" spans="1:11" x14ac:dyDescent="0.3">
      <c r="A362" t="s">
        <v>298</v>
      </c>
      <c r="B362" s="2">
        <v>45702</v>
      </c>
      <c r="C362" t="s">
        <v>22</v>
      </c>
      <c r="D362" t="s">
        <v>15</v>
      </c>
      <c r="E362" t="s">
        <v>38</v>
      </c>
      <c r="F362" t="s">
        <v>17</v>
      </c>
      <c r="G362">
        <v>20734</v>
      </c>
      <c r="H362">
        <v>16380</v>
      </c>
      <c r="I362">
        <f>sales_data[[#This Row],[revenue]]-sales_data[[#This Row],[cost]]</f>
        <v>4354</v>
      </c>
      <c r="J362" s="1">
        <f>sales_data[[#This Row],[profit]]/sales_data[[#This Row],[revenue]]</f>
        <v>0.2099932478055368</v>
      </c>
      <c r="K362" t="str">
        <f>IF(OR(sales_data[[#This Row],[revenue]]="",sales_data[[#This Row],[cost]]=""),"Check","OK")</f>
        <v>OK</v>
      </c>
    </row>
    <row r="363" spans="1:11" x14ac:dyDescent="0.3">
      <c r="A363" t="s">
        <v>299</v>
      </c>
      <c r="B363" s="2">
        <v>45697</v>
      </c>
      <c r="C363" t="s">
        <v>19</v>
      </c>
      <c r="D363" t="s">
        <v>10</v>
      </c>
      <c r="E363" t="s">
        <v>29</v>
      </c>
      <c r="F363" t="s">
        <v>17</v>
      </c>
      <c r="G363">
        <v>57880</v>
      </c>
      <c r="H363">
        <v>44568</v>
      </c>
      <c r="I363">
        <f>sales_data[[#This Row],[revenue]]-sales_data[[#This Row],[cost]]</f>
        <v>13312</v>
      </c>
      <c r="J363" s="1">
        <f>sales_data[[#This Row],[profit]]/sales_data[[#This Row],[revenue]]</f>
        <v>0.22999308914996544</v>
      </c>
      <c r="K363" t="str">
        <f>IF(OR(sales_data[[#This Row],[revenue]]="",sales_data[[#This Row],[cost]]=""),"Check","OK")</f>
        <v>OK</v>
      </c>
    </row>
    <row r="364" spans="1:11" x14ac:dyDescent="0.3">
      <c r="A364" t="s">
        <v>300</v>
      </c>
      <c r="B364" s="2">
        <v>45697</v>
      </c>
      <c r="C364" t="s">
        <v>19</v>
      </c>
      <c r="D364" t="s">
        <v>10</v>
      </c>
      <c r="E364" t="s">
        <v>24</v>
      </c>
      <c r="F364" t="s">
        <v>17</v>
      </c>
      <c r="G364">
        <v>97812</v>
      </c>
      <c r="H364">
        <v>59665</v>
      </c>
      <c r="I364">
        <f>sales_data[[#This Row],[revenue]]-sales_data[[#This Row],[cost]]</f>
        <v>38147</v>
      </c>
      <c r="J364" s="1">
        <f>sales_data[[#This Row],[profit]]/sales_data[[#This Row],[revenue]]</f>
        <v>0.39000327158221892</v>
      </c>
      <c r="K364" t="str">
        <f>IF(OR(sales_data[[#This Row],[revenue]]="",sales_data[[#This Row],[cost]]=""),"Check","OK")</f>
        <v>OK</v>
      </c>
    </row>
    <row r="365" spans="1:11" x14ac:dyDescent="0.3">
      <c r="A365" t="s">
        <v>301</v>
      </c>
      <c r="B365" s="2">
        <v>45699</v>
      </c>
      <c r="C365" t="s">
        <v>14</v>
      </c>
      <c r="D365" t="s">
        <v>23</v>
      </c>
      <c r="E365" t="s">
        <v>34</v>
      </c>
      <c r="F365" t="s">
        <v>17</v>
      </c>
      <c r="G365">
        <v>26905</v>
      </c>
      <c r="H365">
        <v>16681</v>
      </c>
      <c r="I365">
        <f>sales_data[[#This Row],[revenue]]-sales_data[[#This Row],[cost]]</f>
        <v>10224</v>
      </c>
      <c r="J365" s="1">
        <f>sales_data[[#This Row],[profit]]/sales_data[[#This Row],[revenue]]</f>
        <v>0.38000371678126743</v>
      </c>
      <c r="K365" t="str">
        <f>IF(OR(sales_data[[#This Row],[revenue]]="",sales_data[[#This Row],[cost]]=""),"Check","OK")</f>
        <v>OK</v>
      </c>
    </row>
    <row r="366" spans="1:11" x14ac:dyDescent="0.3">
      <c r="A366" t="s">
        <v>302</v>
      </c>
      <c r="B366" s="2">
        <v>45707</v>
      </c>
      <c r="C366" t="s">
        <v>14</v>
      </c>
      <c r="D366" t="s">
        <v>10</v>
      </c>
      <c r="E366" t="s">
        <v>11</v>
      </c>
      <c r="F366" t="s">
        <v>12</v>
      </c>
      <c r="G366">
        <v>38613</v>
      </c>
      <c r="H366">
        <v>24326</v>
      </c>
      <c r="I366">
        <f>sales_data[[#This Row],[revenue]]-sales_data[[#This Row],[cost]]</f>
        <v>14287</v>
      </c>
      <c r="J366" s="1">
        <f>sales_data[[#This Row],[profit]]/sales_data[[#This Row],[revenue]]</f>
        <v>0.37000492062258827</v>
      </c>
      <c r="K366" t="str">
        <f>IF(OR(sales_data[[#This Row],[revenue]]="",sales_data[[#This Row],[cost]]=""),"Check","OK")</f>
        <v>OK</v>
      </c>
    </row>
    <row r="367" spans="1:11" x14ac:dyDescent="0.3">
      <c r="A367" t="s">
        <v>303</v>
      </c>
      <c r="B367" s="2">
        <v>45692</v>
      </c>
      <c r="C367" t="s">
        <v>19</v>
      </c>
      <c r="D367" t="s">
        <v>23</v>
      </c>
      <c r="E367" t="s">
        <v>32</v>
      </c>
      <c r="F367" t="s">
        <v>17</v>
      </c>
      <c r="G367">
        <v>30219</v>
      </c>
      <c r="H367">
        <v>23269</v>
      </c>
      <c r="I367">
        <f>sales_data[[#This Row],[revenue]]-sales_data[[#This Row],[cost]]</f>
        <v>6950</v>
      </c>
      <c r="J367" s="1">
        <f>sales_data[[#This Row],[profit]]/sales_data[[#This Row],[revenue]]</f>
        <v>0.22998775604751978</v>
      </c>
      <c r="K367" t="str">
        <f>IF(OR(sales_data[[#This Row],[revenue]]="",sales_data[[#This Row],[cost]]=""),"Check","OK")</f>
        <v>OK</v>
      </c>
    </row>
    <row r="368" spans="1:11" x14ac:dyDescent="0.3">
      <c r="A368" t="s">
        <v>304</v>
      </c>
      <c r="B368" s="2">
        <v>45693</v>
      </c>
      <c r="C368" t="s">
        <v>9</v>
      </c>
      <c r="D368" t="s">
        <v>15</v>
      </c>
      <c r="E368" t="s">
        <v>16</v>
      </c>
      <c r="F368" t="s">
        <v>12</v>
      </c>
      <c r="G368">
        <v>25346</v>
      </c>
      <c r="H368">
        <v>17996</v>
      </c>
      <c r="I368">
        <f>sales_data[[#This Row],[revenue]]-sales_data[[#This Row],[cost]]</f>
        <v>7350</v>
      </c>
      <c r="J368" s="1">
        <f>sales_data[[#This Row],[profit]]/sales_data[[#This Row],[revenue]]</f>
        <v>0.28998658565454116</v>
      </c>
      <c r="K368" t="str">
        <f>IF(OR(sales_data[[#This Row],[revenue]]="",sales_data[[#This Row],[cost]]=""),"Check","OK")</f>
        <v>OK</v>
      </c>
    </row>
    <row r="369" spans="1:11" x14ac:dyDescent="0.3">
      <c r="A369" t="s">
        <v>305</v>
      </c>
      <c r="B369" s="2">
        <v>45715</v>
      </c>
      <c r="C369" t="s">
        <v>9</v>
      </c>
      <c r="D369" t="s">
        <v>23</v>
      </c>
      <c r="E369" t="s">
        <v>32</v>
      </c>
      <c r="F369" t="s">
        <v>12</v>
      </c>
      <c r="G369">
        <v>63626</v>
      </c>
      <c r="H369">
        <v>43266</v>
      </c>
      <c r="I369">
        <f>sales_data[[#This Row],[revenue]]-sales_data[[#This Row],[cost]]</f>
        <v>20360</v>
      </c>
      <c r="J369" s="1">
        <f>sales_data[[#This Row],[profit]]/sales_data[[#This Row],[revenue]]</f>
        <v>0.31999497060949927</v>
      </c>
      <c r="K369" t="str">
        <f>IF(OR(sales_data[[#This Row],[revenue]]="",sales_data[[#This Row],[cost]]=""),"Check","OK")</f>
        <v>OK</v>
      </c>
    </row>
    <row r="370" spans="1:11" x14ac:dyDescent="0.3">
      <c r="A370" t="s">
        <v>306</v>
      </c>
      <c r="B370" s="2">
        <v>45714</v>
      </c>
      <c r="C370" t="s">
        <v>22</v>
      </c>
      <c r="D370" t="s">
        <v>15</v>
      </c>
      <c r="E370" t="s">
        <v>36</v>
      </c>
      <c r="F370" t="s">
        <v>12</v>
      </c>
      <c r="G370">
        <v>22205</v>
      </c>
      <c r="H370">
        <v>15988</v>
      </c>
      <c r="I370">
        <f>sales_data[[#This Row],[revenue]]-sales_data[[#This Row],[cost]]</f>
        <v>6217</v>
      </c>
      <c r="J370" s="1">
        <f>sales_data[[#This Row],[profit]]/sales_data[[#This Row],[revenue]]</f>
        <v>0.27998198603918034</v>
      </c>
      <c r="K370" t="str">
        <f>IF(OR(sales_data[[#This Row],[revenue]]="",sales_data[[#This Row],[cost]]=""),"Check","OK")</f>
        <v>OK</v>
      </c>
    </row>
    <row r="371" spans="1:11" x14ac:dyDescent="0.3">
      <c r="A371" t="s">
        <v>307</v>
      </c>
      <c r="B371" s="2">
        <v>45697</v>
      </c>
      <c r="C371" t="s">
        <v>22</v>
      </c>
      <c r="D371" t="s">
        <v>10</v>
      </c>
      <c r="E371" t="s">
        <v>20</v>
      </c>
      <c r="F371" t="s">
        <v>17</v>
      </c>
      <c r="G371">
        <v>41107</v>
      </c>
      <c r="H371">
        <v>30830</v>
      </c>
      <c r="I371">
        <f>sales_data[[#This Row],[revenue]]-sales_data[[#This Row],[cost]]</f>
        <v>10277</v>
      </c>
      <c r="J371" s="1">
        <f>sales_data[[#This Row],[profit]]/sales_data[[#This Row],[revenue]]</f>
        <v>0.25000608168924998</v>
      </c>
      <c r="K371" t="str">
        <f>IF(OR(sales_data[[#This Row],[revenue]]="",sales_data[[#This Row],[cost]]=""),"Check","OK")</f>
        <v>OK</v>
      </c>
    </row>
    <row r="372" spans="1:11" x14ac:dyDescent="0.3">
      <c r="A372" t="s">
        <v>408</v>
      </c>
      <c r="B372" s="2">
        <v>45700</v>
      </c>
      <c r="C372" t="s">
        <v>19</v>
      </c>
      <c r="D372" t="s">
        <v>23</v>
      </c>
      <c r="E372" t="s">
        <v>34</v>
      </c>
      <c r="F372" t="s">
        <v>12</v>
      </c>
      <c r="G372">
        <v>21970</v>
      </c>
      <c r="H372">
        <v>16478</v>
      </c>
      <c r="I372">
        <f>sales_data[[#This Row],[revenue]]-sales_data[[#This Row],[cost]]</f>
        <v>5492</v>
      </c>
      <c r="J372" s="1">
        <f>sales_data[[#This Row],[profit]]/sales_data[[#This Row],[revenue]]</f>
        <v>0.24997724169321803</v>
      </c>
      <c r="K372" t="str">
        <f>IF(OR(sales_data[[#This Row],[revenue]]="",sales_data[[#This Row],[cost]]=""),"Check","OK")</f>
        <v>OK</v>
      </c>
    </row>
    <row r="373" spans="1:11" x14ac:dyDescent="0.3">
      <c r="A373" t="s">
        <v>409</v>
      </c>
      <c r="B373" s="2">
        <v>45693</v>
      </c>
      <c r="C373" t="s">
        <v>9</v>
      </c>
      <c r="D373" t="s">
        <v>10</v>
      </c>
      <c r="E373" t="s">
        <v>24</v>
      </c>
      <c r="F373" t="s">
        <v>17</v>
      </c>
      <c r="G373">
        <v>81999</v>
      </c>
      <c r="H373">
        <v>59859</v>
      </c>
      <c r="I373">
        <f>sales_data[[#This Row],[revenue]]-sales_data[[#This Row],[cost]]</f>
        <v>22140</v>
      </c>
      <c r="J373" s="1">
        <f>sales_data[[#This Row],[profit]]/sales_data[[#This Row],[revenue]]</f>
        <v>0.27000329272308199</v>
      </c>
      <c r="K373" t="str">
        <f>IF(OR(sales_data[[#This Row],[revenue]]="",sales_data[[#This Row],[cost]]=""),"Check","OK")</f>
        <v>OK</v>
      </c>
    </row>
    <row r="374" spans="1:11" x14ac:dyDescent="0.3">
      <c r="A374" t="s">
        <v>410</v>
      </c>
      <c r="B374" s="2">
        <v>45703</v>
      </c>
      <c r="C374" t="s">
        <v>22</v>
      </c>
      <c r="D374" t="s">
        <v>15</v>
      </c>
      <c r="E374" t="s">
        <v>38</v>
      </c>
      <c r="F374" t="s">
        <v>17</v>
      </c>
      <c r="G374">
        <v>56898</v>
      </c>
      <c r="H374">
        <v>45518</v>
      </c>
      <c r="I374">
        <f>sales_data[[#This Row],[revenue]]-sales_data[[#This Row],[cost]]</f>
        <v>11380</v>
      </c>
      <c r="J374" s="1">
        <f>sales_data[[#This Row],[profit]]/sales_data[[#This Row],[revenue]]</f>
        <v>0.20000703012408169</v>
      </c>
      <c r="K374" t="str">
        <f>IF(OR(sales_data[[#This Row],[revenue]]="",sales_data[[#This Row],[cost]]=""),"Check","OK")</f>
        <v>OK</v>
      </c>
    </row>
    <row r="375" spans="1:11" x14ac:dyDescent="0.3">
      <c r="A375" t="s">
        <v>411</v>
      </c>
      <c r="B375" s="2">
        <v>45716</v>
      </c>
      <c r="C375" t="s">
        <v>9</v>
      </c>
      <c r="D375" t="s">
        <v>10</v>
      </c>
      <c r="E375" t="s">
        <v>11</v>
      </c>
      <c r="F375" t="s">
        <v>12</v>
      </c>
      <c r="G375">
        <v>52845</v>
      </c>
      <c r="H375">
        <v>35406</v>
      </c>
      <c r="I375">
        <f>sales_data[[#This Row],[revenue]]-sales_data[[#This Row],[cost]]</f>
        <v>17439</v>
      </c>
      <c r="J375" s="1">
        <f>sales_data[[#This Row],[profit]]/sales_data[[#This Row],[revenue]]</f>
        <v>0.33000283848992334</v>
      </c>
      <c r="K375" t="str">
        <f>IF(OR(sales_data[[#This Row],[revenue]]="",sales_data[[#This Row],[cost]]=""),"Check","OK")</f>
        <v>OK</v>
      </c>
    </row>
    <row r="376" spans="1:11" x14ac:dyDescent="0.3">
      <c r="A376" t="s">
        <v>412</v>
      </c>
      <c r="B376" s="2">
        <v>45696</v>
      </c>
      <c r="C376" t="s">
        <v>9</v>
      </c>
      <c r="D376" t="s">
        <v>15</v>
      </c>
      <c r="E376" t="s">
        <v>36</v>
      </c>
      <c r="F376" t="s">
        <v>12</v>
      </c>
      <c r="G376">
        <v>87567</v>
      </c>
      <c r="H376">
        <v>53416</v>
      </c>
      <c r="I376">
        <f>sales_data[[#This Row],[revenue]]-sales_data[[#This Row],[cost]]</f>
        <v>34151</v>
      </c>
      <c r="J376" s="1">
        <f>sales_data[[#This Row],[profit]]/sales_data[[#This Row],[revenue]]</f>
        <v>0.38999851542247649</v>
      </c>
      <c r="K376" t="str">
        <f>IF(OR(sales_data[[#This Row],[revenue]]="",sales_data[[#This Row],[cost]]=""),"Check","OK")</f>
        <v>OK</v>
      </c>
    </row>
    <row r="377" spans="1:11" x14ac:dyDescent="0.3">
      <c r="A377" t="s">
        <v>413</v>
      </c>
      <c r="B377" s="2">
        <v>45710</v>
      </c>
      <c r="C377" t="s">
        <v>9</v>
      </c>
      <c r="D377" t="s">
        <v>23</v>
      </c>
      <c r="E377" t="s">
        <v>24</v>
      </c>
      <c r="F377" t="s">
        <v>12</v>
      </c>
      <c r="G377">
        <v>70328</v>
      </c>
      <c r="H377">
        <v>46416</v>
      </c>
      <c r="I377">
        <f>sales_data[[#This Row],[revenue]]-sales_data[[#This Row],[cost]]</f>
        <v>23912</v>
      </c>
      <c r="J377" s="1">
        <f>sales_data[[#This Row],[profit]]/sales_data[[#This Row],[revenue]]</f>
        <v>0.34000682516209763</v>
      </c>
      <c r="K377" t="str">
        <f>IF(OR(sales_data[[#This Row],[revenue]]="",sales_data[[#This Row],[cost]]=""),"Check","OK")</f>
        <v>OK</v>
      </c>
    </row>
    <row r="378" spans="1:11" x14ac:dyDescent="0.3">
      <c r="A378" t="s">
        <v>414</v>
      </c>
      <c r="B378" s="2">
        <v>45696</v>
      </c>
      <c r="C378" t="s">
        <v>22</v>
      </c>
      <c r="D378" t="s">
        <v>10</v>
      </c>
      <c r="E378" t="s">
        <v>29</v>
      </c>
      <c r="F378" t="s">
        <v>12</v>
      </c>
      <c r="G378">
        <v>11896</v>
      </c>
      <c r="H378">
        <v>9160</v>
      </c>
      <c r="I378">
        <f>sales_data[[#This Row],[revenue]]-sales_data[[#This Row],[cost]]</f>
        <v>2736</v>
      </c>
      <c r="J378" s="1">
        <f>sales_data[[#This Row],[profit]]/sales_data[[#This Row],[revenue]]</f>
        <v>0.22999327505043712</v>
      </c>
      <c r="K378" t="str">
        <f>IF(OR(sales_data[[#This Row],[revenue]]="",sales_data[[#This Row],[cost]]=""),"Check","OK")</f>
        <v>OK</v>
      </c>
    </row>
    <row r="379" spans="1:11" x14ac:dyDescent="0.3">
      <c r="A379" t="s">
        <v>415</v>
      </c>
      <c r="B379" s="2">
        <v>45703</v>
      </c>
      <c r="C379" t="s">
        <v>9</v>
      </c>
      <c r="D379" t="s">
        <v>15</v>
      </c>
      <c r="E379" t="s">
        <v>32</v>
      </c>
      <c r="F379" t="s">
        <v>17</v>
      </c>
      <c r="G379">
        <v>22385</v>
      </c>
      <c r="H379">
        <v>13431</v>
      </c>
      <c r="I379">
        <f>sales_data[[#This Row],[revenue]]-sales_data[[#This Row],[cost]]</f>
        <v>8954</v>
      </c>
      <c r="J379" s="1">
        <f>sales_data[[#This Row],[profit]]/sales_data[[#This Row],[revenue]]</f>
        <v>0.4</v>
      </c>
      <c r="K379" t="str">
        <f>IF(OR(sales_data[[#This Row],[revenue]]="",sales_data[[#This Row],[cost]]=""),"Check","OK")</f>
        <v>OK</v>
      </c>
    </row>
    <row r="380" spans="1:11" x14ac:dyDescent="0.3">
      <c r="A380" t="s">
        <v>416</v>
      </c>
      <c r="B380" s="2">
        <v>45698</v>
      </c>
      <c r="C380" t="s">
        <v>19</v>
      </c>
      <c r="D380" t="s">
        <v>10</v>
      </c>
      <c r="E380" t="s">
        <v>29</v>
      </c>
      <c r="F380" t="s">
        <v>12</v>
      </c>
      <c r="G380">
        <v>57652</v>
      </c>
      <c r="H380">
        <v>36897</v>
      </c>
      <c r="I380">
        <f>sales_data[[#This Row],[revenue]]-sales_data[[#This Row],[cost]]</f>
        <v>20755</v>
      </c>
      <c r="J380" s="1">
        <f>sales_data[[#This Row],[profit]]/sales_data[[#This Row],[revenue]]</f>
        <v>0.36000485672656629</v>
      </c>
      <c r="K380" t="str">
        <f>IF(OR(sales_data[[#This Row],[revenue]]="",sales_data[[#This Row],[cost]]=""),"Check","OK")</f>
        <v>OK</v>
      </c>
    </row>
    <row r="381" spans="1:11" x14ac:dyDescent="0.3">
      <c r="A381" t="s">
        <v>417</v>
      </c>
      <c r="B381" s="2">
        <v>45694</v>
      </c>
      <c r="C381" t="s">
        <v>9</v>
      </c>
      <c r="D381" t="s">
        <v>15</v>
      </c>
      <c r="E381" t="s">
        <v>16</v>
      </c>
      <c r="F381" t="s">
        <v>17</v>
      </c>
      <c r="G381">
        <v>83304</v>
      </c>
      <c r="H381">
        <v>51648</v>
      </c>
      <c r="I381">
        <f>sales_data[[#This Row],[revenue]]-sales_data[[#This Row],[cost]]</f>
        <v>31656</v>
      </c>
      <c r="J381" s="1">
        <f>sales_data[[#This Row],[profit]]/sales_data[[#This Row],[revenue]]</f>
        <v>0.38000576202823394</v>
      </c>
      <c r="K381" t="str">
        <f>IF(OR(sales_data[[#This Row],[revenue]]="",sales_data[[#This Row],[cost]]=""),"Check","OK")</f>
        <v>OK</v>
      </c>
    </row>
    <row r="382" spans="1:11" x14ac:dyDescent="0.3">
      <c r="A382" t="s">
        <v>418</v>
      </c>
      <c r="B382" s="2">
        <v>45697</v>
      </c>
      <c r="C382" t="s">
        <v>22</v>
      </c>
      <c r="D382" t="s">
        <v>15</v>
      </c>
      <c r="E382" t="s">
        <v>24</v>
      </c>
      <c r="F382" t="s">
        <v>17</v>
      </c>
      <c r="G382">
        <v>59832</v>
      </c>
      <c r="H382">
        <v>41882</v>
      </c>
      <c r="I382">
        <f>sales_data[[#This Row],[revenue]]-sales_data[[#This Row],[cost]]</f>
        <v>17950</v>
      </c>
      <c r="J382" s="1">
        <f>sales_data[[#This Row],[profit]]/sales_data[[#This Row],[revenue]]</f>
        <v>0.30000668538574676</v>
      </c>
      <c r="K382" t="str">
        <f>IF(OR(sales_data[[#This Row],[revenue]]="",sales_data[[#This Row],[cost]]=""),"Check","OK")</f>
        <v>OK</v>
      </c>
    </row>
    <row r="383" spans="1:11" x14ac:dyDescent="0.3">
      <c r="A383" t="s">
        <v>419</v>
      </c>
      <c r="B383" s="2">
        <v>45713</v>
      </c>
      <c r="C383" t="s">
        <v>19</v>
      </c>
      <c r="D383" t="s">
        <v>15</v>
      </c>
      <c r="E383" t="s">
        <v>34</v>
      </c>
      <c r="F383" t="s">
        <v>12</v>
      </c>
      <c r="G383">
        <v>70871</v>
      </c>
      <c r="H383">
        <v>48192</v>
      </c>
      <c r="I383">
        <f>sales_data[[#This Row],[revenue]]-sales_data[[#This Row],[cost]]</f>
        <v>22679</v>
      </c>
      <c r="J383" s="1">
        <f>sales_data[[#This Row],[profit]]/sales_data[[#This Row],[revenue]]</f>
        <v>0.32000395084025907</v>
      </c>
      <c r="K383" t="str">
        <f>IF(OR(sales_data[[#This Row],[revenue]]="",sales_data[[#This Row],[cost]]=""),"Check","OK")</f>
        <v>OK</v>
      </c>
    </row>
    <row r="384" spans="1:11" x14ac:dyDescent="0.3">
      <c r="A384" t="s">
        <v>420</v>
      </c>
      <c r="B384" s="2">
        <v>45692</v>
      </c>
      <c r="C384" t="s">
        <v>22</v>
      </c>
      <c r="D384" t="s">
        <v>23</v>
      </c>
      <c r="E384" t="s">
        <v>34</v>
      </c>
      <c r="F384" t="s">
        <v>17</v>
      </c>
      <c r="G384">
        <v>14396</v>
      </c>
      <c r="H384">
        <v>10941</v>
      </c>
      <c r="I384">
        <f>sales_data[[#This Row],[revenue]]-sales_data[[#This Row],[cost]]</f>
        <v>3455</v>
      </c>
      <c r="J384" s="1">
        <f>sales_data[[#This Row],[profit]]/sales_data[[#This Row],[revenue]]</f>
        <v>0.23999722145040289</v>
      </c>
      <c r="K384" t="str">
        <f>IF(OR(sales_data[[#This Row],[revenue]]="",sales_data[[#This Row],[cost]]=""),"Check","OK")</f>
        <v>OK</v>
      </c>
    </row>
    <row r="385" spans="1:11" x14ac:dyDescent="0.3">
      <c r="A385" t="s">
        <v>421</v>
      </c>
      <c r="B385" s="2">
        <v>45702</v>
      </c>
      <c r="C385" t="s">
        <v>9</v>
      </c>
      <c r="D385" t="s">
        <v>10</v>
      </c>
      <c r="E385" t="s">
        <v>36</v>
      </c>
      <c r="F385" t="s">
        <v>17</v>
      </c>
      <c r="G385">
        <v>55300</v>
      </c>
      <c r="H385">
        <v>35392</v>
      </c>
      <c r="I385">
        <f>sales_data[[#This Row],[revenue]]-sales_data[[#This Row],[cost]]</f>
        <v>19908</v>
      </c>
      <c r="J385" s="1">
        <f>sales_data[[#This Row],[profit]]/sales_data[[#This Row],[revenue]]</f>
        <v>0.36</v>
      </c>
      <c r="K385" t="str">
        <f>IF(OR(sales_data[[#This Row],[revenue]]="",sales_data[[#This Row],[cost]]=""),"Check","OK")</f>
        <v>OK</v>
      </c>
    </row>
    <row r="386" spans="1:11" x14ac:dyDescent="0.3">
      <c r="A386" t="s">
        <v>422</v>
      </c>
      <c r="B386" s="2">
        <v>45711</v>
      </c>
      <c r="C386" t="s">
        <v>22</v>
      </c>
      <c r="D386" t="s">
        <v>10</v>
      </c>
      <c r="E386" t="s">
        <v>24</v>
      </c>
      <c r="F386" t="s">
        <v>12</v>
      </c>
      <c r="G386">
        <v>59300</v>
      </c>
      <c r="H386">
        <v>46847</v>
      </c>
      <c r="I386">
        <f>sales_data[[#This Row],[revenue]]-sales_data[[#This Row],[cost]]</f>
        <v>12453</v>
      </c>
      <c r="J386" s="1">
        <f>sales_data[[#This Row],[profit]]/sales_data[[#This Row],[revenue]]</f>
        <v>0.21</v>
      </c>
      <c r="K386" t="str">
        <f>IF(OR(sales_data[[#This Row],[revenue]]="",sales_data[[#This Row],[cost]]=""),"Check","OK")</f>
        <v>OK</v>
      </c>
    </row>
    <row r="387" spans="1:11" x14ac:dyDescent="0.3">
      <c r="A387" t="s">
        <v>423</v>
      </c>
      <c r="B387" s="2">
        <v>45706</v>
      </c>
      <c r="C387" t="s">
        <v>22</v>
      </c>
      <c r="D387" t="s">
        <v>15</v>
      </c>
      <c r="E387" t="s">
        <v>26</v>
      </c>
      <c r="F387" t="s">
        <v>17</v>
      </c>
      <c r="G387">
        <v>16322</v>
      </c>
      <c r="H387">
        <v>10446</v>
      </c>
      <c r="I387">
        <f>sales_data[[#This Row],[revenue]]-sales_data[[#This Row],[cost]]</f>
        <v>5876</v>
      </c>
      <c r="J387" s="1">
        <f>sales_data[[#This Row],[profit]]/sales_data[[#This Row],[revenue]]</f>
        <v>0.36000490136012742</v>
      </c>
      <c r="K387" t="str">
        <f>IF(OR(sales_data[[#This Row],[revenue]]="",sales_data[[#This Row],[cost]]=""),"Check","OK")</f>
        <v>OK</v>
      </c>
    </row>
    <row r="388" spans="1:11" x14ac:dyDescent="0.3">
      <c r="A388" t="s">
        <v>424</v>
      </c>
      <c r="B388" s="2">
        <v>45691</v>
      </c>
      <c r="C388" t="s">
        <v>19</v>
      </c>
      <c r="D388" t="s">
        <v>15</v>
      </c>
      <c r="E388" t="s">
        <v>20</v>
      </c>
      <c r="F388" t="s">
        <v>12</v>
      </c>
      <c r="G388">
        <v>71137</v>
      </c>
      <c r="H388">
        <v>46239</v>
      </c>
      <c r="I388">
        <f>sales_data[[#This Row],[revenue]]-sales_data[[#This Row],[cost]]</f>
        <v>24898</v>
      </c>
      <c r="J388" s="1">
        <f>sales_data[[#This Row],[profit]]/sales_data[[#This Row],[revenue]]</f>
        <v>0.35000070286911172</v>
      </c>
      <c r="K388" t="str">
        <f>IF(OR(sales_data[[#This Row],[revenue]]="",sales_data[[#This Row],[cost]]=""),"Check","OK")</f>
        <v>OK</v>
      </c>
    </row>
    <row r="389" spans="1:11" x14ac:dyDescent="0.3">
      <c r="A389" t="s">
        <v>425</v>
      </c>
      <c r="B389" s="2">
        <v>45705</v>
      </c>
      <c r="C389" t="s">
        <v>19</v>
      </c>
      <c r="D389" t="s">
        <v>10</v>
      </c>
      <c r="E389" t="s">
        <v>32</v>
      </c>
      <c r="F389" t="s">
        <v>17</v>
      </c>
      <c r="G389">
        <v>52791</v>
      </c>
      <c r="H389">
        <v>40121</v>
      </c>
      <c r="I389">
        <f>sales_data[[#This Row],[revenue]]-sales_data[[#This Row],[cost]]</f>
        <v>12670</v>
      </c>
      <c r="J389" s="1">
        <f>sales_data[[#This Row],[profit]]/sales_data[[#This Row],[revenue]]</f>
        <v>0.2400030308196473</v>
      </c>
      <c r="K389" t="str">
        <f>IF(OR(sales_data[[#This Row],[revenue]]="",sales_data[[#This Row],[cost]]=""),"Check","OK")</f>
        <v>OK</v>
      </c>
    </row>
    <row r="390" spans="1:11" x14ac:dyDescent="0.3">
      <c r="A390" t="s">
        <v>426</v>
      </c>
      <c r="B390" s="2">
        <v>45697</v>
      </c>
      <c r="C390" t="s">
        <v>19</v>
      </c>
      <c r="D390" t="s">
        <v>23</v>
      </c>
      <c r="E390" t="s">
        <v>38</v>
      </c>
      <c r="F390" t="s">
        <v>17</v>
      </c>
      <c r="G390">
        <v>93211</v>
      </c>
      <c r="H390">
        <v>74569</v>
      </c>
      <c r="I390">
        <f>sales_data[[#This Row],[revenue]]-sales_data[[#This Row],[cost]]</f>
        <v>18642</v>
      </c>
      <c r="J390" s="1">
        <f>sales_data[[#This Row],[profit]]/sales_data[[#This Row],[revenue]]</f>
        <v>0.19999785433049747</v>
      </c>
      <c r="K390" t="str">
        <f>IF(OR(sales_data[[#This Row],[revenue]]="",sales_data[[#This Row],[cost]]=""),"Check","OK")</f>
        <v>OK</v>
      </c>
    </row>
    <row r="391" spans="1:11" x14ac:dyDescent="0.3">
      <c r="A391" t="s">
        <v>427</v>
      </c>
      <c r="B391" s="2">
        <v>45716</v>
      </c>
      <c r="C391" t="s">
        <v>19</v>
      </c>
      <c r="D391" t="s">
        <v>23</v>
      </c>
      <c r="E391" t="s">
        <v>24</v>
      </c>
      <c r="F391" t="s">
        <v>17</v>
      </c>
      <c r="G391">
        <v>50968</v>
      </c>
      <c r="H391">
        <v>40774</v>
      </c>
      <c r="I391">
        <f>sales_data[[#This Row],[revenue]]-sales_data[[#This Row],[cost]]</f>
        <v>10194</v>
      </c>
      <c r="J391" s="1">
        <f>sales_data[[#This Row],[profit]]/sales_data[[#This Row],[revenue]]</f>
        <v>0.2000078480615288</v>
      </c>
      <c r="K391" t="str">
        <f>IF(OR(sales_data[[#This Row],[revenue]]="",sales_data[[#This Row],[cost]]=""),"Check","OK")</f>
        <v>OK</v>
      </c>
    </row>
    <row r="392" spans="1:11" x14ac:dyDescent="0.3">
      <c r="A392" t="s">
        <v>428</v>
      </c>
      <c r="B392" s="2">
        <v>45704</v>
      </c>
      <c r="C392" t="s">
        <v>22</v>
      </c>
      <c r="D392" t="s">
        <v>23</v>
      </c>
      <c r="E392" t="s">
        <v>26</v>
      </c>
      <c r="F392" t="s">
        <v>17</v>
      </c>
      <c r="G392">
        <v>90029</v>
      </c>
      <c r="H392">
        <v>62120</v>
      </c>
      <c r="I392">
        <f>sales_data[[#This Row],[revenue]]-sales_data[[#This Row],[cost]]</f>
        <v>27909</v>
      </c>
      <c r="J392" s="1">
        <f>sales_data[[#This Row],[profit]]/sales_data[[#This Row],[revenue]]</f>
        <v>0.31000011107532016</v>
      </c>
      <c r="K392" t="str">
        <f>IF(OR(sales_data[[#This Row],[revenue]]="",sales_data[[#This Row],[cost]]=""),"Check","OK")</f>
        <v>OK</v>
      </c>
    </row>
    <row r="393" spans="1:11" x14ac:dyDescent="0.3">
      <c r="A393" t="s">
        <v>429</v>
      </c>
      <c r="B393" s="2">
        <v>45712</v>
      </c>
      <c r="C393" t="s">
        <v>22</v>
      </c>
      <c r="D393" t="s">
        <v>10</v>
      </c>
      <c r="E393" t="s">
        <v>26</v>
      </c>
      <c r="F393" t="s">
        <v>12</v>
      </c>
      <c r="G393">
        <v>49446</v>
      </c>
      <c r="H393">
        <v>29668</v>
      </c>
      <c r="I393">
        <f>sales_data[[#This Row],[revenue]]-sales_data[[#This Row],[cost]]</f>
        <v>19778</v>
      </c>
      <c r="J393" s="1">
        <f>sales_data[[#This Row],[profit]]/sales_data[[#This Row],[revenue]]</f>
        <v>0.39999191036686488</v>
      </c>
      <c r="K393" t="str">
        <f>IF(OR(sales_data[[#This Row],[revenue]]="",sales_data[[#This Row],[cost]]=""),"Check","OK")</f>
        <v>OK</v>
      </c>
    </row>
    <row r="394" spans="1:11" x14ac:dyDescent="0.3">
      <c r="A394" t="s">
        <v>430</v>
      </c>
      <c r="B394" s="2">
        <v>45708</v>
      </c>
      <c r="C394" t="s">
        <v>19</v>
      </c>
      <c r="D394" t="s">
        <v>15</v>
      </c>
      <c r="E394" t="s">
        <v>32</v>
      </c>
      <c r="F394" t="s">
        <v>17</v>
      </c>
      <c r="G394">
        <v>19037</v>
      </c>
      <c r="H394">
        <v>12564</v>
      </c>
      <c r="I394">
        <f>sales_data[[#This Row],[revenue]]-sales_data[[#This Row],[cost]]</f>
        <v>6473</v>
      </c>
      <c r="J394" s="1">
        <f>sales_data[[#This Row],[profit]]/sales_data[[#This Row],[revenue]]</f>
        <v>0.34002206229973209</v>
      </c>
      <c r="K394" t="str">
        <f>IF(OR(sales_data[[#This Row],[revenue]]="",sales_data[[#This Row],[cost]]=""),"Check","OK")</f>
        <v>OK</v>
      </c>
    </row>
    <row r="395" spans="1:11" x14ac:dyDescent="0.3">
      <c r="A395" t="s">
        <v>431</v>
      </c>
      <c r="B395" s="2">
        <v>45707</v>
      </c>
      <c r="C395" t="s">
        <v>14</v>
      </c>
      <c r="D395" t="s">
        <v>15</v>
      </c>
      <c r="E395" t="s">
        <v>34</v>
      </c>
      <c r="F395" t="s">
        <v>12</v>
      </c>
      <c r="G395">
        <v>85415</v>
      </c>
      <c r="H395">
        <v>62353</v>
      </c>
      <c r="I395">
        <f>sales_data[[#This Row],[revenue]]-sales_data[[#This Row],[cost]]</f>
        <v>23062</v>
      </c>
      <c r="J395" s="1">
        <f>sales_data[[#This Row],[profit]]/sales_data[[#This Row],[revenue]]</f>
        <v>0.26999941462272437</v>
      </c>
      <c r="K395" t="str">
        <f>IF(OR(sales_data[[#This Row],[revenue]]="",sales_data[[#This Row],[cost]]=""),"Check","OK")</f>
        <v>OK</v>
      </c>
    </row>
    <row r="396" spans="1:11" x14ac:dyDescent="0.3">
      <c r="A396" t="s">
        <v>432</v>
      </c>
      <c r="B396" s="2">
        <v>45696</v>
      </c>
      <c r="C396" t="s">
        <v>19</v>
      </c>
      <c r="D396" t="s">
        <v>10</v>
      </c>
      <c r="E396" t="s">
        <v>34</v>
      </c>
      <c r="F396" t="s">
        <v>17</v>
      </c>
      <c r="G396">
        <v>71700</v>
      </c>
      <c r="H396">
        <v>45171</v>
      </c>
      <c r="I396">
        <f>sales_data[[#This Row],[revenue]]-sales_data[[#This Row],[cost]]</f>
        <v>26529</v>
      </c>
      <c r="J396" s="1">
        <f>sales_data[[#This Row],[profit]]/sales_data[[#This Row],[revenue]]</f>
        <v>0.37</v>
      </c>
      <c r="K396" t="str">
        <f>IF(OR(sales_data[[#This Row],[revenue]]="",sales_data[[#This Row],[cost]]=""),"Check","OK")</f>
        <v>OK</v>
      </c>
    </row>
    <row r="397" spans="1:11" x14ac:dyDescent="0.3">
      <c r="A397" t="s">
        <v>433</v>
      </c>
      <c r="B397" s="2">
        <v>45714</v>
      </c>
      <c r="C397" t="s">
        <v>22</v>
      </c>
      <c r="D397" t="s">
        <v>10</v>
      </c>
      <c r="E397" t="s">
        <v>34</v>
      </c>
      <c r="F397" t="s">
        <v>12</v>
      </c>
      <c r="G397">
        <v>81720</v>
      </c>
      <c r="H397">
        <v>53935</v>
      </c>
      <c r="I397">
        <f>sales_data[[#This Row],[revenue]]-sales_data[[#This Row],[cost]]</f>
        <v>27785</v>
      </c>
      <c r="J397" s="1">
        <f>sales_data[[#This Row],[profit]]/sales_data[[#This Row],[revenue]]</f>
        <v>0.34000244738130203</v>
      </c>
      <c r="K397" t="str">
        <f>IF(OR(sales_data[[#This Row],[revenue]]="",sales_data[[#This Row],[cost]]=""),"Check","OK")</f>
        <v>OK</v>
      </c>
    </row>
    <row r="398" spans="1:11" x14ac:dyDescent="0.3">
      <c r="A398" t="s">
        <v>434</v>
      </c>
      <c r="B398" s="2">
        <v>45701</v>
      </c>
      <c r="C398" t="s">
        <v>22</v>
      </c>
      <c r="D398" t="s">
        <v>10</v>
      </c>
      <c r="E398" t="s">
        <v>20</v>
      </c>
      <c r="F398" t="s">
        <v>17</v>
      </c>
      <c r="G398">
        <v>5012</v>
      </c>
      <c r="H398">
        <v>3408</v>
      </c>
      <c r="I398">
        <f>sales_data[[#This Row],[revenue]]-sales_data[[#This Row],[cost]]</f>
        <v>1604</v>
      </c>
      <c r="J398" s="1">
        <f>sales_data[[#This Row],[profit]]/sales_data[[#This Row],[revenue]]</f>
        <v>0.3200319233838787</v>
      </c>
      <c r="K398" t="str">
        <f>IF(OR(sales_data[[#This Row],[revenue]]="",sales_data[[#This Row],[cost]]=""),"Check","OK")</f>
        <v>OK</v>
      </c>
    </row>
    <row r="399" spans="1:11" x14ac:dyDescent="0.3">
      <c r="A399" t="s">
        <v>435</v>
      </c>
      <c r="B399" s="2">
        <v>45703</v>
      </c>
      <c r="C399" t="s">
        <v>22</v>
      </c>
      <c r="D399" t="s">
        <v>10</v>
      </c>
      <c r="E399" t="s">
        <v>38</v>
      </c>
      <c r="F399" t="s">
        <v>17</v>
      </c>
      <c r="G399">
        <v>87093</v>
      </c>
      <c r="H399">
        <v>60965</v>
      </c>
      <c r="I399">
        <f>sales_data[[#This Row],[revenue]]-sales_data[[#This Row],[cost]]</f>
        <v>26128</v>
      </c>
      <c r="J399" s="1">
        <f>sales_data[[#This Row],[profit]]/sales_data[[#This Row],[revenue]]</f>
        <v>0.30000114819790341</v>
      </c>
      <c r="K399" t="str">
        <f>IF(OR(sales_data[[#This Row],[revenue]]="",sales_data[[#This Row],[cost]]=""),"Check","OK")</f>
        <v>OK</v>
      </c>
    </row>
    <row r="400" spans="1:11" x14ac:dyDescent="0.3">
      <c r="A400" t="s">
        <v>436</v>
      </c>
      <c r="B400" s="2">
        <v>45696</v>
      </c>
      <c r="C400" t="s">
        <v>22</v>
      </c>
      <c r="D400" t="s">
        <v>10</v>
      </c>
      <c r="E400" t="s">
        <v>24</v>
      </c>
      <c r="F400" t="s">
        <v>17</v>
      </c>
      <c r="G400">
        <v>67143</v>
      </c>
      <c r="H400">
        <v>42972</v>
      </c>
      <c r="I400">
        <f>sales_data[[#This Row],[revenue]]-sales_data[[#This Row],[cost]]</f>
        <v>24171</v>
      </c>
      <c r="J400" s="1">
        <f>sales_data[[#This Row],[profit]]/sales_data[[#This Row],[revenue]]</f>
        <v>0.35999285107904028</v>
      </c>
      <c r="K400" t="str">
        <f>IF(OR(sales_data[[#This Row],[revenue]]="",sales_data[[#This Row],[cost]]=""),"Check","OK")</f>
        <v>OK</v>
      </c>
    </row>
    <row r="401" spans="1:11" x14ac:dyDescent="0.3">
      <c r="A401" t="s">
        <v>437</v>
      </c>
      <c r="B401" s="2">
        <v>45701</v>
      </c>
      <c r="C401" t="s">
        <v>22</v>
      </c>
      <c r="D401" t="s">
        <v>15</v>
      </c>
      <c r="E401" t="s">
        <v>29</v>
      </c>
      <c r="F401" t="s">
        <v>17</v>
      </c>
      <c r="G401">
        <v>62289</v>
      </c>
      <c r="H401">
        <v>39865</v>
      </c>
      <c r="I401">
        <f>sales_data[[#This Row],[revenue]]-sales_data[[#This Row],[cost]]</f>
        <v>22424</v>
      </c>
      <c r="J401" s="1">
        <f>sales_data[[#This Row],[profit]]/sales_data[[#This Row],[revenue]]</f>
        <v>0.35999935783204096</v>
      </c>
      <c r="K401" t="str">
        <f>IF(OR(sales_data[[#This Row],[revenue]]="",sales_data[[#This Row],[cost]]=""),"Check","OK")</f>
        <v>OK</v>
      </c>
    </row>
    <row r="402" spans="1:11" x14ac:dyDescent="0.3">
      <c r="A402" t="s">
        <v>438</v>
      </c>
      <c r="B402" s="2">
        <v>45697</v>
      </c>
      <c r="C402" t="s">
        <v>9</v>
      </c>
      <c r="D402" t="s">
        <v>10</v>
      </c>
      <c r="E402" t="s">
        <v>38</v>
      </c>
      <c r="F402" t="s">
        <v>12</v>
      </c>
      <c r="G402">
        <v>22527</v>
      </c>
      <c r="H402">
        <v>17346</v>
      </c>
      <c r="I402">
        <f>sales_data[[#This Row],[revenue]]-sales_data[[#This Row],[cost]]</f>
        <v>5181</v>
      </c>
      <c r="J402" s="1">
        <f>sales_data[[#This Row],[profit]]/sales_data[[#This Row],[revenue]]</f>
        <v>0.22999067785324279</v>
      </c>
      <c r="K402" t="str">
        <f>IF(OR(sales_data[[#This Row],[revenue]]="",sales_data[[#This Row],[cost]]=""),"Check","OK")</f>
        <v>OK</v>
      </c>
    </row>
    <row r="403" spans="1:11" x14ac:dyDescent="0.3">
      <c r="A403" t="s">
        <v>439</v>
      </c>
      <c r="B403" s="2">
        <v>45714</v>
      </c>
      <c r="C403" t="s">
        <v>22</v>
      </c>
      <c r="D403" t="s">
        <v>10</v>
      </c>
      <c r="E403" t="s">
        <v>26</v>
      </c>
      <c r="F403" t="s">
        <v>17</v>
      </c>
      <c r="G403">
        <v>33921</v>
      </c>
      <c r="H403">
        <v>22388</v>
      </c>
      <c r="I403">
        <f>sales_data[[#This Row],[revenue]]-sales_data[[#This Row],[cost]]</f>
        <v>11533</v>
      </c>
      <c r="J403" s="1">
        <f>sales_data[[#This Row],[profit]]/sales_data[[#This Row],[revenue]]</f>
        <v>0.33999587276318505</v>
      </c>
      <c r="K403" t="str">
        <f>IF(OR(sales_data[[#This Row],[revenue]]="",sales_data[[#This Row],[cost]]=""),"Check","OK")</f>
        <v>OK</v>
      </c>
    </row>
    <row r="404" spans="1:11" x14ac:dyDescent="0.3">
      <c r="A404" t="s">
        <v>440</v>
      </c>
      <c r="B404" s="2">
        <v>45690</v>
      </c>
      <c r="C404" t="s">
        <v>9</v>
      </c>
      <c r="D404" t="s">
        <v>23</v>
      </c>
      <c r="E404" t="s">
        <v>20</v>
      </c>
      <c r="F404" t="s">
        <v>17</v>
      </c>
      <c r="G404">
        <v>6870</v>
      </c>
      <c r="H404">
        <v>4740</v>
      </c>
      <c r="I404">
        <f>sales_data[[#This Row],[revenue]]-sales_data[[#This Row],[cost]]</f>
        <v>2130</v>
      </c>
      <c r="J404" s="1">
        <f>sales_data[[#This Row],[profit]]/sales_data[[#This Row],[revenue]]</f>
        <v>0.31004366812227074</v>
      </c>
      <c r="K404" t="str">
        <f>IF(OR(sales_data[[#This Row],[revenue]]="",sales_data[[#This Row],[cost]]=""),"Check","OK")</f>
        <v>OK</v>
      </c>
    </row>
    <row r="405" spans="1:11" x14ac:dyDescent="0.3">
      <c r="A405" t="s">
        <v>441</v>
      </c>
      <c r="B405" s="2">
        <v>45695</v>
      </c>
      <c r="C405" t="s">
        <v>22</v>
      </c>
      <c r="D405" t="s">
        <v>23</v>
      </c>
      <c r="E405" t="s">
        <v>24</v>
      </c>
      <c r="F405" t="s">
        <v>17</v>
      </c>
      <c r="G405">
        <v>12398</v>
      </c>
      <c r="H405">
        <v>8803</v>
      </c>
      <c r="I405">
        <f>sales_data[[#This Row],[revenue]]-sales_data[[#This Row],[cost]]</f>
        <v>3595</v>
      </c>
      <c r="J405" s="1">
        <f>sales_data[[#This Row],[profit]]/sales_data[[#This Row],[revenue]]</f>
        <v>0.28996612356831747</v>
      </c>
      <c r="K405" t="str">
        <f>IF(OR(sales_data[[#This Row],[revenue]]="",sales_data[[#This Row],[cost]]=""),"Check","OK")</f>
        <v>OK</v>
      </c>
    </row>
    <row r="406" spans="1:11" x14ac:dyDescent="0.3">
      <c r="A406" t="s">
        <v>442</v>
      </c>
      <c r="B406" s="2">
        <v>45708</v>
      </c>
      <c r="C406" t="s">
        <v>19</v>
      </c>
      <c r="D406" t="s">
        <v>23</v>
      </c>
      <c r="E406" t="s">
        <v>24</v>
      </c>
      <c r="F406" t="s">
        <v>12</v>
      </c>
      <c r="G406">
        <v>76276</v>
      </c>
      <c r="H406">
        <v>53393</v>
      </c>
      <c r="I406">
        <f>sales_data[[#This Row],[revenue]]-sales_data[[#This Row],[cost]]</f>
        <v>22883</v>
      </c>
      <c r="J406" s="1">
        <f>sales_data[[#This Row],[profit]]/sales_data[[#This Row],[revenue]]</f>
        <v>0.30000262205674133</v>
      </c>
      <c r="K406" t="str">
        <f>IF(OR(sales_data[[#This Row],[revenue]]="",sales_data[[#This Row],[cost]]=""),"Check","OK")</f>
        <v>OK</v>
      </c>
    </row>
    <row r="407" spans="1:11" x14ac:dyDescent="0.3">
      <c r="A407" t="s">
        <v>443</v>
      </c>
      <c r="B407" s="2">
        <v>45691</v>
      </c>
      <c r="C407" t="s">
        <v>14</v>
      </c>
      <c r="D407" t="s">
        <v>15</v>
      </c>
      <c r="E407" t="s">
        <v>16</v>
      </c>
      <c r="F407" t="s">
        <v>17</v>
      </c>
      <c r="G407">
        <v>29170</v>
      </c>
      <c r="H407">
        <v>21878</v>
      </c>
      <c r="I407">
        <f>sales_data[[#This Row],[revenue]]-sales_data[[#This Row],[cost]]</f>
        <v>7292</v>
      </c>
      <c r="J407" s="1">
        <f>sales_data[[#This Row],[profit]]/sales_data[[#This Row],[revenue]]</f>
        <v>0.24998285910181695</v>
      </c>
      <c r="K407" t="str">
        <f>IF(OR(sales_data[[#This Row],[revenue]]="",sales_data[[#This Row],[cost]]=""),"Check","OK")</f>
        <v>OK</v>
      </c>
    </row>
    <row r="408" spans="1:11" x14ac:dyDescent="0.3">
      <c r="A408" t="s">
        <v>444</v>
      </c>
      <c r="B408" s="2">
        <v>45695</v>
      </c>
      <c r="C408" t="s">
        <v>22</v>
      </c>
      <c r="D408" t="s">
        <v>23</v>
      </c>
      <c r="E408" t="s">
        <v>20</v>
      </c>
      <c r="F408" t="s">
        <v>17</v>
      </c>
      <c r="G408">
        <v>42278</v>
      </c>
      <c r="H408">
        <v>31286</v>
      </c>
      <c r="I408">
        <f>sales_data[[#This Row],[revenue]]-sales_data[[#This Row],[cost]]</f>
        <v>10992</v>
      </c>
      <c r="J408" s="1">
        <f>sales_data[[#This Row],[profit]]/sales_data[[#This Row],[revenue]]</f>
        <v>0.25999337717015941</v>
      </c>
      <c r="K408" t="str">
        <f>IF(OR(sales_data[[#This Row],[revenue]]="",sales_data[[#This Row],[cost]]=""),"Check","OK")</f>
        <v>OK</v>
      </c>
    </row>
    <row r="409" spans="1:11" x14ac:dyDescent="0.3">
      <c r="A409" t="s">
        <v>445</v>
      </c>
      <c r="B409" s="2">
        <v>45714</v>
      </c>
      <c r="C409" t="s">
        <v>14</v>
      </c>
      <c r="D409" t="s">
        <v>10</v>
      </c>
      <c r="E409" t="s">
        <v>38</v>
      </c>
      <c r="F409" t="s">
        <v>12</v>
      </c>
      <c r="G409">
        <v>17442</v>
      </c>
      <c r="H409">
        <v>10988</v>
      </c>
      <c r="I409">
        <f>sales_data[[#This Row],[revenue]]-sales_data[[#This Row],[cost]]</f>
        <v>6454</v>
      </c>
      <c r="J409" s="1">
        <f>sales_data[[#This Row],[profit]]/sales_data[[#This Row],[revenue]]</f>
        <v>0.37002637312234837</v>
      </c>
      <c r="K409" t="str">
        <f>IF(OR(sales_data[[#This Row],[revenue]]="",sales_data[[#This Row],[cost]]=""),"Check","OK")</f>
        <v>OK</v>
      </c>
    </row>
    <row r="410" spans="1:11" x14ac:dyDescent="0.3">
      <c r="A410" t="s">
        <v>446</v>
      </c>
      <c r="B410" s="2">
        <v>45690</v>
      </c>
      <c r="C410" t="s">
        <v>22</v>
      </c>
      <c r="D410" t="s">
        <v>23</v>
      </c>
      <c r="E410" t="s">
        <v>26</v>
      </c>
      <c r="F410" t="s">
        <v>17</v>
      </c>
      <c r="G410">
        <v>96715</v>
      </c>
      <c r="H410">
        <v>75438</v>
      </c>
      <c r="I410">
        <f>sales_data[[#This Row],[revenue]]-sales_data[[#This Row],[cost]]</f>
        <v>21277</v>
      </c>
      <c r="J410" s="1">
        <f>sales_data[[#This Row],[profit]]/sales_data[[#This Row],[revenue]]</f>
        <v>0.21999689810267281</v>
      </c>
      <c r="K410" t="str">
        <f>IF(OR(sales_data[[#This Row],[revenue]]="",sales_data[[#This Row],[cost]]=""),"Check","OK")</f>
        <v>OK</v>
      </c>
    </row>
    <row r="411" spans="1:11" x14ac:dyDescent="0.3">
      <c r="A411" t="s">
        <v>447</v>
      </c>
      <c r="B411" s="2">
        <v>45710</v>
      </c>
      <c r="C411" t="s">
        <v>19</v>
      </c>
      <c r="D411" t="s">
        <v>10</v>
      </c>
      <c r="E411" t="s">
        <v>34</v>
      </c>
      <c r="F411" t="s">
        <v>17</v>
      </c>
      <c r="G411">
        <v>44437</v>
      </c>
      <c r="H411">
        <v>27551</v>
      </c>
      <c r="I411">
        <f>sales_data[[#This Row],[revenue]]-sales_data[[#This Row],[cost]]</f>
        <v>16886</v>
      </c>
      <c r="J411" s="1">
        <f>sales_data[[#This Row],[profit]]/sales_data[[#This Row],[revenue]]</f>
        <v>0.37999864977383713</v>
      </c>
      <c r="K411" t="str">
        <f>IF(OR(sales_data[[#This Row],[revenue]]="",sales_data[[#This Row],[cost]]=""),"Check","OK")</f>
        <v>OK</v>
      </c>
    </row>
    <row r="412" spans="1:11" x14ac:dyDescent="0.3">
      <c r="A412" t="s">
        <v>448</v>
      </c>
      <c r="B412" s="2">
        <v>45715</v>
      </c>
      <c r="C412" t="s">
        <v>9</v>
      </c>
      <c r="D412" t="s">
        <v>15</v>
      </c>
      <c r="E412" t="s">
        <v>26</v>
      </c>
      <c r="F412" t="s">
        <v>17</v>
      </c>
      <c r="G412">
        <v>20760</v>
      </c>
      <c r="H412">
        <v>14324</v>
      </c>
      <c r="I412">
        <f>sales_data[[#This Row],[revenue]]-sales_data[[#This Row],[cost]]</f>
        <v>6436</v>
      </c>
      <c r="J412" s="1">
        <f>sales_data[[#This Row],[profit]]/sales_data[[#This Row],[revenue]]</f>
        <v>0.31001926782273603</v>
      </c>
      <c r="K412" t="str">
        <f>IF(OR(sales_data[[#This Row],[revenue]]="",sales_data[[#This Row],[cost]]=""),"Check","OK")</f>
        <v>OK</v>
      </c>
    </row>
    <row r="413" spans="1:11" x14ac:dyDescent="0.3">
      <c r="A413" t="s">
        <v>449</v>
      </c>
      <c r="B413" s="2">
        <v>45706</v>
      </c>
      <c r="C413" t="s">
        <v>9</v>
      </c>
      <c r="D413" t="s">
        <v>23</v>
      </c>
      <c r="E413" t="s">
        <v>32</v>
      </c>
      <c r="F413" t="s">
        <v>12</v>
      </c>
      <c r="G413">
        <v>66592</v>
      </c>
      <c r="H413">
        <v>43951</v>
      </c>
      <c r="I413">
        <f>sales_data[[#This Row],[revenue]]-sales_data[[#This Row],[cost]]</f>
        <v>22641</v>
      </c>
      <c r="J413" s="1">
        <f>sales_data[[#This Row],[profit]]/sales_data[[#This Row],[revenue]]</f>
        <v>0.3399957952907256</v>
      </c>
      <c r="K413" t="str">
        <f>IF(OR(sales_data[[#This Row],[revenue]]="",sales_data[[#This Row],[cost]]=""),"Check","OK")</f>
        <v>OK</v>
      </c>
    </row>
    <row r="414" spans="1:11" x14ac:dyDescent="0.3">
      <c r="A414" t="s">
        <v>450</v>
      </c>
      <c r="B414" s="2">
        <v>45714</v>
      </c>
      <c r="C414" t="s">
        <v>9</v>
      </c>
      <c r="D414" t="s">
        <v>10</v>
      </c>
      <c r="E414" t="s">
        <v>38</v>
      </c>
      <c r="F414" t="s">
        <v>12</v>
      </c>
      <c r="G414">
        <v>18232</v>
      </c>
      <c r="H414">
        <v>11851</v>
      </c>
      <c r="I414">
        <f>sales_data[[#This Row],[revenue]]-sales_data[[#This Row],[cost]]</f>
        <v>6381</v>
      </c>
      <c r="J414" s="1">
        <f>sales_data[[#This Row],[profit]]/sales_data[[#This Row],[revenue]]</f>
        <v>0.34998903027643702</v>
      </c>
      <c r="K414" t="str">
        <f>IF(OR(sales_data[[#This Row],[revenue]]="",sales_data[[#This Row],[cost]]=""),"Check","OK")</f>
        <v>OK</v>
      </c>
    </row>
    <row r="415" spans="1:11" x14ac:dyDescent="0.3">
      <c r="A415" t="s">
        <v>451</v>
      </c>
      <c r="B415" s="2">
        <v>45714</v>
      </c>
      <c r="C415" t="s">
        <v>9</v>
      </c>
      <c r="D415" t="s">
        <v>15</v>
      </c>
      <c r="E415" t="s">
        <v>36</v>
      </c>
      <c r="F415" t="s">
        <v>17</v>
      </c>
      <c r="G415">
        <v>39000</v>
      </c>
      <c r="H415">
        <v>26130</v>
      </c>
      <c r="I415">
        <f>sales_data[[#This Row],[revenue]]-sales_data[[#This Row],[cost]]</f>
        <v>12870</v>
      </c>
      <c r="J415" s="1">
        <f>sales_data[[#This Row],[profit]]/sales_data[[#This Row],[revenue]]</f>
        <v>0.33</v>
      </c>
      <c r="K415" t="str">
        <f>IF(OR(sales_data[[#This Row],[revenue]]="",sales_data[[#This Row],[cost]]=""),"Check","OK")</f>
        <v>OK</v>
      </c>
    </row>
    <row r="416" spans="1:11" x14ac:dyDescent="0.3">
      <c r="A416" t="s">
        <v>452</v>
      </c>
      <c r="B416" s="2">
        <v>45715</v>
      </c>
      <c r="C416" t="s">
        <v>19</v>
      </c>
      <c r="D416" t="s">
        <v>10</v>
      </c>
      <c r="E416" t="s">
        <v>36</v>
      </c>
      <c r="F416" t="s">
        <v>17</v>
      </c>
      <c r="G416">
        <v>48239</v>
      </c>
      <c r="H416">
        <v>33285</v>
      </c>
      <c r="I416">
        <f>sales_data[[#This Row],[revenue]]-sales_data[[#This Row],[cost]]</f>
        <v>14954</v>
      </c>
      <c r="J416" s="1">
        <f>sales_data[[#This Row],[profit]]/sales_data[[#This Row],[revenue]]</f>
        <v>0.30999813428968265</v>
      </c>
      <c r="K416" t="str">
        <f>IF(OR(sales_data[[#This Row],[revenue]]="",sales_data[[#This Row],[cost]]=""),"Check","OK")</f>
        <v>OK</v>
      </c>
    </row>
    <row r="417" spans="1:11" x14ac:dyDescent="0.3">
      <c r="A417" t="s">
        <v>453</v>
      </c>
      <c r="B417" s="2">
        <v>45706</v>
      </c>
      <c r="C417" t="s">
        <v>22</v>
      </c>
      <c r="D417" t="s">
        <v>23</v>
      </c>
      <c r="E417" t="s">
        <v>20</v>
      </c>
      <c r="F417" t="s">
        <v>17</v>
      </c>
      <c r="G417">
        <v>75623</v>
      </c>
      <c r="H417">
        <v>49911</v>
      </c>
      <c r="I417">
        <f>sales_data[[#This Row],[revenue]]-sales_data[[#This Row],[cost]]</f>
        <v>25712</v>
      </c>
      <c r="J417" s="1">
        <f>sales_data[[#This Row],[profit]]/sales_data[[#This Row],[revenue]]</f>
        <v>0.34000238022823742</v>
      </c>
      <c r="K417" t="str">
        <f>IF(OR(sales_data[[#This Row],[revenue]]="",sales_data[[#This Row],[cost]]=""),"Check","OK")</f>
        <v>OK</v>
      </c>
    </row>
    <row r="418" spans="1:11" x14ac:dyDescent="0.3">
      <c r="A418" t="s">
        <v>454</v>
      </c>
      <c r="B418" s="2">
        <v>45692</v>
      </c>
      <c r="C418" t="s">
        <v>19</v>
      </c>
      <c r="D418" t="s">
        <v>15</v>
      </c>
      <c r="E418" t="s">
        <v>11</v>
      </c>
      <c r="F418" t="s">
        <v>17</v>
      </c>
      <c r="G418">
        <v>25542</v>
      </c>
      <c r="H418">
        <v>17369</v>
      </c>
      <c r="I418">
        <f>sales_data[[#This Row],[revenue]]-sales_data[[#This Row],[cost]]</f>
        <v>8173</v>
      </c>
      <c r="J418" s="1">
        <f>sales_data[[#This Row],[profit]]/sales_data[[#This Row],[revenue]]</f>
        <v>0.31998277347114557</v>
      </c>
      <c r="K418" t="str">
        <f>IF(OR(sales_data[[#This Row],[revenue]]="",sales_data[[#This Row],[cost]]=""),"Check","OK")</f>
        <v>OK</v>
      </c>
    </row>
    <row r="419" spans="1:11" x14ac:dyDescent="0.3">
      <c r="A419" t="s">
        <v>455</v>
      </c>
      <c r="B419" s="2">
        <v>45708</v>
      </c>
      <c r="C419" t="s">
        <v>22</v>
      </c>
      <c r="D419" t="s">
        <v>15</v>
      </c>
      <c r="E419" t="s">
        <v>16</v>
      </c>
      <c r="F419" t="s">
        <v>12</v>
      </c>
      <c r="G419">
        <v>28045</v>
      </c>
      <c r="H419">
        <v>17388</v>
      </c>
      <c r="I419">
        <f>sales_data[[#This Row],[revenue]]-sales_data[[#This Row],[cost]]</f>
        <v>10657</v>
      </c>
      <c r="J419" s="1">
        <f>sales_data[[#This Row],[profit]]/sales_data[[#This Row],[revenue]]</f>
        <v>0.37999643430201463</v>
      </c>
      <c r="K419" t="str">
        <f>IF(OR(sales_data[[#This Row],[revenue]]="",sales_data[[#This Row],[cost]]=""),"Check","OK")</f>
        <v>OK</v>
      </c>
    </row>
    <row r="420" spans="1:11" x14ac:dyDescent="0.3">
      <c r="A420" t="s">
        <v>456</v>
      </c>
      <c r="B420" s="2">
        <v>45704</v>
      </c>
      <c r="C420" t="s">
        <v>9</v>
      </c>
      <c r="D420" t="s">
        <v>10</v>
      </c>
      <c r="E420" t="s">
        <v>20</v>
      </c>
      <c r="F420" t="s">
        <v>17</v>
      </c>
      <c r="G420">
        <v>90559</v>
      </c>
      <c r="H420">
        <v>66108</v>
      </c>
      <c r="I420">
        <f>sales_data[[#This Row],[revenue]]-sales_data[[#This Row],[cost]]</f>
        <v>24451</v>
      </c>
      <c r="J420" s="1">
        <f>sales_data[[#This Row],[profit]]/sales_data[[#This Row],[revenue]]</f>
        <v>0.27000077297673342</v>
      </c>
      <c r="K420" t="str">
        <f>IF(OR(sales_data[[#This Row],[revenue]]="",sales_data[[#This Row],[cost]]=""),"Check","OK")</f>
        <v>OK</v>
      </c>
    </row>
    <row r="421" spans="1:11" x14ac:dyDescent="0.3">
      <c r="A421" t="s">
        <v>457</v>
      </c>
      <c r="B421" s="2">
        <v>45702</v>
      </c>
      <c r="C421" t="s">
        <v>14</v>
      </c>
      <c r="D421" t="s">
        <v>23</v>
      </c>
      <c r="E421" t="s">
        <v>24</v>
      </c>
      <c r="F421" t="s">
        <v>12</v>
      </c>
      <c r="G421">
        <v>90206</v>
      </c>
      <c r="H421">
        <v>69459</v>
      </c>
      <c r="I421">
        <f>sales_data[[#This Row],[revenue]]-sales_data[[#This Row],[cost]]</f>
        <v>20747</v>
      </c>
      <c r="J421" s="1">
        <f>sales_data[[#This Row],[profit]]/sales_data[[#This Row],[revenue]]</f>
        <v>0.22999578741990556</v>
      </c>
      <c r="K421" t="str">
        <f>IF(OR(sales_data[[#This Row],[revenue]]="",sales_data[[#This Row],[cost]]=""),"Check","OK")</f>
        <v>OK</v>
      </c>
    </row>
    <row r="422" spans="1:11" x14ac:dyDescent="0.3">
      <c r="A422" t="s">
        <v>458</v>
      </c>
      <c r="B422" s="2">
        <v>45690</v>
      </c>
      <c r="C422" t="s">
        <v>14</v>
      </c>
      <c r="D422" t="s">
        <v>10</v>
      </c>
      <c r="E422" t="s">
        <v>20</v>
      </c>
      <c r="F422" t="s">
        <v>17</v>
      </c>
      <c r="G422">
        <v>59252</v>
      </c>
      <c r="H422">
        <v>40291</v>
      </c>
      <c r="I422">
        <f>sales_data[[#This Row],[revenue]]-sales_data[[#This Row],[cost]]</f>
        <v>18961</v>
      </c>
      <c r="J422" s="1">
        <f>sales_data[[#This Row],[profit]]/sales_data[[#This Row],[revenue]]</f>
        <v>0.3200060757442787</v>
      </c>
      <c r="K422" t="str">
        <f>IF(OR(sales_data[[#This Row],[revenue]]="",sales_data[[#This Row],[cost]]=""),"Check","OK")</f>
        <v>OK</v>
      </c>
    </row>
    <row r="423" spans="1:11" x14ac:dyDescent="0.3">
      <c r="A423" t="s">
        <v>459</v>
      </c>
      <c r="B423" s="2">
        <v>45695</v>
      </c>
      <c r="C423" t="s">
        <v>22</v>
      </c>
      <c r="D423" t="s">
        <v>15</v>
      </c>
      <c r="E423" t="s">
        <v>38</v>
      </c>
      <c r="F423" t="s">
        <v>17</v>
      </c>
      <c r="G423">
        <v>31024</v>
      </c>
      <c r="H423">
        <v>19235</v>
      </c>
      <c r="I423">
        <f>sales_data[[#This Row],[revenue]]-sales_data[[#This Row],[cost]]</f>
        <v>11789</v>
      </c>
      <c r="J423" s="1">
        <f>sales_data[[#This Row],[profit]]/sales_data[[#This Row],[revenue]]</f>
        <v>0.37999613202681792</v>
      </c>
      <c r="K423" t="str">
        <f>IF(OR(sales_data[[#This Row],[revenue]]="",sales_data[[#This Row],[cost]]=""),"Check","OK")</f>
        <v>OK</v>
      </c>
    </row>
    <row r="424" spans="1:11" x14ac:dyDescent="0.3">
      <c r="A424" t="s">
        <v>460</v>
      </c>
      <c r="B424" s="2">
        <v>45708</v>
      </c>
      <c r="C424" t="s">
        <v>22</v>
      </c>
      <c r="D424" t="s">
        <v>10</v>
      </c>
      <c r="E424" t="s">
        <v>36</v>
      </c>
      <c r="F424" t="s">
        <v>12</v>
      </c>
      <c r="G424">
        <v>95367</v>
      </c>
      <c r="H424">
        <v>61989</v>
      </c>
      <c r="I424">
        <f>sales_data[[#This Row],[revenue]]-sales_data[[#This Row],[cost]]</f>
        <v>33378</v>
      </c>
      <c r="J424" s="1">
        <f>sales_data[[#This Row],[profit]]/sales_data[[#This Row],[revenue]]</f>
        <v>0.34999528138664315</v>
      </c>
      <c r="K424" t="str">
        <f>IF(OR(sales_data[[#This Row],[revenue]]="",sales_data[[#This Row],[cost]]=""),"Check","OK")</f>
        <v>OK</v>
      </c>
    </row>
    <row r="425" spans="1:11" x14ac:dyDescent="0.3">
      <c r="A425" t="s">
        <v>461</v>
      </c>
      <c r="B425" s="2">
        <v>45711</v>
      </c>
      <c r="C425" t="s">
        <v>19</v>
      </c>
      <c r="D425" t="s">
        <v>10</v>
      </c>
      <c r="E425" t="s">
        <v>32</v>
      </c>
      <c r="F425" t="s">
        <v>12</v>
      </c>
      <c r="G425">
        <v>20764</v>
      </c>
      <c r="H425">
        <v>14327</v>
      </c>
      <c r="I425">
        <f>sales_data[[#This Row],[revenue]]-sales_data[[#This Row],[cost]]</f>
        <v>6437</v>
      </c>
      <c r="J425" s="1">
        <f>sales_data[[#This Row],[profit]]/sales_data[[#This Row],[revenue]]</f>
        <v>0.31000770564438451</v>
      </c>
      <c r="K425" t="str">
        <f>IF(OR(sales_data[[#This Row],[revenue]]="",sales_data[[#This Row],[cost]]=""),"Check","OK")</f>
        <v>OK</v>
      </c>
    </row>
    <row r="426" spans="1:11" x14ac:dyDescent="0.3">
      <c r="A426" t="s">
        <v>462</v>
      </c>
      <c r="B426" s="2">
        <v>45711</v>
      </c>
      <c r="C426" t="s">
        <v>14</v>
      </c>
      <c r="D426" t="s">
        <v>15</v>
      </c>
      <c r="E426" t="s">
        <v>11</v>
      </c>
      <c r="F426" t="s">
        <v>17</v>
      </c>
      <c r="G426">
        <v>59929</v>
      </c>
      <c r="H426">
        <v>47943</v>
      </c>
      <c r="I426">
        <f>sales_data[[#This Row],[revenue]]-sales_data[[#This Row],[cost]]</f>
        <v>11986</v>
      </c>
      <c r="J426" s="1">
        <f>sales_data[[#This Row],[profit]]/sales_data[[#This Row],[revenue]]</f>
        <v>0.2000033372824509</v>
      </c>
      <c r="K426" t="str">
        <f>IF(OR(sales_data[[#This Row],[revenue]]="",sales_data[[#This Row],[cost]]=""),"Check","OK")</f>
        <v>OK</v>
      </c>
    </row>
    <row r="427" spans="1:11" x14ac:dyDescent="0.3">
      <c r="A427" t="s">
        <v>463</v>
      </c>
      <c r="B427" s="2">
        <v>45704</v>
      </c>
      <c r="C427" t="s">
        <v>19</v>
      </c>
      <c r="D427" t="s">
        <v>23</v>
      </c>
      <c r="E427" t="s">
        <v>20</v>
      </c>
      <c r="F427" t="s">
        <v>12</v>
      </c>
      <c r="G427">
        <v>51789</v>
      </c>
      <c r="H427">
        <v>31073</v>
      </c>
      <c r="I427">
        <f>sales_data[[#This Row],[revenue]]-sales_data[[#This Row],[cost]]</f>
        <v>20716</v>
      </c>
      <c r="J427" s="1">
        <f>sales_data[[#This Row],[profit]]/sales_data[[#This Row],[revenue]]</f>
        <v>0.4000077236478789</v>
      </c>
      <c r="K427" t="str">
        <f>IF(OR(sales_data[[#This Row],[revenue]]="",sales_data[[#This Row],[cost]]=""),"Check","OK")</f>
        <v>OK</v>
      </c>
    </row>
    <row r="428" spans="1:11" x14ac:dyDescent="0.3">
      <c r="A428" t="s">
        <v>464</v>
      </c>
      <c r="B428" s="2">
        <v>45708</v>
      </c>
      <c r="C428" t="s">
        <v>14</v>
      </c>
      <c r="D428" t="s">
        <v>23</v>
      </c>
      <c r="E428" t="s">
        <v>11</v>
      </c>
      <c r="F428" t="s">
        <v>12</v>
      </c>
      <c r="G428">
        <v>46647</v>
      </c>
      <c r="H428">
        <v>28455</v>
      </c>
      <c r="I428">
        <f>sales_data[[#This Row],[revenue]]-sales_data[[#This Row],[cost]]</f>
        <v>18192</v>
      </c>
      <c r="J428" s="1">
        <f>sales_data[[#This Row],[profit]]/sales_data[[#This Row],[revenue]]</f>
        <v>0.38999292559007009</v>
      </c>
      <c r="K428" t="str">
        <f>IF(OR(sales_data[[#This Row],[revenue]]="",sales_data[[#This Row],[cost]]=""),"Check","OK")</f>
        <v>OK</v>
      </c>
    </row>
    <row r="429" spans="1:11" x14ac:dyDescent="0.3">
      <c r="A429" t="s">
        <v>465</v>
      </c>
      <c r="B429" s="2">
        <v>45691</v>
      </c>
      <c r="C429" t="s">
        <v>9</v>
      </c>
      <c r="D429" t="s">
        <v>15</v>
      </c>
      <c r="E429" t="s">
        <v>36</v>
      </c>
      <c r="F429" t="s">
        <v>12</v>
      </c>
      <c r="G429">
        <v>17458</v>
      </c>
      <c r="H429">
        <v>12221</v>
      </c>
      <c r="I429">
        <f>sales_data[[#This Row],[revenue]]-sales_data[[#This Row],[cost]]</f>
        <v>5237</v>
      </c>
      <c r="J429" s="1">
        <f>sales_data[[#This Row],[profit]]/sales_data[[#This Row],[revenue]]</f>
        <v>0.29997708786802613</v>
      </c>
      <c r="K429" t="str">
        <f>IF(OR(sales_data[[#This Row],[revenue]]="",sales_data[[#This Row],[cost]]=""),"Check","OK")</f>
        <v>OK</v>
      </c>
    </row>
    <row r="430" spans="1:11" x14ac:dyDescent="0.3">
      <c r="A430" t="s">
        <v>466</v>
      </c>
      <c r="B430" s="2">
        <v>45707</v>
      </c>
      <c r="C430" t="s">
        <v>22</v>
      </c>
      <c r="D430" t="s">
        <v>23</v>
      </c>
      <c r="E430" t="s">
        <v>16</v>
      </c>
      <c r="F430" t="s">
        <v>17</v>
      </c>
      <c r="G430">
        <v>33183</v>
      </c>
      <c r="H430">
        <v>26215</v>
      </c>
      <c r="I430">
        <f>sales_data[[#This Row],[revenue]]-sales_data[[#This Row],[cost]]</f>
        <v>6968</v>
      </c>
      <c r="J430" s="1">
        <f>sales_data[[#This Row],[profit]]/sales_data[[#This Row],[revenue]]</f>
        <v>0.20998704155742398</v>
      </c>
      <c r="K430" t="str">
        <f>IF(OR(sales_data[[#This Row],[revenue]]="",sales_data[[#This Row],[cost]]=""),"Check","OK")</f>
        <v>OK</v>
      </c>
    </row>
    <row r="431" spans="1:11" x14ac:dyDescent="0.3">
      <c r="A431" t="s">
        <v>467</v>
      </c>
      <c r="B431" s="2">
        <v>45692</v>
      </c>
      <c r="C431" t="s">
        <v>22</v>
      </c>
      <c r="D431" t="s">
        <v>23</v>
      </c>
      <c r="E431" t="s">
        <v>32</v>
      </c>
      <c r="F431" t="s">
        <v>17</v>
      </c>
      <c r="G431">
        <v>95608</v>
      </c>
      <c r="H431">
        <v>63101</v>
      </c>
      <c r="I431">
        <f>sales_data[[#This Row],[revenue]]-sales_data[[#This Row],[cost]]</f>
        <v>32507</v>
      </c>
      <c r="J431" s="1">
        <f>sales_data[[#This Row],[profit]]/sales_data[[#This Row],[revenue]]</f>
        <v>0.34000292862521964</v>
      </c>
      <c r="K431" t="str">
        <f>IF(OR(sales_data[[#This Row],[revenue]]="",sales_data[[#This Row],[cost]]=""),"Check","OK")</f>
        <v>OK</v>
      </c>
    </row>
    <row r="432" spans="1:11" x14ac:dyDescent="0.3">
      <c r="A432" t="s">
        <v>468</v>
      </c>
      <c r="B432" s="2">
        <v>45709</v>
      </c>
      <c r="C432" t="s">
        <v>14</v>
      </c>
      <c r="D432" t="s">
        <v>23</v>
      </c>
      <c r="E432" t="s">
        <v>36</v>
      </c>
      <c r="F432" t="s">
        <v>12</v>
      </c>
      <c r="G432">
        <v>67013</v>
      </c>
      <c r="H432">
        <v>51600</v>
      </c>
      <c r="I432">
        <f>sales_data[[#This Row],[revenue]]-sales_data[[#This Row],[cost]]</f>
        <v>15413</v>
      </c>
      <c r="J432" s="1">
        <f>sales_data[[#This Row],[profit]]/sales_data[[#This Row],[revenue]]</f>
        <v>0.23000014922477729</v>
      </c>
      <c r="K432" t="str">
        <f>IF(OR(sales_data[[#This Row],[revenue]]="",sales_data[[#This Row],[cost]]=""),"Check","OK")</f>
        <v>OK</v>
      </c>
    </row>
    <row r="433" spans="1:11" x14ac:dyDescent="0.3">
      <c r="A433" t="s">
        <v>469</v>
      </c>
      <c r="B433" s="2">
        <v>45712</v>
      </c>
      <c r="C433" t="s">
        <v>14</v>
      </c>
      <c r="D433" t="s">
        <v>23</v>
      </c>
      <c r="E433" t="s">
        <v>36</v>
      </c>
      <c r="F433" t="s">
        <v>17</v>
      </c>
      <c r="G433">
        <v>38106</v>
      </c>
      <c r="H433">
        <v>30485</v>
      </c>
      <c r="I433">
        <f>sales_data[[#This Row],[revenue]]-sales_data[[#This Row],[cost]]</f>
        <v>7621</v>
      </c>
      <c r="J433" s="1">
        <f>sales_data[[#This Row],[profit]]/sales_data[[#This Row],[revenue]]</f>
        <v>0.19999475148270612</v>
      </c>
      <c r="K433" t="str">
        <f>IF(OR(sales_data[[#This Row],[revenue]]="",sales_data[[#This Row],[cost]]=""),"Check","OK")</f>
        <v>OK</v>
      </c>
    </row>
    <row r="434" spans="1:11" x14ac:dyDescent="0.3">
      <c r="A434" t="s">
        <v>470</v>
      </c>
      <c r="B434" s="2">
        <v>45703</v>
      </c>
      <c r="C434" t="s">
        <v>14</v>
      </c>
      <c r="D434" t="s">
        <v>15</v>
      </c>
      <c r="E434" t="s">
        <v>36</v>
      </c>
      <c r="F434" t="s">
        <v>17</v>
      </c>
      <c r="G434">
        <v>57751</v>
      </c>
      <c r="H434">
        <v>42158</v>
      </c>
      <c r="I434">
        <f>sales_data[[#This Row],[revenue]]-sales_data[[#This Row],[cost]]</f>
        <v>15593</v>
      </c>
      <c r="J434" s="1">
        <f>sales_data[[#This Row],[profit]]/sales_data[[#This Row],[revenue]]</f>
        <v>0.27000398261501968</v>
      </c>
      <c r="K434" t="str">
        <f>IF(OR(sales_data[[#This Row],[revenue]]="",sales_data[[#This Row],[cost]]=""),"Check","OK")</f>
        <v>OK</v>
      </c>
    </row>
    <row r="435" spans="1:11" x14ac:dyDescent="0.3">
      <c r="A435" t="s">
        <v>471</v>
      </c>
      <c r="B435" s="2">
        <v>45699</v>
      </c>
      <c r="C435" t="s">
        <v>22</v>
      </c>
      <c r="D435" t="s">
        <v>23</v>
      </c>
      <c r="E435" t="s">
        <v>32</v>
      </c>
      <c r="F435" t="s">
        <v>12</v>
      </c>
      <c r="G435">
        <v>64693</v>
      </c>
      <c r="H435">
        <v>47873</v>
      </c>
      <c r="I435">
        <f>sales_data[[#This Row],[revenue]]-sales_data[[#This Row],[cost]]</f>
        <v>16820</v>
      </c>
      <c r="J435" s="1">
        <f>sales_data[[#This Row],[profit]]/sales_data[[#This Row],[revenue]]</f>
        <v>0.2599972176278732</v>
      </c>
      <c r="K435" t="str">
        <f>IF(OR(sales_data[[#This Row],[revenue]]="",sales_data[[#This Row],[cost]]=""),"Check","OK")</f>
        <v>OK</v>
      </c>
    </row>
    <row r="436" spans="1:11" x14ac:dyDescent="0.3">
      <c r="A436" t="s">
        <v>472</v>
      </c>
      <c r="B436" s="2">
        <v>45699</v>
      </c>
      <c r="C436" t="s">
        <v>14</v>
      </c>
      <c r="D436" t="s">
        <v>15</v>
      </c>
      <c r="E436" t="s">
        <v>34</v>
      </c>
      <c r="F436" t="s">
        <v>12</v>
      </c>
      <c r="G436">
        <v>16005</v>
      </c>
      <c r="H436">
        <v>10883</v>
      </c>
      <c r="I436">
        <f>sales_data[[#This Row],[revenue]]-sales_data[[#This Row],[cost]]</f>
        <v>5122</v>
      </c>
      <c r="J436" s="1">
        <f>sales_data[[#This Row],[profit]]/sales_data[[#This Row],[revenue]]</f>
        <v>0.32002499218994063</v>
      </c>
      <c r="K436" t="str">
        <f>IF(OR(sales_data[[#This Row],[revenue]]="",sales_data[[#This Row],[cost]]=""),"Check","OK")</f>
        <v>OK</v>
      </c>
    </row>
    <row r="437" spans="1:11" x14ac:dyDescent="0.3">
      <c r="A437" t="s">
        <v>473</v>
      </c>
      <c r="B437" s="2">
        <v>45689</v>
      </c>
      <c r="C437" t="s">
        <v>14</v>
      </c>
      <c r="D437" t="s">
        <v>15</v>
      </c>
      <c r="E437" t="s">
        <v>20</v>
      </c>
      <c r="F437" t="s">
        <v>17</v>
      </c>
      <c r="G437">
        <v>90808</v>
      </c>
      <c r="H437">
        <v>54485</v>
      </c>
      <c r="I437">
        <f>sales_data[[#This Row],[revenue]]-sales_data[[#This Row],[cost]]</f>
        <v>36323</v>
      </c>
      <c r="J437" s="1">
        <f>sales_data[[#This Row],[profit]]/sales_data[[#This Row],[revenue]]</f>
        <v>0.39999779755087655</v>
      </c>
      <c r="K437" t="str">
        <f>IF(OR(sales_data[[#This Row],[revenue]]="",sales_data[[#This Row],[cost]]=""),"Check","OK")</f>
        <v>OK</v>
      </c>
    </row>
    <row r="438" spans="1:11" x14ac:dyDescent="0.3">
      <c r="A438" t="s">
        <v>474</v>
      </c>
      <c r="B438" s="2">
        <v>45690</v>
      </c>
      <c r="C438" t="s">
        <v>19</v>
      </c>
      <c r="D438" t="s">
        <v>10</v>
      </c>
      <c r="E438" t="s">
        <v>36</v>
      </c>
      <c r="F438" t="s">
        <v>12</v>
      </c>
      <c r="G438">
        <v>69645</v>
      </c>
      <c r="H438">
        <v>48752</v>
      </c>
      <c r="I438">
        <f>sales_data[[#This Row],[revenue]]-sales_data[[#This Row],[cost]]</f>
        <v>20893</v>
      </c>
      <c r="J438" s="1">
        <f>sales_data[[#This Row],[profit]]/sales_data[[#This Row],[revenue]]</f>
        <v>0.29999282073372102</v>
      </c>
      <c r="K438" t="str">
        <f>IF(OR(sales_data[[#This Row],[revenue]]="",sales_data[[#This Row],[cost]]=""),"Check","OK")</f>
        <v>OK</v>
      </c>
    </row>
    <row r="439" spans="1:11" x14ac:dyDescent="0.3">
      <c r="A439" t="s">
        <v>475</v>
      </c>
      <c r="B439" s="2">
        <v>45695</v>
      </c>
      <c r="C439" t="s">
        <v>19</v>
      </c>
      <c r="D439" t="s">
        <v>15</v>
      </c>
      <c r="E439" t="s">
        <v>11</v>
      </c>
      <c r="F439" t="s">
        <v>17</v>
      </c>
      <c r="G439">
        <v>40193</v>
      </c>
      <c r="H439">
        <v>25724</v>
      </c>
      <c r="I439">
        <f>sales_data[[#This Row],[revenue]]-sales_data[[#This Row],[cost]]</f>
        <v>14469</v>
      </c>
      <c r="J439" s="1">
        <f>sales_data[[#This Row],[profit]]/sales_data[[#This Row],[revenue]]</f>
        <v>0.359988057621974</v>
      </c>
      <c r="K439" t="str">
        <f>IF(OR(sales_data[[#This Row],[revenue]]="",sales_data[[#This Row],[cost]]=""),"Check","OK")</f>
        <v>OK</v>
      </c>
    </row>
    <row r="440" spans="1:11" x14ac:dyDescent="0.3">
      <c r="A440" t="s">
        <v>476</v>
      </c>
      <c r="B440" s="2">
        <v>45706</v>
      </c>
      <c r="C440" t="s">
        <v>14</v>
      </c>
      <c r="D440" t="s">
        <v>10</v>
      </c>
      <c r="E440" t="s">
        <v>29</v>
      </c>
      <c r="F440" t="s">
        <v>12</v>
      </c>
      <c r="G440">
        <v>8470</v>
      </c>
      <c r="H440">
        <v>5675</v>
      </c>
      <c r="I440">
        <f>sales_data[[#This Row],[revenue]]-sales_data[[#This Row],[cost]]</f>
        <v>2795</v>
      </c>
      <c r="J440" s="1">
        <f>sales_data[[#This Row],[profit]]/sales_data[[#This Row],[revenue]]</f>
        <v>0.32998819362455728</v>
      </c>
      <c r="K440" t="str">
        <f>IF(OR(sales_data[[#This Row],[revenue]]="",sales_data[[#This Row],[cost]]=""),"Check","OK")</f>
        <v>OK</v>
      </c>
    </row>
    <row r="441" spans="1:11" x14ac:dyDescent="0.3">
      <c r="A441" t="s">
        <v>477</v>
      </c>
      <c r="B441" s="2">
        <v>45713</v>
      </c>
      <c r="C441" t="s">
        <v>9</v>
      </c>
      <c r="D441" t="s">
        <v>15</v>
      </c>
      <c r="E441" t="s">
        <v>32</v>
      </c>
      <c r="F441" t="s">
        <v>12</v>
      </c>
      <c r="G441">
        <v>19387</v>
      </c>
      <c r="H441">
        <v>11826</v>
      </c>
      <c r="I441">
        <f>sales_data[[#This Row],[revenue]]-sales_data[[#This Row],[cost]]</f>
        <v>7561</v>
      </c>
      <c r="J441" s="1">
        <f>sales_data[[#This Row],[profit]]/sales_data[[#This Row],[revenue]]</f>
        <v>0.39000361066694178</v>
      </c>
      <c r="K441" t="str">
        <f>IF(OR(sales_data[[#This Row],[revenue]]="",sales_data[[#This Row],[cost]]=""),"Check","OK")</f>
        <v>OK</v>
      </c>
    </row>
    <row r="442" spans="1:11" x14ac:dyDescent="0.3">
      <c r="A442" t="s">
        <v>478</v>
      </c>
      <c r="B442" s="2">
        <v>45715</v>
      </c>
      <c r="C442" t="s">
        <v>19</v>
      </c>
      <c r="D442" t="s">
        <v>15</v>
      </c>
      <c r="E442" t="s">
        <v>32</v>
      </c>
      <c r="F442" t="s">
        <v>17</v>
      </c>
      <c r="G442">
        <v>51663</v>
      </c>
      <c r="H442">
        <v>40814</v>
      </c>
      <c r="I442">
        <f>sales_data[[#This Row],[revenue]]-sales_data[[#This Row],[cost]]</f>
        <v>10849</v>
      </c>
      <c r="J442" s="1">
        <f>sales_data[[#This Row],[profit]]/sales_data[[#This Row],[revenue]]</f>
        <v>0.20999554807115345</v>
      </c>
      <c r="K442" t="str">
        <f>IF(OR(sales_data[[#This Row],[revenue]]="",sales_data[[#This Row],[cost]]=""),"Check","OK")</f>
        <v>OK</v>
      </c>
    </row>
    <row r="443" spans="1:11" x14ac:dyDescent="0.3">
      <c r="A443" t="s">
        <v>479</v>
      </c>
      <c r="B443" s="2">
        <v>45716</v>
      </c>
      <c r="C443" t="s">
        <v>19</v>
      </c>
      <c r="D443" t="s">
        <v>10</v>
      </c>
      <c r="E443" t="s">
        <v>11</v>
      </c>
      <c r="F443" t="s">
        <v>12</v>
      </c>
      <c r="G443">
        <v>90751</v>
      </c>
      <c r="H443">
        <v>56266</v>
      </c>
      <c r="I443">
        <f>sales_data[[#This Row],[revenue]]-sales_data[[#This Row],[cost]]</f>
        <v>34485</v>
      </c>
      <c r="J443" s="1">
        <f>sales_data[[#This Row],[profit]]/sales_data[[#This Row],[revenue]]</f>
        <v>0.37999581271831717</v>
      </c>
      <c r="K443" t="str">
        <f>IF(OR(sales_data[[#This Row],[revenue]]="",sales_data[[#This Row],[cost]]=""),"Check","OK")</f>
        <v>OK</v>
      </c>
    </row>
    <row r="444" spans="1:11" x14ac:dyDescent="0.3">
      <c r="A444" t="s">
        <v>480</v>
      </c>
      <c r="B444" s="2">
        <v>45705</v>
      </c>
      <c r="C444" t="s">
        <v>19</v>
      </c>
      <c r="D444" t="s">
        <v>10</v>
      </c>
      <c r="E444" t="s">
        <v>26</v>
      </c>
      <c r="F444" t="s">
        <v>17</v>
      </c>
      <c r="G444">
        <v>34584</v>
      </c>
      <c r="H444">
        <v>21442</v>
      </c>
      <c r="I444">
        <f>sales_data[[#This Row],[revenue]]-sales_data[[#This Row],[cost]]</f>
        <v>13142</v>
      </c>
      <c r="J444" s="1">
        <f>sales_data[[#This Row],[profit]]/sales_data[[#This Row],[revenue]]</f>
        <v>0.38000231320842009</v>
      </c>
      <c r="K444" t="str">
        <f>IF(OR(sales_data[[#This Row],[revenue]]="",sales_data[[#This Row],[cost]]=""),"Check","OK")</f>
        <v>OK</v>
      </c>
    </row>
    <row r="445" spans="1:11" x14ac:dyDescent="0.3">
      <c r="A445" t="s">
        <v>481</v>
      </c>
      <c r="B445" s="2">
        <v>45707</v>
      </c>
      <c r="C445" t="s">
        <v>9</v>
      </c>
      <c r="D445" t="s">
        <v>23</v>
      </c>
      <c r="E445" t="s">
        <v>11</v>
      </c>
      <c r="F445" t="s">
        <v>12</v>
      </c>
      <c r="G445">
        <v>69270</v>
      </c>
      <c r="H445">
        <v>47104</v>
      </c>
      <c r="I445">
        <f>sales_data[[#This Row],[revenue]]-sales_data[[#This Row],[cost]]</f>
        <v>22166</v>
      </c>
      <c r="J445" s="1">
        <f>sales_data[[#This Row],[profit]]/sales_data[[#This Row],[revenue]]</f>
        <v>0.31999422549444206</v>
      </c>
      <c r="K445" t="str">
        <f>IF(OR(sales_data[[#This Row],[revenue]]="",sales_data[[#This Row],[cost]]=""),"Check","OK")</f>
        <v>OK</v>
      </c>
    </row>
    <row r="446" spans="1:11" x14ac:dyDescent="0.3">
      <c r="A446" t="s">
        <v>482</v>
      </c>
      <c r="B446" s="2">
        <v>45703</v>
      </c>
      <c r="C446" t="s">
        <v>14</v>
      </c>
      <c r="D446" t="s">
        <v>15</v>
      </c>
      <c r="E446" t="s">
        <v>38</v>
      </c>
      <c r="F446" t="s">
        <v>12</v>
      </c>
      <c r="G446">
        <v>83176</v>
      </c>
      <c r="H446">
        <v>57391</v>
      </c>
      <c r="I446">
        <f>sales_data[[#This Row],[revenue]]-sales_data[[#This Row],[cost]]</f>
        <v>25785</v>
      </c>
      <c r="J446" s="1">
        <f>sales_data[[#This Row],[profit]]/sales_data[[#This Row],[revenue]]</f>
        <v>0.31000528998749638</v>
      </c>
      <c r="K446" t="str">
        <f>IF(OR(sales_data[[#This Row],[revenue]]="",sales_data[[#This Row],[cost]]=""),"Check","OK")</f>
        <v>OK</v>
      </c>
    </row>
    <row r="447" spans="1:11" x14ac:dyDescent="0.3">
      <c r="A447" t="s">
        <v>483</v>
      </c>
      <c r="B447" s="2">
        <v>45712</v>
      </c>
      <c r="C447" t="s">
        <v>14</v>
      </c>
      <c r="D447" t="s">
        <v>15</v>
      </c>
      <c r="E447" t="s">
        <v>20</v>
      </c>
      <c r="F447" t="s">
        <v>17</v>
      </c>
      <c r="G447">
        <v>62216</v>
      </c>
      <c r="H447">
        <v>37330</v>
      </c>
      <c r="I447">
        <f>sales_data[[#This Row],[revenue]]-sales_data[[#This Row],[cost]]</f>
        <v>24886</v>
      </c>
      <c r="J447" s="1">
        <f>sales_data[[#This Row],[profit]]/sales_data[[#This Row],[revenue]]</f>
        <v>0.39999357078565001</v>
      </c>
      <c r="K447" t="str">
        <f>IF(OR(sales_data[[#This Row],[revenue]]="",sales_data[[#This Row],[cost]]=""),"Check","OK")</f>
        <v>OK</v>
      </c>
    </row>
    <row r="448" spans="1:11" x14ac:dyDescent="0.3">
      <c r="A448" t="s">
        <v>484</v>
      </c>
      <c r="B448" s="2">
        <v>45707</v>
      </c>
      <c r="C448" t="s">
        <v>9</v>
      </c>
      <c r="D448" t="s">
        <v>15</v>
      </c>
      <c r="E448" t="s">
        <v>38</v>
      </c>
      <c r="F448" t="s">
        <v>17</v>
      </c>
      <c r="G448">
        <v>47745</v>
      </c>
      <c r="H448">
        <v>29124</v>
      </c>
      <c r="I448">
        <f>sales_data[[#This Row],[revenue]]-sales_data[[#This Row],[cost]]</f>
        <v>18621</v>
      </c>
      <c r="J448" s="1">
        <f>sales_data[[#This Row],[profit]]/sales_data[[#This Row],[revenue]]</f>
        <v>0.39000942507068803</v>
      </c>
      <c r="K448" t="str">
        <f>IF(OR(sales_data[[#This Row],[revenue]]="",sales_data[[#This Row],[cost]]=""),"Check","OK")</f>
        <v>OK</v>
      </c>
    </row>
    <row r="449" spans="1:11" x14ac:dyDescent="0.3">
      <c r="A449" t="s">
        <v>485</v>
      </c>
      <c r="B449" s="2">
        <v>45692</v>
      </c>
      <c r="C449" t="s">
        <v>14</v>
      </c>
      <c r="D449" t="s">
        <v>10</v>
      </c>
      <c r="E449" t="s">
        <v>29</v>
      </c>
      <c r="F449" t="s">
        <v>17</v>
      </c>
      <c r="G449">
        <v>78899</v>
      </c>
      <c r="H449">
        <v>47339</v>
      </c>
      <c r="I449">
        <f>sales_data[[#This Row],[revenue]]-sales_data[[#This Row],[cost]]</f>
        <v>31560</v>
      </c>
      <c r="J449" s="1">
        <f>sales_data[[#This Row],[profit]]/sales_data[[#This Row],[revenue]]</f>
        <v>0.40000506977274741</v>
      </c>
      <c r="K449" t="str">
        <f>IF(OR(sales_data[[#This Row],[revenue]]="",sales_data[[#This Row],[cost]]=""),"Check","OK")</f>
        <v>OK</v>
      </c>
    </row>
    <row r="450" spans="1:11" x14ac:dyDescent="0.3">
      <c r="A450" t="s">
        <v>486</v>
      </c>
      <c r="B450" s="2">
        <v>45689</v>
      </c>
      <c r="C450" t="s">
        <v>9</v>
      </c>
      <c r="D450" t="s">
        <v>15</v>
      </c>
      <c r="E450" t="s">
        <v>20</v>
      </c>
      <c r="F450" t="s">
        <v>17</v>
      </c>
      <c r="G450">
        <v>65967</v>
      </c>
      <c r="H450">
        <v>39580</v>
      </c>
      <c r="I450">
        <f>sales_data[[#This Row],[revenue]]-sales_data[[#This Row],[cost]]</f>
        <v>26387</v>
      </c>
      <c r="J450" s="1">
        <f>sales_data[[#This Row],[profit]]/sales_data[[#This Row],[revenue]]</f>
        <v>0.40000303181893976</v>
      </c>
      <c r="K450" t="str">
        <f>IF(OR(sales_data[[#This Row],[revenue]]="",sales_data[[#This Row],[cost]]=""),"Check","OK")</f>
        <v>OK</v>
      </c>
    </row>
    <row r="451" spans="1:11" x14ac:dyDescent="0.3">
      <c r="A451" t="s">
        <v>487</v>
      </c>
      <c r="B451" s="2">
        <v>45704</v>
      </c>
      <c r="C451" t="s">
        <v>14</v>
      </c>
      <c r="D451" t="s">
        <v>10</v>
      </c>
      <c r="E451" t="s">
        <v>36</v>
      </c>
      <c r="F451" t="s">
        <v>12</v>
      </c>
      <c r="G451">
        <v>30587</v>
      </c>
      <c r="H451">
        <v>19576</v>
      </c>
      <c r="I451">
        <f>sales_data[[#This Row],[revenue]]-sales_data[[#This Row],[cost]]</f>
        <v>11011</v>
      </c>
      <c r="J451" s="1">
        <f>sales_data[[#This Row],[profit]]/sales_data[[#This Row],[revenue]]</f>
        <v>0.35998953803903622</v>
      </c>
      <c r="K451" t="str">
        <f>IF(OR(sales_data[[#This Row],[revenue]]="",sales_data[[#This Row],[cost]]=""),"Check","OK")</f>
        <v>OK</v>
      </c>
    </row>
    <row r="452" spans="1:11" x14ac:dyDescent="0.3">
      <c r="A452" t="s">
        <v>488</v>
      </c>
      <c r="B452" s="2">
        <v>45713</v>
      </c>
      <c r="C452" t="s">
        <v>22</v>
      </c>
      <c r="D452" t="s">
        <v>10</v>
      </c>
      <c r="E452" t="s">
        <v>26</v>
      </c>
      <c r="F452" t="s">
        <v>17</v>
      </c>
      <c r="G452">
        <v>6905</v>
      </c>
      <c r="H452">
        <v>4143</v>
      </c>
      <c r="I452">
        <f>sales_data[[#This Row],[revenue]]-sales_data[[#This Row],[cost]]</f>
        <v>2762</v>
      </c>
      <c r="J452" s="1">
        <f>sales_data[[#This Row],[profit]]/sales_data[[#This Row],[revenue]]</f>
        <v>0.4</v>
      </c>
      <c r="K452" t="str">
        <f>IF(OR(sales_data[[#This Row],[revenue]]="",sales_data[[#This Row],[cost]]=""),"Check","OK")</f>
        <v>OK</v>
      </c>
    </row>
    <row r="453" spans="1:11" x14ac:dyDescent="0.3">
      <c r="A453" t="s">
        <v>489</v>
      </c>
      <c r="B453" s="2">
        <v>45696</v>
      </c>
      <c r="C453" t="s">
        <v>19</v>
      </c>
      <c r="D453" t="s">
        <v>23</v>
      </c>
      <c r="E453" t="s">
        <v>36</v>
      </c>
      <c r="F453" t="s">
        <v>12</v>
      </c>
      <c r="G453">
        <v>86808</v>
      </c>
      <c r="H453">
        <v>59898</v>
      </c>
      <c r="I453">
        <f>sales_data[[#This Row],[revenue]]-sales_data[[#This Row],[cost]]</f>
        <v>26910</v>
      </c>
      <c r="J453" s="1">
        <f>sales_data[[#This Row],[profit]]/sales_data[[#This Row],[revenue]]</f>
        <v>0.30999447055570917</v>
      </c>
      <c r="K453" t="str">
        <f>IF(OR(sales_data[[#This Row],[revenue]]="",sales_data[[#This Row],[cost]]=""),"Check","OK")</f>
        <v>OK</v>
      </c>
    </row>
    <row r="454" spans="1:11" x14ac:dyDescent="0.3">
      <c r="A454" t="s">
        <v>490</v>
      </c>
      <c r="B454" s="2">
        <v>45692</v>
      </c>
      <c r="C454" t="s">
        <v>19</v>
      </c>
      <c r="D454" t="s">
        <v>15</v>
      </c>
      <c r="E454" t="s">
        <v>34</v>
      </c>
      <c r="F454" t="s">
        <v>17</v>
      </c>
      <c r="G454">
        <v>94432</v>
      </c>
      <c r="H454">
        <v>67047</v>
      </c>
      <c r="I454">
        <f>sales_data[[#This Row],[revenue]]-sales_data[[#This Row],[cost]]</f>
        <v>27385</v>
      </c>
      <c r="J454" s="1">
        <f>sales_data[[#This Row],[profit]]/sales_data[[#This Row],[revenue]]</f>
        <v>0.28999703490342255</v>
      </c>
      <c r="K454" t="str">
        <f>IF(OR(sales_data[[#This Row],[revenue]]="",sales_data[[#This Row],[cost]]=""),"Check","OK")</f>
        <v>OK</v>
      </c>
    </row>
    <row r="455" spans="1:11" x14ac:dyDescent="0.3">
      <c r="A455" t="s">
        <v>491</v>
      </c>
      <c r="B455" s="2">
        <v>45702</v>
      </c>
      <c r="C455" t="s">
        <v>9</v>
      </c>
      <c r="D455" t="s">
        <v>23</v>
      </c>
      <c r="E455" t="s">
        <v>32</v>
      </c>
      <c r="F455" t="s">
        <v>17</v>
      </c>
      <c r="G455">
        <v>21388</v>
      </c>
      <c r="H455">
        <v>16897</v>
      </c>
      <c r="I455">
        <f>sales_data[[#This Row],[revenue]]-sales_data[[#This Row],[cost]]</f>
        <v>4491</v>
      </c>
      <c r="J455" s="1">
        <f>sales_data[[#This Row],[profit]]/sales_data[[#This Row],[revenue]]</f>
        <v>0.20997755750888347</v>
      </c>
      <c r="K455" t="str">
        <f>IF(OR(sales_data[[#This Row],[revenue]]="",sales_data[[#This Row],[cost]]=""),"Check","OK")</f>
        <v>OK</v>
      </c>
    </row>
    <row r="456" spans="1:11" x14ac:dyDescent="0.3">
      <c r="A456" t="s">
        <v>492</v>
      </c>
      <c r="B456" s="2">
        <v>45701</v>
      </c>
      <c r="C456" t="s">
        <v>14</v>
      </c>
      <c r="D456" t="s">
        <v>15</v>
      </c>
      <c r="E456" t="s">
        <v>36</v>
      </c>
      <c r="F456" t="s">
        <v>17</v>
      </c>
      <c r="G456">
        <v>47257</v>
      </c>
      <c r="H456">
        <v>32607</v>
      </c>
      <c r="I456">
        <f>sales_data[[#This Row],[revenue]]-sales_data[[#This Row],[cost]]</f>
        <v>14650</v>
      </c>
      <c r="J456" s="1">
        <f>sales_data[[#This Row],[profit]]/sales_data[[#This Row],[revenue]]</f>
        <v>0.31000698309245189</v>
      </c>
      <c r="K456" t="str">
        <f>IF(OR(sales_data[[#This Row],[revenue]]="",sales_data[[#This Row],[cost]]=""),"Check","OK")</f>
        <v>OK</v>
      </c>
    </row>
    <row r="457" spans="1:11" x14ac:dyDescent="0.3">
      <c r="A457" t="s">
        <v>493</v>
      </c>
      <c r="B457" s="2">
        <v>45689</v>
      </c>
      <c r="C457" t="s">
        <v>14</v>
      </c>
      <c r="D457" t="s">
        <v>23</v>
      </c>
      <c r="E457" t="s">
        <v>34</v>
      </c>
      <c r="F457" t="s">
        <v>17</v>
      </c>
      <c r="G457">
        <v>31593</v>
      </c>
      <c r="H457">
        <v>19272</v>
      </c>
      <c r="I457">
        <f>sales_data[[#This Row],[revenue]]-sales_data[[#This Row],[cost]]</f>
        <v>12321</v>
      </c>
      <c r="J457" s="1">
        <f>sales_data[[#This Row],[profit]]/sales_data[[#This Row],[revenue]]</f>
        <v>0.38999145380305766</v>
      </c>
      <c r="K457" t="str">
        <f>IF(OR(sales_data[[#This Row],[revenue]]="",sales_data[[#This Row],[cost]]=""),"Check","OK")</f>
        <v>OK</v>
      </c>
    </row>
    <row r="458" spans="1:11" x14ac:dyDescent="0.3">
      <c r="A458" t="s">
        <v>494</v>
      </c>
      <c r="B458" s="2">
        <v>45693</v>
      </c>
      <c r="C458" t="s">
        <v>9</v>
      </c>
      <c r="D458" t="s">
        <v>10</v>
      </c>
      <c r="E458" t="s">
        <v>11</v>
      </c>
      <c r="F458" t="s">
        <v>17</v>
      </c>
      <c r="G458">
        <v>30067</v>
      </c>
      <c r="H458">
        <v>20746</v>
      </c>
      <c r="I458">
        <f>sales_data[[#This Row],[revenue]]-sales_data[[#This Row],[cost]]</f>
        <v>9321</v>
      </c>
      <c r="J458" s="1">
        <f>sales_data[[#This Row],[profit]]/sales_data[[#This Row],[revenue]]</f>
        <v>0.31000764958259885</v>
      </c>
      <c r="K458" t="str">
        <f>IF(OR(sales_data[[#This Row],[revenue]]="",sales_data[[#This Row],[cost]]=""),"Check","OK")</f>
        <v>OK</v>
      </c>
    </row>
    <row r="459" spans="1:11" x14ac:dyDescent="0.3">
      <c r="A459" t="s">
        <v>495</v>
      </c>
      <c r="B459" s="2">
        <v>45695</v>
      </c>
      <c r="C459" t="s">
        <v>22</v>
      </c>
      <c r="D459" t="s">
        <v>10</v>
      </c>
      <c r="E459" t="s">
        <v>11</v>
      </c>
      <c r="F459" t="s">
        <v>12</v>
      </c>
      <c r="G459">
        <v>22005</v>
      </c>
      <c r="H459">
        <v>13203</v>
      </c>
      <c r="I459">
        <f>sales_data[[#This Row],[revenue]]-sales_data[[#This Row],[cost]]</f>
        <v>8802</v>
      </c>
      <c r="J459" s="1">
        <f>sales_data[[#This Row],[profit]]/sales_data[[#This Row],[revenue]]</f>
        <v>0.4</v>
      </c>
      <c r="K459" t="str">
        <f>IF(OR(sales_data[[#This Row],[revenue]]="",sales_data[[#This Row],[cost]]=""),"Check","OK")</f>
        <v>OK</v>
      </c>
    </row>
    <row r="460" spans="1:11" x14ac:dyDescent="0.3">
      <c r="A460" t="s">
        <v>496</v>
      </c>
      <c r="B460" s="2">
        <v>45707</v>
      </c>
      <c r="C460" t="s">
        <v>22</v>
      </c>
      <c r="D460" t="s">
        <v>10</v>
      </c>
      <c r="E460" t="s">
        <v>36</v>
      </c>
      <c r="F460" t="s">
        <v>17</v>
      </c>
      <c r="G460">
        <v>37305</v>
      </c>
      <c r="H460">
        <v>27979</v>
      </c>
      <c r="I460">
        <f>sales_data[[#This Row],[revenue]]-sales_data[[#This Row],[cost]]</f>
        <v>9326</v>
      </c>
      <c r="J460" s="1">
        <f>sales_data[[#This Row],[profit]]/sales_data[[#This Row],[revenue]]</f>
        <v>0.2499932984854577</v>
      </c>
      <c r="K460" t="str">
        <f>IF(OR(sales_data[[#This Row],[revenue]]="",sales_data[[#This Row],[cost]]=""),"Check","OK")</f>
        <v>OK</v>
      </c>
    </row>
    <row r="461" spans="1:11" x14ac:dyDescent="0.3">
      <c r="A461" t="s">
        <v>497</v>
      </c>
      <c r="B461" s="2">
        <v>45714</v>
      </c>
      <c r="C461" t="s">
        <v>19</v>
      </c>
      <c r="D461" t="s">
        <v>10</v>
      </c>
      <c r="E461" t="s">
        <v>24</v>
      </c>
      <c r="F461" t="s">
        <v>17</v>
      </c>
      <c r="G461">
        <v>17069</v>
      </c>
      <c r="H461">
        <v>13314</v>
      </c>
      <c r="I461">
        <f>sales_data[[#This Row],[revenue]]-sales_data[[#This Row],[cost]]</f>
        <v>3755</v>
      </c>
      <c r="J461" s="1">
        <f>sales_data[[#This Row],[profit]]/sales_data[[#This Row],[revenue]]</f>
        <v>0.21998945456675845</v>
      </c>
      <c r="K461" t="str">
        <f>IF(OR(sales_data[[#This Row],[revenue]]="",sales_data[[#This Row],[cost]]=""),"Check","OK")</f>
        <v>OK</v>
      </c>
    </row>
    <row r="462" spans="1:11" x14ac:dyDescent="0.3">
      <c r="A462" t="s">
        <v>498</v>
      </c>
      <c r="B462" s="2">
        <v>45710</v>
      </c>
      <c r="C462" t="s">
        <v>19</v>
      </c>
      <c r="D462" t="s">
        <v>15</v>
      </c>
      <c r="E462" t="s">
        <v>24</v>
      </c>
      <c r="F462" t="s">
        <v>17</v>
      </c>
      <c r="G462">
        <v>42421</v>
      </c>
      <c r="H462">
        <v>26301</v>
      </c>
      <c r="I462">
        <f>sales_data[[#This Row],[revenue]]-sales_data[[#This Row],[cost]]</f>
        <v>16120</v>
      </c>
      <c r="J462" s="1">
        <f>sales_data[[#This Row],[profit]]/sales_data[[#This Row],[revenue]]</f>
        <v>0.38000047146460481</v>
      </c>
      <c r="K462" t="str">
        <f>IF(OR(sales_data[[#This Row],[revenue]]="",sales_data[[#This Row],[cost]]=""),"Check","OK")</f>
        <v>OK</v>
      </c>
    </row>
    <row r="463" spans="1:11" x14ac:dyDescent="0.3">
      <c r="A463" t="s">
        <v>499</v>
      </c>
      <c r="B463" s="2">
        <v>45716</v>
      </c>
      <c r="C463" t="s">
        <v>14</v>
      </c>
      <c r="D463" t="s">
        <v>23</v>
      </c>
      <c r="E463" t="s">
        <v>11</v>
      </c>
      <c r="F463" t="s">
        <v>12</v>
      </c>
      <c r="G463">
        <v>83243</v>
      </c>
      <c r="H463">
        <v>57438</v>
      </c>
      <c r="I463">
        <f>sales_data[[#This Row],[revenue]]-sales_data[[#This Row],[cost]]</f>
        <v>25805</v>
      </c>
      <c r="J463" s="1">
        <f>sales_data[[#This Row],[profit]]/sales_data[[#This Row],[revenue]]</f>
        <v>0.30999603570270173</v>
      </c>
      <c r="K463" t="str">
        <f>IF(OR(sales_data[[#This Row],[revenue]]="",sales_data[[#This Row],[cost]]=""),"Check","OK")</f>
        <v>OK</v>
      </c>
    </row>
    <row r="464" spans="1:11" x14ac:dyDescent="0.3">
      <c r="A464" t="s">
        <v>500</v>
      </c>
      <c r="B464" s="2">
        <v>45705</v>
      </c>
      <c r="C464" t="s">
        <v>22</v>
      </c>
      <c r="D464" t="s">
        <v>15</v>
      </c>
      <c r="E464" t="s">
        <v>36</v>
      </c>
      <c r="F464" t="s">
        <v>12</v>
      </c>
      <c r="G464">
        <v>12159</v>
      </c>
      <c r="H464">
        <v>8390</v>
      </c>
      <c r="I464">
        <f>sales_data[[#This Row],[revenue]]-sales_data[[#This Row],[cost]]</f>
        <v>3769</v>
      </c>
      <c r="J464" s="1">
        <f>sales_data[[#This Row],[profit]]/sales_data[[#This Row],[revenue]]</f>
        <v>0.30997614935438772</v>
      </c>
      <c r="K464" t="str">
        <f>IF(OR(sales_data[[#This Row],[revenue]]="",sales_data[[#This Row],[cost]]=""),"Check","OK")</f>
        <v>OK</v>
      </c>
    </row>
    <row r="465" spans="1:11" x14ac:dyDescent="0.3">
      <c r="A465" t="s">
        <v>501</v>
      </c>
      <c r="B465" s="2">
        <v>45705</v>
      </c>
      <c r="C465" t="s">
        <v>9</v>
      </c>
      <c r="D465" t="s">
        <v>10</v>
      </c>
      <c r="E465" t="s">
        <v>20</v>
      </c>
      <c r="F465" t="s">
        <v>17</v>
      </c>
      <c r="G465">
        <v>78001</v>
      </c>
      <c r="H465">
        <v>61621</v>
      </c>
      <c r="I465">
        <f>sales_data[[#This Row],[revenue]]-sales_data[[#This Row],[cost]]</f>
        <v>16380</v>
      </c>
      <c r="J465" s="1">
        <f>sales_data[[#This Row],[profit]]/sales_data[[#This Row],[revenue]]</f>
        <v>0.20999730772682401</v>
      </c>
      <c r="K465" t="str">
        <f>IF(OR(sales_data[[#This Row],[revenue]]="",sales_data[[#This Row],[cost]]=""),"Check","OK")</f>
        <v>OK</v>
      </c>
    </row>
    <row r="466" spans="1:11" x14ac:dyDescent="0.3">
      <c r="A466" t="s">
        <v>502</v>
      </c>
      <c r="B466" s="2">
        <v>45714</v>
      </c>
      <c r="C466" t="s">
        <v>19</v>
      </c>
      <c r="D466" t="s">
        <v>15</v>
      </c>
      <c r="E466" t="s">
        <v>11</v>
      </c>
      <c r="F466" t="s">
        <v>17</v>
      </c>
      <c r="G466">
        <v>63053</v>
      </c>
      <c r="H466">
        <v>38462</v>
      </c>
      <c r="I466">
        <f>sales_data[[#This Row],[revenue]]-sales_data[[#This Row],[cost]]</f>
        <v>24591</v>
      </c>
      <c r="J466" s="1">
        <f>sales_data[[#This Row],[profit]]/sales_data[[#This Row],[revenue]]</f>
        <v>0.39000523369229062</v>
      </c>
      <c r="K466" t="str">
        <f>IF(OR(sales_data[[#This Row],[revenue]]="",sales_data[[#This Row],[cost]]=""),"Check","OK")</f>
        <v>OK</v>
      </c>
    </row>
    <row r="467" spans="1:11" x14ac:dyDescent="0.3">
      <c r="A467" t="s">
        <v>503</v>
      </c>
      <c r="B467" s="2">
        <v>45712</v>
      </c>
      <c r="C467" t="s">
        <v>19</v>
      </c>
      <c r="D467" t="s">
        <v>23</v>
      </c>
      <c r="E467" t="s">
        <v>32</v>
      </c>
      <c r="F467" t="s">
        <v>12</v>
      </c>
      <c r="G467">
        <v>89947</v>
      </c>
      <c r="H467">
        <v>62963</v>
      </c>
      <c r="I467">
        <f>sales_data[[#This Row],[revenue]]-sales_data[[#This Row],[cost]]</f>
        <v>26984</v>
      </c>
      <c r="J467" s="1">
        <f>sales_data[[#This Row],[profit]]/sales_data[[#This Row],[revenue]]</f>
        <v>0.29999888823418236</v>
      </c>
      <c r="K467" t="str">
        <f>IF(OR(sales_data[[#This Row],[revenue]]="",sales_data[[#This Row],[cost]]=""),"Check","OK")</f>
        <v>OK</v>
      </c>
    </row>
    <row r="468" spans="1:11" x14ac:dyDescent="0.3">
      <c r="A468" t="s">
        <v>504</v>
      </c>
      <c r="B468" s="2">
        <v>45712</v>
      </c>
      <c r="C468" t="s">
        <v>14</v>
      </c>
      <c r="D468" t="s">
        <v>23</v>
      </c>
      <c r="E468" t="s">
        <v>20</v>
      </c>
      <c r="F468" t="s">
        <v>17</v>
      </c>
      <c r="G468">
        <v>35657</v>
      </c>
      <c r="H468">
        <v>24247</v>
      </c>
      <c r="I468">
        <f>sales_data[[#This Row],[revenue]]-sales_data[[#This Row],[cost]]</f>
        <v>11410</v>
      </c>
      <c r="J468" s="1">
        <f>sales_data[[#This Row],[profit]]/sales_data[[#This Row],[revenue]]</f>
        <v>0.31999326920380289</v>
      </c>
      <c r="K468" t="str">
        <f>IF(OR(sales_data[[#This Row],[revenue]]="",sales_data[[#This Row],[cost]]=""),"Check","OK")</f>
        <v>OK</v>
      </c>
    </row>
    <row r="469" spans="1:11" x14ac:dyDescent="0.3">
      <c r="A469" t="s">
        <v>505</v>
      </c>
      <c r="B469" s="2">
        <v>45696</v>
      </c>
      <c r="C469" t="s">
        <v>19</v>
      </c>
      <c r="D469" t="s">
        <v>15</v>
      </c>
      <c r="E469" t="s">
        <v>32</v>
      </c>
      <c r="F469" t="s">
        <v>17</v>
      </c>
      <c r="G469">
        <v>33986</v>
      </c>
      <c r="H469">
        <v>22431</v>
      </c>
      <c r="I469">
        <f>sales_data[[#This Row],[revenue]]-sales_data[[#This Row],[cost]]</f>
        <v>11555</v>
      </c>
      <c r="J469" s="1">
        <f>sales_data[[#This Row],[profit]]/sales_data[[#This Row],[revenue]]</f>
        <v>0.33999293826869886</v>
      </c>
      <c r="K469" t="str">
        <f>IF(OR(sales_data[[#This Row],[revenue]]="",sales_data[[#This Row],[cost]]=""),"Check","OK")</f>
        <v>OK</v>
      </c>
    </row>
    <row r="470" spans="1:11" x14ac:dyDescent="0.3">
      <c r="A470" t="s">
        <v>506</v>
      </c>
      <c r="B470" s="2">
        <v>45691</v>
      </c>
      <c r="C470" t="s">
        <v>9</v>
      </c>
      <c r="D470" t="s">
        <v>15</v>
      </c>
      <c r="E470" t="s">
        <v>16</v>
      </c>
      <c r="F470" t="s">
        <v>17</v>
      </c>
      <c r="G470">
        <v>88217</v>
      </c>
      <c r="H470">
        <v>65281</v>
      </c>
      <c r="I470">
        <f>sales_data[[#This Row],[revenue]]-sales_data[[#This Row],[cost]]</f>
        <v>22936</v>
      </c>
      <c r="J470" s="1">
        <f>sales_data[[#This Row],[profit]]/sales_data[[#This Row],[revenue]]</f>
        <v>0.25999523901288868</v>
      </c>
      <c r="K470" t="str">
        <f>IF(OR(sales_data[[#This Row],[revenue]]="",sales_data[[#This Row],[cost]]=""),"Check","OK")</f>
        <v>OK</v>
      </c>
    </row>
    <row r="471" spans="1:11" x14ac:dyDescent="0.3">
      <c r="A471" t="s">
        <v>507</v>
      </c>
      <c r="B471" s="2">
        <v>45712</v>
      </c>
      <c r="C471" t="s">
        <v>9</v>
      </c>
      <c r="D471" t="s">
        <v>10</v>
      </c>
      <c r="E471" t="s">
        <v>26</v>
      </c>
      <c r="F471" t="s">
        <v>17</v>
      </c>
      <c r="G471">
        <v>50316</v>
      </c>
      <c r="H471">
        <v>30693</v>
      </c>
      <c r="I471">
        <f>sales_data[[#This Row],[revenue]]-sales_data[[#This Row],[cost]]</f>
        <v>19623</v>
      </c>
      <c r="J471" s="1">
        <f>sales_data[[#This Row],[profit]]/sales_data[[#This Row],[revenue]]</f>
        <v>0.38999523014548054</v>
      </c>
      <c r="K471" t="str">
        <f>IF(OR(sales_data[[#This Row],[revenue]]="",sales_data[[#This Row],[cost]]=""),"Check","OK")</f>
        <v>OK</v>
      </c>
    </row>
    <row r="472" spans="1:11" x14ac:dyDescent="0.3">
      <c r="A472" t="s">
        <v>508</v>
      </c>
      <c r="B472" s="2">
        <v>45705</v>
      </c>
      <c r="C472" t="s">
        <v>22</v>
      </c>
      <c r="D472" t="s">
        <v>15</v>
      </c>
      <c r="E472" t="s">
        <v>16</v>
      </c>
      <c r="F472" t="s">
        <v>17</v>
      </c>
      <c r="G472">
        <v>5425</v>
      </c>
      <c r="H472">
        <v>4069</v>
      </c>
      <c r="I472">
        <f>sales_data[[#This Row],[revenue]]-sales_data[[#This Row],[cost]]</f>
        <v>1356</v>
      </c>
      <c r="J472" s="1">
        <f>sales_data[[#This Row],[profit]]/sales_data[[#This Row],[revenue]]</f>
        <v>0.24995391705069125</v>
      </c>
      <c r="K472" t="str">
        <f>IF(OR(sales_data[[#This Row],[revenue]]="",sales_data[[#This Row],[cost]]=""),"Check","OK")</f>
        <v>OK</v>
      </c>
    </row>
    <row r="473" spans="1:11" x14ac:dyDescent="0.3">
      <c r="A473" t="s">
        <v>509</v>
      </c>
      <c r="B473" s="2">
        <v>45701</v>
      </c>
      <c r="C473" t="s">
        <v>22</v>
      </c>
      <c r="D473" t="s">
        <v>10</v>
      </c>
      <c r="E473" t="s">
        <v>11</v>
      </c>
      <c r="F473" t="s">
        <v>17</v>
      </c>
      <c r="G473">
        <v>52461</v>
      </c>
      <c r="H473">
        <v>36198</v>
      </c>
      <c r="I473">
        <f>sales_data[[#This Row],[revenue]]-sales_data[[#This Row],[cost]]</f>
        <v>16263</v>
      </c>
      <c r="J473" s="1">
        <f>sales_data[[#This Row],[profit]]/sales_data[[#This Row],[revenue]]</f>
        <v>0.3100017155601304</v>
      </c>
      <c r="K473" t="str">
        <f>IF(OR(sales_data[[#This Row],[revenue]]="",sales_data[[#This Row],[cost]]=""),"Check","OK")</f>
        <v>OK</v>
      </c>
    </row>
    <row r="474" spans="1:11" x14ac:dyDescent="0.3">
      <c r="A474" t="s">
        <v>510</v>
      </c>
      <c r="B474" s="2">
        <v>45704</v>
      </c>
      <c r="C474" t="s">
        <v>22</v>
      </c>
      <c r="D474" t="s">
        <v>15</v>
      </c>
      <c r="E474" t="s">
        <v>24</v>
      </c>
      <c r="F474" t="s">
        <v>12</v>
      </c>
      <c r="G474">
        <v>39016</v>
      </c>
      <c r="H474">
        <v>29262</v>
      </c>
      <c r="I474">
        <f>sales_data[[#This Row],[revenue]]-sales_data[[#This Row],[cost]]</f>
        <v>9754</v>
      </c>
      <c r="J474" s="1">
        <f>sales_data[[#This Row],[profit]]/sales_data[[#This Row],[revenue]]</f>
        <v>0.25</v>
      </c>
      <c r="K474" t="str">
        <f>IF(OR(sales_data[[#This Row],[revenue]]="",sales_data[[#This Row],[cost]]=""),"Check","OK")</f>
        <v>OK</v>
      </c>
    </row>
    <row r="475" spans="1:11" x14ac:dyDescent="0.3">
      <c r="A475" t="s">
        <v>511</v>
      </c>
      <c r="B475" s="2">
        <v>45714</v>
      </c>
      <c r="C475" t="s">
        <v>19</v>
      </c>
      <c r="D475" t="s">
        <v>23</v>
      </c>
      <c r="E475" t="s">
        <v>29</v>
      </c>
      <c r="F475" t="s">
        <v>17</v>
      </c>
      <c r="G475">
        <v>30839</v>
      </c>
      <c r="H475">
        <v>19737</v>
      </c>
      <c r="I475">
        <f>sales_data[[#This Row],[revenue]]-sales_data[[#This Row],[cost]]</f>
        <v>11102</v>
      </c>
      <c r="J475" s="1">
        <f>sales_data[[#This Row],[profit]]/sales_data[[#This Row],[revenue]]</f>
        <v>0.35999870294108111</v>
      </c>
      <c r="K475" t="str">
        <f>IF(OR(sales_data[[#This Row],[revenue]]="",sales_data[[#This Row],[cost]]=""),"Check","OK")</f>
        <v>OK</v>
      </c>
    </row>
    <row r="476" spans="1:11" x14ac:dyDescent="0.3">
      <c r="A476" t="s">
        <v>512</v>
      </c>
      <c r="B476" s="2">
        <v>45716</v>
      </c>
      <c r="C476" t="s">
        <v>22</v>
      </c>
      <c r="D476" t="s">
        <v>23</v>
      </c>
      <c r="E476" t="s">
        <v>20</v>
      </c>
      <c r="F476" t="s">
        <v>17</v>
      </c>
      <c r="G476">
        <v>20016</v>
      </c>
      <c r="H476">
        <v>13010</v>
      </c>
      <c r="I476">
        <f>sales_data[[#This Row],[revenue]]-sales_data[[#This Row],[cost]]</f>
        <v>7006</v>
      </c>
      <c r="J476" s="1">
        <f>sales_data[[#This Row],[profit]]/sales_data[[#This Row],[revenue]]</f>
        <v>0.35001998401278978</v>
      </c>
      <c r="K476" t="str">
        <f>IF(OR(sales_data[[#This Row],[revenue]]="",sales_data[[#This Row],[cost]]=""),"Check","OK")</f>
        <v>OK</v>
      </c>
    </row>
    <row r="477" spans="1:11" x14ac:dyDescent="0.3">
      <c r="A477" t="s">
        <v>513</v>
      </c>
      <c r="B477" s="2">
        <v>45716</v>
      </c>
      <c r="C477" t="s">
        <v>19</v>
      </c>
      <c r="D477" t="s">
        <v>23</v>
      </c>
      <c r="E477" t="s">
        <v>38</v>
      </c>
      <c r="F477" t="s">
        <v>17</v>
      </c>
      <c r="G477">
        <v>53791</v>
      </c>
      <c r="H477">
        <v>32275</v>
      </c>
      <c r="I477">
        <f>sales_data[[#This Row],[revenue]]-sales_data[[#This Row],[cost]]</f>
        <v>21516</v>
      </c>
      <c r="J477" s="1">
        <f>sales_data[[#This Row],[profit]]/sales_data[[#This Row],[revenue]]</f>
        <v>0.3999925638117901</v>
      </c>
      <c r="K477" t="str">
        <f>IF(OR(sales_data[[#This Row],[revenue]]="",sales_data[[#This Row],[cost]]=""),"Check","OK")</f>
        <v>OK</v>
      </c>
    </row>
    <row r="478" spans="1:11" x14ac:dyDescent="0.3">
      <c r="A478" t="s">
        <v>514</v>
      </c>
      <c r="B478" s="2">
        <v>45699</v>
      </c>
      <c r="C478" t="s">
        <v>19</v>
      </c>
      <c r="D478" t="s">
        <v>23</v>
      </c>
      <c r="E478" t="s">
        <v>20</v>
      </c>
      <c r="F478" t="s">
        <v>17</v>
      </c>
      <c r="G478">
        <v>92006</v>
      </c>
      <c r="H478">
        <v>57044</v>
      </c>
      <c r="I478">
        <f>sales_data[[#This Row],[revenue]]-sales_data[[#This Row],[cost]]</f>
        <v>34962</v>
      </c>
      <c r="J478" s="1">
        <f>sales_data[[#This Row],[profit]]/sales_data[[#This Row],[revenue]]</f>
        <v>0.37999695672021389</v>
      </c>
      <c r="K478" t="str">
        <f>IF(OR(sales_data[[#This Row],[revenue]]="",sales_data[[#This Row],[cost]]=""),"Check","OK")</f>
        <v>OK</v>
      </c>
    </row>
    <row r="479" spans="1:11" x14ac:dyDescent="0.3">
      <c r="A479" t="s">
        <v>515</v>
      </c>
      <c r="B479" s="2">
        <v>45694</v>
      </c>
      <c r="C479" t="s">
        <v>9</v>
      </c>
      <c r="D479" t="s">
        <v>10</v>
      </c>
      <c r="E479" t="s">
        <v>36</v>
      </c>
      <c r="F479" t="s">
        <v>12</v>
      </c>
      <c r="G479">
        <v>44546</v>
      </c>
      <c r="H479">
        <v>26728</v>
      </c>
      <c r="I479">
        <f>sales_data[[#This Row],[revenue]]-sales_data[[#This Row],[cost]]</f>
        <v>17818</v>
      </c>
      <c r="J479" s="1">
        <f>sales_data[[#This Row],[profit]]/sales_data[[#This Row],[revenue]]</f>
        <v>0.39999102051811608</v>
      </c>
      <c r="K479" t="str">
        <f>IF(OR(sales_data[[#This Row],[revenue]]="",sales_data[[#This Row],[cost]]=""),"Check","OK")</f>
        <v>OK</v>
      </c>
    </row>
    <row r="480" spans="1:11" x14ac:dyDescent="0.3">
      <c r="A480" t="s">
        <v>516</v>
      </c>
      <c r="B480" s="2">
        <v>45707</v>
      </c>
      <c r="C480" t="s">
        <v>19</v>
      </c>
      <c r="D480" t="s">
        <v>10</v>
      </c>
      <c r="E480" t="s">
        <v>16</v>
      </c>
      <c r="F480" t="s">
        <v>17</v>
      </c>
      <c r="G480">
        <v>72271</v>
      </c>
      <c r="H480">
        <v>46253</v>
      </c>
      <c r="I480">
        <f>sales_data[[#This Row],[revenue]]-sales_data[[#This Row],[cost]]</f>
        <v>26018</v>
      </c>
      <c r="J480" s="1">
        <f>sales_data[[#This Row],[profit]]/sales_data[[#This Row],[revenue]]</f>
        <v>0.36000608819581853</v>
      </c>
      <c r="K480" t="str">
        <f>IF(OR(sales_data[[#This Row],[revenue]]="",sales_data[[#This Row],[cost]]=""),"Check","OK")</f>
        <v>OK</v>
      </c>
    </row>
    <row r="481" spans="1:11" x14ac:dyDescent="0.3">
      <c r="A481" t="s">
        <v>517</v>
      </c>
      <c r="B481" s="2">
        <v>45713</v>
      </c>
      <c r="C481" t="s">
        <v>9</v>
      </c>
      <c r="D481" t="s">
        <v>15</v>
      </c>
      <c r="E481" t="s">
        <v>11</v>
      </c>
      <c r="F481" t="s">
        <v>12</v>
      </c>
      <c r="G481">
        <v>32751</v>
      </c>
      <c r="H481">
        <v>22926</v>
      </c>
      <c r="I481">
        <f>sales_data[[#This Row],[revenue]]-sales_data[[#This Row],[cost]]</f>
        <v>9825</v>
      </c>
      <c r="J481" s="1">
        <f>sales_data[[#This Row],[profit]]/sales_data[[#This Row],[revenue]]</f>
        <v>0.29999083997435194</v>
      </c>
      <c r="K481" t="str">
        <f>IF(OR(sales_data[[#This Row],[revenue]]="",sales_data[[#This Row],[cost]]=""),"Check","OK")</f>
        <v>OK</v>
      </c>
    </row>
    <row r="482" spans="1:11" x14ac:dyDescent="0.3">
      <c r="A482" t="s">
        <v>518</v>
      </c>
      <c r="B482" s="2">
        <v>45701</v>
      </c>
      <c r="C482" t="s">
        <v>14</v>
      </c>
      <c r="D482" t="s">
        <v>15</v>
      </c>
      <c r="E482" t="s">
        <v>32</v>
      </c>
      <c r="F482" t="s">
        <v>17</v>
      </c>
      <c r="G482">
        <v>14079</v>
      </c>
      <c r="H482">
        <v>8870</v>
      </c>
      <c r="I482">
        <f>sales_data[[#This Row],[revenue]]-sales_data[[#This Row],[cost]]</f>
        <v>5209</v>
      </c>
      <c r="J482" s="1">
        <f>sales_data[[#This Row],[profit]]/sales_data[[#This Row],[revenue]]</f>
        <v>0.36998366361247248</v>
      </c>
      <c r="K482" t="str">
        <f>IF(OR(sales_data[[#This Row],[revenue]]="",sales_data[[#This Row],[cost]]=""),"Check","OK")</f>
        <v>OK</v>
      </c>
    </row>
    <row r="483" spans="1:11" x14ac:dyDescent="0.3">
      <c r="A483" t="s">
        <v>519</v>
      </c>
      <c r="B483" s="2">
        <v>45704</v>
      </c>
      <c r="C483" t="s">
        <v>19</v>
      </c>
      <c r="D483" t="s">
        <v>10</v>
      </c>
      <c r="E483" t="s">
        <v>36</v>
      </c>
      <c r="F483" t="s">
        <v>12</v>
      </c>
      <c r="G483">
        <v>62139</v>
      </c>
      <c r="H483">
        <v>43497</v>
      </c>
      <c r="I483">
        <f>sales_data[[#This Row],[revenue]]-sales_data[[#This Row],[cost]]</f>
        <v>18642</v>
      </c>
      <c r="J483" s="1">
        <f>sales_data[[#This Row],[profit]]/sales_data[[#This Row],[revenue]]</f>
        <v>0.3000048278858688</v>
      </c>
      <c r="K483" t="str">
        <f>IF(OR(sales_data[[#This Row],[revenue]]="",sales_data[[#This Row],[cost]]=""),"Check","OK")</f>
        <v>OK</v>
      </c>
    </row>
    <row r="484" spans="1:11" x14ac:dyDescent="0.3">
      <c r="A484" t="s">
        <v>520</v>
      </c>
      <c r="B484" s="2">
        <v>45697</v>
      </c>
      <c r="C484" t="s">
        <v>19</v>
      </c>
      <c r="D484" t="s">
        <v>10</v>
      </c>
      <c r="E484" t="s">
        <v>34</v>
      </c>
      <c r="F484" t="s">
        <v>17</v>
      </c>
      <c r="G484">
        <v>58260</v>
      </c>
      <c r="H484">
        <v>46025</v>
      </c>
      <c r="I484">
        <f>sales_data[[#This Row],[revenue]]-sales_data[[#This Row],[cost]]</f>
        <v>12235</v>
      </c>
      <c r="J484" s="1">
        <f>sales_data[[#This Row],[profit]]/sales_data[[#This Row],[revenue]]</f>
        <v>0.21000686577411604</v>
      </c>
      <c r="K484" t="str">
        <f>IF(OR(sales_data[[#This Row],[revenue]]="",sales_data[[#This Row],[cost]]=""),"Check","OK")</f>
        <v>OK</v>
      </c>
    </row>
    <row r="485" spans="1:11" x14ac:dyDescent="0.3">
      <c r="A485" t="s">
        <v>521</v>
      </c>
      <c r="B485" s="2">
        <v>45707</v>
      </c>
      <c r="C485" t="s">
        <v>22</v>
      </c>
      <c r="D485" t="s">
        <v>15</v>
      </c>
      <c r="E485" t="s">
        <v>32</v>
      </c>
      <c r="F485" t="s">
        <v>12</v>
      </c>
      <c r="G485">
        <v>44267</v>
      </c>
      <c r="H485">
        <v>29659</v>
      </c>
      <c r="I485">
        <f>sales_data[[#This Row],[revenue]]-sales_data[[#This Row],[cost]]</f>
        <v>14608</v>
      </c>
      <c r="J485" s="1">
        <f>sales_data[[#This Row],[profit]]/sales_data[[#This Row],[revenue]]</f>
        <v>0.3299975150789527</v>
      </c>
      <c r="K485" t="str">
        <f>IF(OR(sales_data[[#This Row],[revenue]]="",sales_data[[#This Row],[cost]]=""),"Check","OK")</f>
        <v>OK</v>
      </c>
    </row>
    <row r="486" spans="1:11" x14ac:dyDescent="0.3">
      <c r="A486" t="s">
        <v>522</v>
      </c>
      <c r="B486" s="2">
        <v>45713</v>
      </c>
      <c r="C486" t="s">
        <v>19</v>
      </c>
      <c r="D486" t="s">
        <v>10</v>
      </c>
      <c r="E486" t="s">
        <v>34</v>
      </c>
      <c r="F486" t="s">
        <v>12</v>
      </c>
      <c r="G486">
        <v>20005</v>
      </c>
      <c r="H486">
        <v>14404</v>
      </c>
      <c r="I486">
        <f>sales_data[[#This Row],[revenue]]-sales_data[[#This Row],[cost]]</f>
        <v>5601</v>
      </c>
      <c r="J486" s="1">
        <f>sales_data[[#This Row],[profit]]/sales_data[[#This Row],[revenue]]</f>
        <v>0.27998000499875031</v>
      </c>
      <c r="K486" t="str">
        <f>IF(OR(sales_data[[#This Row],[revenue]]="",sales_data[[#This Row],[cost]]=""),"Check","OK")</f>
        <v>OK</v>
      </c>
    </row>
    <row r="487" spans="1:11" x14ac:dyDescent="0.3">
      <c r="A487" t="s">
        <v>523</v>
      </c>
      <c r="B487" s="2">
        <v>45698</v>
      </c>
      <c r="C487" t="s">
        <v>19</v>
      </c>
      <c r="D487" t="s">
        <v>15</v>
      </c>
      <c r="E487" t="s">
        <v>11</v>
      </c>
      <c r="F487" t="s">
        <v>12</v>
      </c>
      <c r="G487">
        <v>62969</v>
      </c>
      <c r="H487">
        <v>48486</v>
      </c>
      <c r="I487">
        <f>sales_data[[#This Row],[revenue]]-sales_data[[#This Row],[cost]]</f>
        <v>14483</v>
      </c>
      <c r="J487" s="1">
        <f>sales_data[[#This Row],[profit]]/sales_data[[#This Row],[revenue]]</f>
        <v>0.23000206450793248</v>
      </c>
      <c r="K487" t="str">
        <f>IF(OR(sales_data[[#This Row],[revenue]]="",sales_data[[#This Row],[cost]]=""),"Check","OK")</f>
        <v>OK</v>
      </c>
    </row>
    <row r="488" spans="1:11" x14ac:dyDescent="0.3">
      <c r="A488" t="s">
        <v>524</v>
      </c>
      <c r="B488" s="2">
        <v>45710</v>
      </c>
      <c r="C488" t="s">
        <v>9</v>
      </c>
      <c r="D488" t="s">
        <v>15</v>
      </c>
      <c r="E488" t="s">
        <v>29</v>
      </c>
      <c r="F488" t="s">
        <v>17</v>
      </c>
      <c r="G488">
        <v>18304</v>
      </c>
      <c r="H488">
        <v>14643</v>
      </c>
      <c r="I488">
        <f>sales_data[[#This Row],[revenue]]-sales_data[[#This Row],[cost]]</f>
        <v>3661</v>
      </c>
      <c r="J488" s="1">
        <f>sales_data[[#This Row],[profit]]/sales_data[[#This Row],[revenue]]</f>
        <v>0.20001092657342656</v>
      </c>
      <c r="K488" t="str">
        <f>IF(OR(sales_data[[#This Row],[revenue]]="",sales_data[[#This Row],[cost]]=""),"Check","OK")</f>
        <v>OK</v>
      </c>
    </row>
    <row r="489" spans="1:11" x14ac:dyDescent="0.3">
      <c r="A489" t="s">
        <v>525</v>
      </c>
      <c r="B489" s="2">
        <v>45712</v>
      </c>
      <c r="C489" t="s">
        <v>22</v>
      </c>
      <c r="D489" t="s">
        <v>10</v>
      </c>
      <c r="E489" t="s">
        <v>29</v>
      </c>
      <c r="F489" t="s">
        <v>12</v>
      </c>
      <c r="G489">
        <v>58038</v>
      </c>
      <c r="H489">
        <v>35984</v>
      </c>
      <c r="I489">
        <f>sales_data[[#This Row],[revenue]]-sales_data[[#This Row],[cost]]</f>
        <v>22054</v>
      </c>
      <c r="J489" s="1">
        <f>sales_data[[#This Row],[profit]]/sales_data[[#This Row],[revenue]]</f>
        <v>0.37999241876012269</v>
      </c>
      <c r="K489" t="str">
        <f>IF(OR(sales_data[[#This Row],[revenue]]="",sales_data[[#This Row],[cost]]=""),"Check","OK")</f>
        <v>OK</v>
      </c>
    </row>
    <row r="490" spans="1:11" x14ac:dyDescent="0.3">
      <c r="A490" t="s">
        <v>526</v>
      </c>
      <c r="B490" s="2">
        <v>45700</v>
      </c>
      <c r="C490" t="s">
        <v>19</v>
      </c>
      <c r="D490" t="s">
        <v>23</v>
      </c>
      <c r="E490" t="s">
        <v>38</v>
      </c>
      <c r="F490" t="s">
        <v>17</v>
      </c>
      <c r="G490">
        <v>57620</v>
      </c>
      <c r="H490">
        <v>36301</v>
      </c>
      <c r="I490">
        <f>sales_data[[#This Row],[revenue]]-sales_data[[#This Row],[cost]]</f>
        <v>21319</v>
      </c>
      <c r="J490" s="1">
        <f>sales_data[[#This Row],[profit]]/sales_data[[#This Row],[revenue]]</f>
        <v>0.36999305796598403</v>
      </c>
      <c r="K490" t="str">
        <f>IF(OR(sales_data[[#This Row],[revenue]]="",sales_data[[#This Row],[cost]]=""),"Check","OK")</f>
        <v>OK</v>
      </c>
    </row>
    <row r="491" spans="1:11" x14ac:dyDescent="0.3">
      <c r="A491" t="s">
        <v>527</v>
      </c>
      <c r="B491" s="2">
        <v>45698</v>
      </c>
      <c r="C491" t="s">
        <v>9</v>
      </c>
      <c r="D491" t="s">
        <v>10</v>
      </c>
      <c r="E491" t="s">
        <v>38</v>
      </c>
      <c r="F491" t="s">
        <v>12</v>
      </c>
      <c r="G491">
        <v>13595</v>
      </c>
      <c r="H491">
        <v>8429</v>
      </c>
      <c r="I491">
        <f>sales_data[[#This Row],[revenue]]-sales_data[[#This Row],[cost]]</f>
        <v>5166</v>
      </c>
      <c r="J491" s="1">
        <f>sales_data[[#This Row],[profit]]/sales_data[[#This Row],[revenue]]</f>
        <v>0.37999264435454211</v>
      </c>
      <c r="K491" t="str">
        <f>IF(OR(sales_data[[#This Row],[revenue]]="",sales_data[[#This Row],[cost]]=""),"Check","OK")</f>
        <v>OK</v>
      </c>
    </row>
    <row r="492" spans="1:11" x14ac:dyDescent="0.3">
      <c r="A492" t="s">
        <v>528</v>
      </c>
      <c r="B492" s="2">
        <v>45702</v>
      </c>
      <c r="C492" t="s">
        <v>19</v>
      </c>
      <c r="D492" t="s">
        <v>15</v>
      </c>
      <c r="E492" t="s">
        <v>11</v>
      </c>
      <c r="F492" t="s">
        <v>17</v>
      </c>
      <c r="G492">
        <v>75979</v>
      </c>
      <c r="H492">
        <v>57744</v>
      </c>
      <c r="I492">
        <f>sales_data[[#This Row],[revenue]]-sales_data[[#This Row],[cost]]</f>
        <v>18235</v>
      </c>
      <c r="J492" s="1">
        <f>sales_data[[#This Row],[profit]]/sales_data[[#This Row],[revenue]]</f>
        <v>0.24000052646125902</v>
      </c>
      <c r="K492" t="str">
        <f>IF(OR(sales_data[[#This Row],[revenue]]="",sales_data[[#This Row],[cost]]=""),"Check","OK")</f>
        <v>OK</v>
      </c>
    </row>
    <row r="493" spans="1:11" x14ac:dyDescent="0.3">
      <c r="A493" t="s">
        <v>529</v>
      </c>
      <c r="B493" s="2">
        <v>45697</v>
      </c>
      <c r="C493" t="s">
        <v>9</v>
      </c>
      <c r="D493" t="s">
        <v>23</v>
      </c>
      <c r="E493" t="s">
        <v>29</v>
      </c>
      <c r="F493" t="s">
        <v>12</v>
      </c>
      <c r="G493">
        <v>77200</v>
      </c>
      <c r="H493">
        <v>49408</v>
      </c>
      <c r="I493">
        <f>sales_data[[#This Row],[revenue]]-sales_data[[#This Row],[cost]]</f>
        <v>27792</v>
      </c>
      <c r="J493" s="1">
        <f>sales_data[[#This Row],[profit]]/sales_data[[#This Row],[revenue]]</f>
        <v>0.36</v>
      </c>
      <c r="K493" t="str">
        <f>IF(OR(sales_data[[#This Row],[revenue]]="",sales_data[[#This Row],[cost]]=""),"Check","OK")</f>
        <v>OK</v>
      </c>
    </row>
    <row r="494" spans="1:11" x14ac:dyDescent="0.3">
      <c r="A494" t="s">
        <v>530</v>
      </c>
      <c r="B494" s="2">
        <v>45693</v>
      </c>
      <c r="C494" t="s">
        <v>19</v>
      </c>
      <c r="D494" t="s">
        <v>23</v>
      </c>
      <c r="E494" t="s">
        <v>38</v>
      </c>
      <c r="F494" t="s">
        <v>12</v>
      </c>
      <c r="G494">
        <v>61136</v>
      </c>
      <c r="H494">
        <v>36682</v>
      </c>
      <c r="I494">
        <f>sales_data[[#This Row],[revenue]]-sales_data[[#This Row],[cost]]</f>
        <v>24454</v>
      </c>
      <c r="J494" s="1">
        <f>sales_data[[#This Row],[profit]]/sales_data[[#This Row],[revenue]]</f>
        <v>0.39999345721015439</v>
      </c>
      <c r="K494" t="str">
        <f>IF(OR(sales_data[[#This Row],[revenue]]="",sales_data[[#This Row],[cost]]=""),"Check","OK")</f>
        <v>OK</v>
      </c>
    </row>
    <row r="495" spans="1:11" x14ac:dyDescent="0.3">
      <c r="A495" t="s">
        <v>531</v>
      </c>
      <c r="B495" s="2">
        <v>45711</v>
      </c>
      <c r="C495" t="s">
        <v>9</v>
      </c>
      <c r="D495" t="s">
        <v>15</v>
      </c>
      <c r="E495" t="s">
        <v>16</v>
      </c>
      <c r="F495" t="s">
        <v>17</v>
      </c>
      <c r="G495">
        <v>30496</v>
      </c>
      <c r="H495">
        <v>20432</v>
      </c>
      <c r="I495">
        <f>sales_data[[#This Row],[revenue]]-sales_data[[#This Row],[cost]]</f>
        <v>10064</v>
      </c>
      <c r="J495" s="1">
        <f>sales_data[[#This Row],[profit]]/sales_data[[#This Row],[revenue]]</f>
        <v>0.33001049317943337</v>
      </c>
      <c r="K495" t="str">
        <f>IF(OR(sales_data[[#This Row],[revenue]]="",sales_data[[#This Row],[cost]]=""),"Check","OK")</f>
        <v>OK</v>
      </c>
    </row>
    <row r="496" spans="1:11" x14ac:dyDescent="0.3">
      <c r="A496" t="s">
        <v>532</v>
      </c>
      <c r="B496" s="2">
        <v>45704</v>
      </c>
      <c r="C496" t="s">
        <v>9</v>
      </c>
      <c r="D496" t="s">
        <v>23</v>
      </c>
      <c r="E496" t="s">
        <v>24</v>
      </c>
      <c r="F496" t="s">
        <v>17</v>
      </c>
      <c r="G496">
        <v>94839</v>
      </c>
      <c r="H496">
        <v>69232</v>
      </c>
      <c r="I496">
        <f>sales_data[[#This Row],[revenue]]-sales_data[[#This Row],[cost]]</f>
        <v>25607</v>
      </c>
      <c r="J496" s="1">
        <f>sales_data[[#This Row],[profit]]/sales_data[[#This Row],[revenue]]</f>
        <v>0.27000495576714223</v>
      </c>
      <c r="K496" t="str">
        <f>IF(OR(sales_data[[#This Row],[revenue]]="",sales_data[[#This Row],[cost]]=""),"Check","OK")</f>
        <v>OK</v>
      </c>
    </row>
    <row r="497" spans="1:11" x14ac:dyDescent="0.3">
      <c r="A497" t="s">
        <v>533</v>
      </c>
      <c r="B497" s="2">
        <v>45695</v>
      </c>
      <c r="C497" t="s">
        <v>14</v>
      </c>
      <c r="D497" t="s">
        <v>23</v>
      </c>
      <c r="E497" t="s">
        <v>24</v>
      </c>
      <c r="F497" t="s">
        <v>12</v>
      </c>
      <c r="G497">
        <v>10595</v>
      </c>
      <c r="H497">
        <v>7522</v>
      </c>
      <c r="I497">
        <f>sales_data[[#This Row],[revenue]]-sales_data[[#This Row],[cost]]</f>
        <v>3073</v>
      </c>
      <c r="J497" s="1">
        <f>sales_data[[#This Row],[profit]]/sales_data[[#This Row],[revenue]]</f>
        <v>0.29004247286455875</v>
      </c>
      <c r="K497" t="str">
        <f>IF(OR(sales_data[[#This Row],[revenue]]="",sales_data[[#This Row],[cost]]=""),"Check","OK")</f>
        <v>OK</v>
      </c>
    </row>
    <row r="498" spans="1:11" x14ac:dyDescent="0.3">
      <c r="A498" t="s">
        <v>534</v>
      </c>
      <c r="B498" s="2">
        <v>45697</v>
      </c>
      <c r="C498" t="s">
        <v>9</v>
      </c>
      <c r="D498" t="s">
        <v>23</v>
      </c>
      <c r="E498" t="s">
        <v>36</v>
      </c>
      <c r="F498" t="s">
        <v>12</v>
      </c>
      <c r="G498">
        <v>46502</v>
      </c>
      <c r="H498">
        <v>31156</v>
      </c>
      <c r="I498">
        <f>sales_data[[#This Row],[revenue]]-sales_data[[#This Row],[cost]]</f>
        <v>15346</v>
      </c>
      <c r="J498" s="1">
        <f>sales_data[[#This Row],[profit]]/sales_data[[#This Row],[revenue]]</f>
        <v>0.33000731151348328</v>
      </c>
      <c r="K498" t="str">
        <f>IF(OR(sales_data[[#This Row],[revenue]]="",sales_data[[#This Row],[cost]]=""),"Check","OK")</f>
        <v>OK</v>
      </c>
    </row>
    <row r="499" spans="1:11" x14ac:dyDescent="0.3">
      <c r="A499" t="s">
        <v>535</v>
      </c>
      <c r="B499" s="2">
        <v>45714</v>
      </c>
      <c r="C499" t="s">
        <v>22</v>
      </c>
      <c r="D499" t="s">
        <v>23</v>
      </c>
      <c r="E499" t="s">
        <v>38</v>
      </c>
      <c r="F499" t="s">
        <v>17</v>
      </c>
      <c r="G499">
        <v>35955</v>
      </c>
      <c r="H499">
        <v>23730</v>
      </c>
      <c r="I499">
        <f>sales_data[[#This Row],[revenue]]-sales_data[[#This Row],[cost]]</f>
        <v>12225</v>
      </c>
      <c r="J499" s="1">
        <f>sales_data[[#This Row],[profit]]/sales_data[[#This Row],[revenue]]</f>
        <v>0.34000834376303712</v>
      </c>
      <c r="K499" t="str">
        <f>IF(OR(sales_data[[#This Row],[revenue]]="",sales_data[[#This Row],[cost]]=""),"Check","OK")</f>
        <v>OK</v>
      </c>
    </row>
    <row r="500" spans="1:11" x14ac:dyDescent="0.3">
      <c r="A500" t="s">
        <v>536</v>
      </c>
      <c r="B500" s="2">
        <v>45714</v>
      </c>
      <c r="C500" t="s">
        <v>19</v>
      </c>
      <c r="D500" t="s">
        <v>23</v>
      </c>
      <c r="E500" t="s">
        <v>24</v>
      </c>
      <c r="F500" t="s">
        <v>17</v>
      </c>
      <c r="G500">
        <v>36692</v>
      </c>
      <c r="H500">
        <v>25684</v>
      </c>
      <c r="I500">
        <f>sales_data[[#This Row],[revenue]]-sales_data[[#This Row],[cost]]</f>
        <v>11008</v>
      </c>
      <c r="J500" s="1">
        <f>sales_data[[#This Row],[profit]]/sales_data[[#This Row],[revenue]]</f>
        <v>0.3000109015589229</v>
      </c>
      <c r="K500" t="str">
        <f>IF(OR(sales_data[[#This Row],[revenue]]="",sales_data[[#This Row],[cost]]=""),"Check","OK")</f>
        <v>OK</v>
      </c>
    </row>
  </sheetData>
  <phoneticPr fontId="5"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827B-B71F-474A-A095-B2C401D63C3F}">
  <sheetPr>
    <pageSetUpPr autoPageBreaks="0"/>
  </sheetPr>
  <dimension ref="B1:O41"/>
  <sheetViews>
    <sheetView showGridLines="0" zoomScale="89" zoomScaleNormal="89" workbookViewId="0">
      <selection activeCell="W36" sqref="W36"/>
    </sheetView>
  </sheetViews>
  <sheetFormatPr defaultRowHeight="14.4" x14ac:dyDescent="0.3"/>
  <cols>
    <col min="2" max="2" width="19" bestFit="1" customWidth="1"/>
    <col min="9" max="9" width="1" bestFit="1" customWidth="1"/>
    <col min="10" max="10" width="36.21875" customWidth="1"/>
  </cols>
  <sheetData>
    <row r="1" spans="2:15" ht="21" x14ac:dyDescent="0.4">
      <c r="B1" s="19" t="s">
        <v>545</v>
      </c>
      <c r="C1" s="19"/>
      <c r="D1" s="19"/>
      <c r="E1" s="19"/>
      <c r="F1" s="19"/>
      <c r="G1" s="19"/>
      <c r="H1" s="19"/>
      <c r="I1" s="19"/>
      <c r="J1" s="19"/>
    </row>
    <row r="3" spans="2:15" x14ac:dyDescent="0.3">
      <c r="B3" s="20" t="s">
        <v>540</v>
      </c>
    </row>
    <row r="4" spans="2:15" ht="14.4" customHeight="1" x14ac:dyDescent="0.3">
      <c r="B4" s="28" t="s">
        <v>546</v>
      </c>
      <c r="C4" s="28"/>
      <c r="D4" s="28"/>
      <c r="E4" s="28"/>
      <c r="F4" s="28"/>
      <c r="G4" s="28"/>
      <c r="H4" s="28"/>
      <c r="I4" s="28"/>
      <c r="J4" s="28"/>
    </row>
    <row r="5" spans="2:15" ht="45" customHeight="1" x14ac:dyDescent="0.3">
      <c r="B5" s="28"/>
      <c r="C5" s="28"/>
      <c r="D5" s="28"/>
      <c r="E5" s="28"/>
      <c r="F5" s="28"/>
      <c r="G5" s="28"/>
      <c r="H5" s="28"/>
      <c r="I5" s="28"/>
      <c r="J5" s="28"/>
    </row>
    <row r="6" spans="2:15" x14ac:dyDescent="0.3">
      <c r="B6" s="20" t="s">
        <v>541</v>
      </c>
      <c r="C6" s="21"/>
      <c r="D6" s="21"/>
      <c r="E6" s="21"/>
      <c r="F6" s="21"/>
      <c r="G6" s="21"/>
      <c r="H6" s="21"/>
      <c r="I6" s="21"/>
      <c r="J6" s="21"/>
    </row>
    <row r="7" spans="2:15" ht="15.6" x14ac:dyDescent="0.3">
      <c r="B7" s="26" t="s">
        <v>549</v>
      </c>
      <c r="C7" s="27"/>
      <c r="D7" s="27"/>
      <c r="E7" s="27"/>
      <c r="F7" s="27"/>
      <c r="G7" s="27"/>
      <c r="H7" s="27"/>
      <c r="I7" s="23" t="s">
        <v>547</v>
      </c>
      <c r="J7" s="23"/>
      <c r="K7" s="23"/>
      <c r="L7" s="23"/>
      <c r="M7" s="23"/>
      <c r="N7" s="23"/>
      <c r="O7" s="23"/>
    </row>
    <row r="8" spans="2:15" ht="14.4" customHeight="1" x14ac:dyDescent="0.3">
      <c r="B8" s="26" t="s">
        <v>550</v>
      </c>
      <c r="C8" s="27"/>
      <c r="D8" s="27"/>
      <c r="E8" s="27"/>
      <c r="F8" s="27"/>
      <c r="G8" s="27"/>
      <c r="H8" s="27"/>
      <c r="I8" s="23"/>
      <c r="J8" s="23"/>
      <c r="K8" s="23"/>
      <c r="L8" s="23"/>
      <c r="M8" s="23"/>
      <c r="N8" s="23"/>
      <c r="O8" s="23"/>
    </row>
    <row r="9" spans="2:15" ht="15.6" x14ac:dyDescent="0.3">
      <c r="B9" s="26" t="s">
        <v>551</v>
      </c>
      <c r="C9" s="27"/>
      <c r="D9" s="27"/>
      <c r="E9" s="27"/>
      <c r="F9" s="27"/>
      <c r="G9" s="27"/>
      <c r="H9" s="27"/>
      <c r="I9" s="23"/>
      <c r="J9" s="23"/>
      <c r="K9" s="23"/>
      <c r="L9" s="23"/>
      <c r="M9" s="23"/>
      <c r="N9" s="23"/>
      <c r="O9" s="23"/>
    </row>
    <row r="10" spans="2:15" ht="15.6" x14ac:dyDescent="0.3">
      <c r="B10" s="26" t="s">
        <v>552</v>
      </c>
      <c r="C10" s="27"/>
      <c r="D10" s="27"/>
      <c r="E10" s="27"/>
      <c r="F10" s="27"/>
      <c r="G10" s="27"/>
      <c r="H10" s="27"/>
      <c r="I10" s="23"/>
      <c r="J10" s="23"/>
      <c r="K10" s="23"/>
      <c r="L10" s="23"/>
      <c r="M10" s="23"/>
      <c r="N10" s="23"/>
      <c r="O10" s="23"/>
    </row>
    <row r="11" spans="2:15" x14ac:dyDescent="0.3">
      <c r="B11" s="20" t="s">
        <v>542</v>
      </c>
      <c r="C11" s="22"/>
      <c r="D11" s="22"/>
      <c r="E11" s="22"/>
      <c r="F11" s="22"/>
      <c r="G11" s="22"/>
      <c r="H11" s="22"/>
      <c r="I11" s="22"/>
      <c r="J11" s="22"/>
    </row>
    <row r="12" spans="2:15" x14ac:dyDescent="0.3">
      <c r="B12" s="24" t="s">
        <v>548</v>
      </c>
      <c r="C12" s="25"/>
      <c r="D12" s="25"/>
      <c r="E12" s="22"/>
      <c r="F12" s="22"/>
      <c r="G12" s="22"/>
      <c r="H12" s="22"/>
      <c r="I12" s="22"/>
      <c r="J12" s="22"/>
    </row>
    <row r="13" spans="2:15" x14ac:dyDescent="0.3">
      <c r="B13" s="25"/>
      <c r="C13" s="25"/>
      <c r="D13" s="25"/>
      <c r="E13" s="22"/>
      <c r="F13" s="22"/>
      <c r="G13" s="22"/>
      <c r="H13" s="22"/>
      <c r="I13" s="22"/>
      <c r="J13" s="22"/>
    </row>
    <row r="14" spans="2:15" ht="33" customHeight="1" x14ac:dyDescent="0.3">
      <c r="B14" s="25"/>
      <c r="C14" s="25"/>
      <c r="D14" s="25"/>
      <c r="E14" s="22"/>
      <c r="F14" s="22"/>
      <c r="G14" s="22"/>
      <c r="H14" s="22"/>
      <c r="I14" s="22"/>
      <c r="J14" s="22"/>
    </row>
    <row r="15" spans="2:15" x14ac:dyDescent="0.3">
      <c r="B15" s="22"/>
    </row>
    <row r="16" spans="2:15" x14ac:dyDescent="0.3">
      <c r="B16" s="20" t="s">
        <v>553</v>
      </c>
      <c r="C16" s="22"/>
      <c r="D16" s="22"/>
      <c r="E16" s="22"/>
      <c r="F16" s="22"/>
      <c r="G16" s="22"/>
      <c r="H16" s="22"/>
      <c r="I16" s="22"/>
      <c r="J16" s="22"/>
    </row>
    <row r="17" spans="2:10" x14ac:dyDescent="0.3">
      <c r="B17" s="28" t="s">
        <v>543</v>
      </c>
      <c r="C17" s="29"/>
      <c r="D17" s="29"/>
      <c r="E17" s="29"/>
      <c r="F17" s="29"/>
      <c r="G17" s="29"/>
      <c r="H17" s="29"/>
      <c r="I17" s="29"/>
      <c r="J17" s="29"/>
    </row>
    <row r="18" spans="2:10" x14ac:dyDescent="0.3">
      <c r="B18" s="29"/>
      <c r="C18" s="29"/>
      <c r="D18" s="29"/>
      <c r="E18" s="29"/>
      <c r="F18" s="29"/>
      <c r="G18" s="29"/>
      <c r="H18" s="29"/>
      <c r="I18" s="29"/>
      <c r="J18" s="29"/>
    </row>
    <row r="19" spans="2:10" x14ac:dyDescent="0.3">
      <c r="B19" s="29"/>
      <c r="C19" s="29"/>
      <c r="D19" s="29"/>
      <c r="E19" s="29"/>
      <c r="F19" s="29"/>
      <c r="G19" s="29"/>
      <c r="H19" s="29"/>
      <c r="I19" s="29"/>
      <c r="J19" s="29"/>
    </row>
    <row r="20" spans="2:10" x14ac:dyDescent="0.3">
      <c r="B20" s="29"/>
      <c r="C20" s="29"/>
      <c r="D20" s="29"/>
      <c r="E20" s="29"/>
      <c r="F20" s="29"/>
      <c r="G20" s="29"/>
      <c r="H20" s="29"/>
      <c r="I20" s="29"/>
      <c r="J20" s="29"/>
    </row>
    <row r="21" spans="2:10" x14ac:dyDescent="0.3">
      <c r="B21" s="20" t="s">
        <v>544</v>
      </c>
      <c r="C21" s="22"/>
      <c r="D21" s="22"/>
      <c r="E21" s="22"/>
      <c r="F21" s="22"/>
      <c r="G21" s="22"/>
      <c r="H21" s="22"/>
      <c r="I21" s="22"/>
      <c r="J21" s="22"/>
    </row>
    <row r="22" spans="2:10" x14ac:dyDescent="0.3">
      <c r="B22" s="24" t="s">
        <v>554</v>
      </c>
      <c r="C22" s="25"/>
      <c r="D22" s="25"/>
      <c r="E22" s="25"/>
      <c r="F22" s="25"/>
      <c r="G22" s="25"/>
      <c r="H22" s="25"/>
      <c r="I22" s="25"/>
      <c r="J22" s="25"/>
    </row>
    <row r="23" spans="2:10" x14ac:dyDescent="0.3">
      <c r="B23" s="25"/>
      <c r="C23" s="25"/>
      <c r="D23" s="25"/>
      <c r="E23" s="25"/>
      <c r="F23" s="25"/>
      <c r="G23" s="25"/>
      <c r="H23" s="25"/>
      <c r="I23" s="25"/>
      <c r="J23" s="25"/>
    </row>
    <row r="24" spans="2:10" x14ac:dyDescent="0.3">
      <c r="B24" s="25"/>
      <c r="C24" s="25"/>
      <c r="D24" s="25"/>
      <c r="E24" s="25"/>
      <c r="F24" s="25"/>
      <c r="G24" s="25"/>
      <c r="H24" s="25"/>
      <c r="I24" s="25"/>
      <c r="J24" s="25"/>
    </row>
    <row r="25" spans="2:10" x14ac:dyDescent="0.3">
      <c r="B25" s="25"/>
      <c r="C25" s="25"/>
      <c r="D25" s="25"/>
      <c r="E25" s="25"/>
      <c r="F25" s="25"/>
      <c r="G25" s="25"/>
      <c r="H25" s="25"/>
      <c r="I25" s="25"/>
      <c r="J25" s="25"/>
    </row>
    <row r="26" spans="2:10" x14ac:dyDescent="0.3">
      <c r="B26" s="25"/>
      <c r="C26" s="25"/>
      <c r="D26" s="25"/>
      <c r="E26" s="25"/>
      <c r="F26" s="25"/>
      <c r="G26" s="25"/>
      <c r="H26" s="25"/>
      <c r="I26" s="25"/>
      <c r="J26" s="25"/>
    </row>
    <row r="27" spans="2:10" x14ac:dyDescent="0.3">
      <c r="B27" s="20" t="s">
        <v>555</v>
      </c>
      <c r="C27" s="22"/>
      <c r="D27" s="22"/>
      <c r="E27" s="22"/>
      <c r="F27" s="22"/>
      <c r="G27" s="22"/>
      <c r="H27" s="22"/>
      <c r="I27" s="22"/>
      <c r="J27" s="22"/>
    </row>
    <row r="28" spans="2:10" x14ac:dyDescent="0.3">
      <c r="B28" s="24" t="s">
        <v>556</v>
      </c>
      <c r="C28" s="25"/>
      <c r="D28" s="25"/>
      <c r="E28" s="25"/>
      <c r="F28" s="25"/>
      <c r="G28" s="25"/>
      <c r="H28" s="25"/>
      <c r="I28" s="25"/>
      <c r="J28" s="25"/>
    </row>
    <row r="29" spans="2:10" x14ac:dyDescent="0.3">
      <c r="B29" s="25"/>
      <c r="C29" s="25"/>
      <c r="D29" s="25"/>
      <c r="E29" s="25"/>
      <c r="F29" s="25"/>
      <c r="G29" s="25"/>
      <c r="H29" s="25"/>
      <c r="I29" s="25"/>
      <c r="J29" s="25"/>
    </row>
    <row r="30" spans="2:10" x14ac:dyDescent="0.3">
      <c r="B30" s="25"/>
      <c r="C30" s="25"/>
      <c r="D30" s="25"/>
      <c r="E30" s="25"/>
      <c r="F30" s="25"/>
      <c r="G30" s="25"/>
      <c r="H30" s="25"/>
      <c r="I30" s="25"/>
      <c r="J30" s="25"/>
    </row>
    <row r="31" spans="2:10" x14ac:dyDescent="0.3">
      <c r="B31" s="25"/>
      <c r="C31" s="25"/>
      <c r="D31" s="25"/>
      <c r="E31" s="25"/>
      <c r="F31" s="25"/>
      <c r="G31" s="25"/>
      <c r="H31" s="25"/>
      <c r="I31" s="25"/>
      <c r="J31" s="25"/>
    </row>
    <row r="32" spans="2:10" x14ac:dyDescent="0.3">
      <c r="B32" s="20" t="s">
        <v>557</v>
      </c>
      <c r="C32" s="22"/>
      <c r="D32" s="22"/>
      <c r="E32" s="22"/>
      <c r="F32" s="22"/>
      <c r="G32" s="22"/>
      <c r="H32" s="22"/>
      <c r="I32" s="22"/>
      <c r="J32" s="22"/>
    </row>
    <row r="33" spans="2:10" x14ac:dyDescent="0.3">
      <c r="B33" s="24" t="s">
        <v>558</v>
      </c>
      <c r="C33" s="25"/>
      <c r="D33" s="25"/>
      <c r="E33" s="25"/>
      <c r="F33" s="25"/>
      <c r="G33" s="22"/>
      <c r="H33" s="22"/>
      <c r="I33" s="22"/>
      <c r="J33" s="22"/>
    </row>
    <row r="34" spans="2:10" x14ac:dyDescent="0.3">
      <c r="B34" s="25"/>
      <c r="C34" s="25"/>
      <c r="D34" s="25"/>
      <c r="E34" s="25"/>
      <c r="F34" s="25"/>
      <c r="G34" s="22"/>
      <c r="H34" s="22"/>
      <c r="I34" s="22"/>
      <c r="J34" s="22"/>
    </row>
    <row r="35" spans="2:10" x14ac:dyDescent="0.3">
      <c r="B35" s="25"/>
      <c r="C35" s="25"/>
      <c r="D35" s="25"/>
      <c r="E35" s="25"/>
      <c r="F35" s="25"/>
      <c r="G35" s="22"/>
      <c r="H35" s="22"/>
      <c r="I35" s="22"/>
      <c r="J35" s="22"/>
    </row>
    <row r="36" spans="2:10" x14ac:dyDescent="0.3">
      <c r="B36" s="25"/>
      <c r="C36" s="25"/>
      <c r="D36" s="25"/>
      <c r="E36" s="25"/>
      <c r="F36" s="25"/>
      <c r="G36" s="22"/>
      <c r="H36" s="22"/>
      <c r="I36" s="22"/>
      <c r="J36" s="22"/>
    </row>
    <row r="37" spans="2:10" x14ac:dyDescent="0.3">
      <c r="B37" s="20" t="s">
        <v>544</v>
      </c>
      <c r="C37" s="22"/>
      <c r="D37" s="22"/>
      <c r="E37" s="22"/>
      <c r="F37" s="22"/>
      <c r="G37" s="22"/>
      <c r="H37" s="22"/>
      <c r="I37" s="22"/>
      <c r="J37" s="22"/>
    </row>
    <row r="38" spans="2:10" x14ac:dyDescent="0.3">
      <c r="B38" s="24" t="s">
        <v>559</v>
      </c>
      <c r="C38" s="25"/>
      <c r="D38" s="25"/>
      <c r="E38" s="25"/>
      <c r="F38" s="25"/>
      <c r="G38" s="22"/>
      <c r="H38" s="22"/>
      <c r="I38" s="22"/>
      <c r="J38" s="22"/>
    </row>
    <row r="39" spans="2:10" ht="45.6" customHeight="1" x14ac:dyDescent="0.3">
      <c r="B39" s="25"/>
      <c r="C39" s="25"/>
      <c r="D39" s="25"/>
      <c r="E39" s="25"/>
      <c r="F39" s="25"/>
      <c r="G39" s="22"/>
      <c r="H39" s="22"/>
      <c r="I39" s="22"/>
      <c r="J39" s="22"/>
    </row>
    <row r="40" spans="2:10" x14ac:dyDescent="0.3">
      <c r="B40" s="20" t="s">
        <v>560</v>
      </c>
    </row>
    <row r="41" spans="2:10" x14ac:dyDescent="0.3">
      <c r="B41" s="22" t="s">
        <v>561</v>
      </c>
      <c r="C41" s="22"/>
      <c r="D41" s="22"/>
      <c r="E41" s="22"/>
    </row>
  </sheetData>
  <mergeCells count="8">
    <mergeCell ref="B22:J26"/>
    <mergeCell ref="B28:J31"/>
    <mergeCell ref="B33:F36"/>
    <mergeCell ref="B38:F39"/>
    <mergeCell ref="B1:J1"/>
    <mergeCell ref="B4:J5"/>
    <mergeCell ref="B12:D14"/>
    <mergeCell ref="B17:J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C667-C22E-457C-9746-624AD0107B6A}">
  <dimension ref="B3:G61"/>
  <sheetViews>
    <sheetView showGridLines="0" zoomScaleNormal="100" workbookViewId="0">
      <selection activeCell="X13" sqref="X13"/>
    </sheetView>
  </sheetViews>
  <sheetFormatPr defaultRowHeight="14.4" x14ac:dyDescent="0.3"/>
  <cols>
    <col min="2" max="2" width="10.5546875" bestFit="1" customWidth="1"/>
    <col min="3" max="3" width="14.5546875" bestFit="1" customWidth="1"/>
    <col min="4" max="4" width="12.33203125" bestFit="1" customWidth="1"/>
    <col min="6" max="6" width="9.88671875" bestFit="1" customWidth="1"/>
    <col min="7" max="7" width="13.109375" bestFit="1" customWidth="1"/>
    <col min="8" max="8" width="10.33203125" bestFit="1" customWidth="1"/>
  </cols>
  <sheetData>
    <row r="3" spans="2:4" x14ac:dyDescent="0.3">
      <c r="B3" s="3" t="s">
        <v>44</v>
      </c>
    </row>
    <row r="4" spans="2:4" ht="18" x14ac:dyDescent="0.35">
      <c r="B4" s="4" t="s">
        <v>41</v>
      </c>
      <c r="C4" s="5">
        <v>26205125</v>
      </c>
    </row>
    <row r="5" spans="2:4" ht="18" x14ac:dyDescent="0.35">
      <c r="B5" s="4" t="s">
        <v>43</v>
      </c>
      <c r="C5" s="5">
        <v>499</v>
      </c>
    </row>
    <row r="6" spans="2:4" ht="18" x14ac:dyDescent="0.35">
      <c r="B6" s="4" t="s">
        <v>42</v>
      </c>
      <c r="C6" s="5">
        <v>7974925</v>
      </c>
    </row>
    <row r="7" spans="2:4" ht="18" x14ac:dyDescent="0.35">
      <c r="B7" t="s">
        <v>537</v>
      </c>
      <c r="C7" s="12">
        <f>GETPIVOTDATA("Total Profit",$B$3)/GETPIVOTDATA("Total Revenue",$B$3)</f>
        <v>0.30432692078362533</v>
      </c>
    </row>
    <row r="9" spans="2:4" x14ac:dyDescent="0.3">
      <c r="B9" s="9" t="s">
        <v>45</v>
      </c>
      <c r="C9" s="9"/>
      <c r="D9" s="9"/>
    </row>
    <row r="10" spans="2:4" x14ac:dyDescent="0.3">
      <c r="B10" s="3" t="s">
        <v>3</v>
      </c>
      <c r="C10" t="s">
        <v>41</v>
      </c>
      <c r="D10" t="s">
        <v>42</v>
      </c>
    </row>
    <row r="11" spans="2:4" ht="18" x14ac:dyDescent="0.35">
      <c r="B11" s="4" t="s">
        <v>10</v>
      </c>
      <c r="C11" s="5">
        <v>9370634</v>
      </c>
      <c r="D11" s="5">
        <v>2888695</v>
      </c>
    </row>
    <row r="12" spans="2:4" ht="18" x14ac:dyDescent="0.35">
      <c r="B12" s="4" t="s">
        <v>23</v>
      </c>
      <c r="C12" s="5">
        <v>8436384</v>
      </c>
      <c r="D12" s="5">
        <v>2567568</v>
      </c>
    </row>
    <row r="13" spans="2:4" ht="18" x14ac:dyDescent="0.35">
      <c r="B13" s="4" t="s">
        <v>15</v>
      </c>
      <c r="C13" s="5">
        <v>8398107</v>
      </c>
      <c r="D13" s="5">
        <v>2518662</v>
      </c>
    </row>
    <row r="15" spans="2:4" x14ac:dyDescent="0.3">
      <c r="B15" s="9" t="s">
        <v>47</v>
      </c>
      <c r="C15" s="10"/>
      <c r="D15" s="10"/>
    </row>
    <row r="16" spans="2:4" x14ac:dyDescent="0.3">
      <c r="B16" s="3" t="s">
        <v>46</v>
      </c>
      <c r="C16" t="s">
        <v>41</v>
      </c>
      <c r="D16" t="s">
        <v>42</v>
      </c>
    </row>
    <row r="17" spans="2:7" ht="18" x14ac:dyDescent="0.35">
      <c r="B17" s="4" t="s">
        <v>19</v>
      </c>
      <c r="C17" s="5">
        <v>7211864</v>
      </c>
      <c r="D17" s="5">
        <v>2128383</v>
      </c>
    </row>
    <row r="18" spans="2:7" ht="18" x14ac:dyDescent="0.35">
      <c r="B18" s="4" t="s">
        <v>9</v>
      </c>
      <c r="C18" s="5">
        <v>6874364</v>
      </c>
      <c r="D18" s="11">
        <v>2072495</v>
      </c>
    </row>
    <row r="19" spans="2:7" ht="18" x14ac:dyDescent="0.35">
      <c r="B19" s="4" t="s">
        <v>22</v>
      </c>
      <c r="C19" s="5">
        <v>6119972</v>
      </c>
      <c r="D19" s="11">
        <v>1889872</v>
      </c>
    </row>
    <row r="20" spans="2:7" ht="18" x14ac:dyDescent="0.35">
      <c r="B20" s="4" t="s">
        <v>14</v>
      </c>
      <c r="C20" s="5">
        <v>5998925</v>
      </c>
      <c r="D20" s="5">
        <v>1884175</v>
      </c>
    </row>
    <row r="21" spans="2:7" ht="18" x14ac:dyDescent="0.35">
      <c r="D21" s="5"/>
    </row>
    <row r="22" spans="2:7" ht="18" x14ac:dyDescent="0.35">
      <c r="B22" s="9" t="s">
        <v>48</v>
      </c>
      <c r="C22" s="10"/>
      <c r="D22" s="5"/>
    </row>
    <row r="23" spans="2:7" x14ac:dyDescent="0.3">
      <c r="B23" s="3" t="s">
        <v>1</v>
      </c>
      <c r="C23" t="s">
        <v>41</v>
      </c>
    </row>
    <row r="24" spans="2:7" ht="18" x14ac:dyDescent="0.35">
      <c r="B24" s="6">
        <v>45689</v>
      </c>
      <c r="C24" s="5">
        <v>860427</v>
      </c>
    </row>
    <row r="25" spans="2:7" ht="18" x14ac:dyDescent="0.35">
      <c r="B25" s="6">
        <v>45690</v>
      </c>
      <c r="C25" s="5">
        <v>1008982</v>
      </c>
    </row>
    <row r="26" spans="2:7" ht="18" x14ac:dyDescent="0.35">
      <c r="B26" s="6">
        <v>45691</v>
      </c>
      <c r="C26" s="5">
        <v>735337</v>
      </c>
    </row>
    <row r="27" spans="2:7" ht="18" x14ac:dyDescent="0.35">
      <c r="B27" s="6">
        <v>45692</v>
      </c>
      <c r="C27" s="5">
        <v>902668</v>
      </c>
      <c r="F27" s="9" t="s">
        <v>538</v>
      </c>
      <c r="G27" s="9"/>
    </row>
    <row r="28" spans="2:7" ht="18" x14ac:dyDescent="0.35">
      <c r="B28" s="6">
        <v>45693</v>
      </c>
      <c r="C28" s="5">
        <v>991604</v>
      </c>
      <c r="F28" s="3" t="s">
        <v>4</v>
      </c>
      <c r="G28" t="s">
        <v>41</v>
      </c>
    </row>
    <row r="29" spans="2:7" ht="18" x14ac:dyDescent="0.35">
      <c r="B29" s="6">
        <v>45694</v>
      </c>
      <c r="C29" s="5">
        <v>1060362</v>
      </c>
      <c r="F29" s="4" t="s">
        <v>36</v>
      </c>
      <c r="G29" s="5">
        <v>3169166</v>
      </c>
    </row>
    <row r="30" spans="2:7" ht="18" x14ac:dyDescent="0.35">
      <c r="B30" s="6">
        <v>45695</v>
      </c>
      <c r="C30" s="5">
        <v>732812</v>
      </c>
      <c r="F30" s="4" t="s">
        <v>11</v>
      </c>
      <c r="G30" s="5">
        <v>3159381</v>
      </c>
    </row>
    <row r="31" spans="2:7" ht="18" x14ac:dyDescent="0.35">
      <c r="B31" s="6">
        <v>45696</v>
      </c>
      <c r="C31" s="5">
        <v>890522</v>
      </c>
      <c r="F31" s="4" t="s">
        <v>24</v>
      </c>
      <c r="G31" s="5">
        <v>3006342</v>
      </c>
    </row>
    <row r="32" spans="2:7" ht="18" x14ac:dyDescent="0.35">
      <c r="B32" s="6">
        <v>45697</v>
      </c>
      <c r="C32" s="5">
        <v>995581</v>
      </c>
      <c r="F32" s="4" t="s">
        <v>32</v>
      </c>
      <c r="G32" s="5">
        <v>2879796</v>
      </c>
    </row>
    <row r="33" spans="2:7" ht="18" x14ac:dyDescent="0.35">
      <c r="B33" s="6">
        <v>45698</v>
      </c>
      <c r="C33" s="5">
        <v>762562</v>
      </c>
      <c r="F33" s="4" t="s">
        <v>20</v>
      </c>
      <c r="G33" s="5">
        <v>2814963</v>
      </c>
    </row>
    <row r="34" spans="2:7" ht="18" x14ac:dyDescent="0.35">
      <c r="B34" s="6">
        <v>45699</v>
      </c>
      <c r="C34" s="5">
        <v>1340525</v>
      </c>
    </row>
    <row r="35" spans="2:7" ht="18" x14ac:dyDescent="0.35">
      <c r="B35" s="6">
        <v>45700</v>
      </c>
      <c r="C35" s="5">
        <v>947067</v>
      </c>
    </row>
    <row r="36" spans="2:7" ht="18" x14ac:dyDescent="0.35">
      <c r="B36" s="6">
        <v>45701</v>
      </c>
      <c r="C36" s="5">
        <v>1064446</v>
      </c>
    </row>
    <row r="37" spans="2:7" ht="18" x14ac:dyDescent="0.35">
      <c r="B37" s="6">
        <v>45702</v>
      </c>
      <c r="C37" s="5">
        <v>937639</v>
      </c>
    </row>
    <row r="38" spans="2:7" ht="18" x14ac:dyDescent="0.35">
      <c r="B38" s="6">
        <v>45703</v>
      </c>
      <c r="C38" s="5">
        <v>999781</v>
      </c>
    </row>
    <row r="39" spans="2:7" ht="18" x14ac:dyDescent="0.35">
      <c r="B39" s="6">
        <v>45704</v>
      </c>
      <c r="C39" s="5">
        <v>1380116</v>
      </c>
    </row>
    <row r="40" spans="2:7" ht="18" x14ac:dyDescent="0.35">
      <c r="B40" s="6">
        <v>45705</v>
      </c>
      <c r="C40" s="5">
        <v>714044</v>
      </c>
    </row>
    <row r="41" spans="2:7" ht="18" x14ac:dyDescent="0.35">
      <c r="B41" s="6">
        <v>45706</v>
      </c>
      <c r="C41" s="5">
        <v>1443790</v>
      </c>
    </row>
    <row r="42" spans="2:7" ht="18" x14ac:dyDescent="0.35">
      <c r="B42" s="6">
        <v>45707</v>
      </c>
      <c r="C42" s="5">
        <v>976472</v>
      </c>
    </row>
    <row r="43" spans="2:7" ht="18" x14ac:dyDescent="0.35">
      <c r="B43" s="6">
        <v>45708</v>
      </c>
      <c r="C43" s="5">
        <v>853152</v>
      </c>
    </row>
    <row r="44" spans="2:7" ht="18" x14ac:dyDescent="0.35">
      <c r="B44" s="6">
        <v>45709</v>
      </c>
      <c r="C44" s="5">
        <v>665275</v>
      </c>
    </row>
    <row r="45" spans="2:7" ht="18" x14ac:dyDescent="0.35">
      <c r="B45" s="6">
        <v>45710</v>
      </c>
      <c r="C45" s="5">
        <v>784553</v>
      </c>
    </row>
    <row r="46" spans="2:7" ht="18" x14ac:dyDescent="0.35">
      <c r="B46" s="6">
        <v>45711</v>
      </c>
      <c r="C46" s="5">
        <v>883278</v>
      </c>
    </row>
    <row r="47" spans="2:7" ht="18" x14ac:dyDescent="0.35">
      <c r="B47" s="6">
        <v>45712</v>
      </c>
      <c r="C47" s="5">
        <v>816580</v>
      </c>
    </row>
    <row r="48" spans="2:7" ht="18" x14ac:dyDescent="0.35">
      <c r="B48" s="6">
        <v>45713</v>
      </c>
      <c r="C48" s="5">
        <v>907202</v>
      </c>
    </row>
    <row r="49" spans="2:3" ht="18" x14ac:dyDescent="0.35">
      <c r="B49" s="6">
        <v>45714</v>
      </c>
      <c r="C49" s="5">
        <v>751168</v>
      </c>
    </row>
    <row r="50" spans="2:3" ht="18" x14ac:dyDescent="0.35">
      <c r="B50" s="6">
        <v>45715</v>
      </c>
      <c r="C50" s="5">
        <v>777774</v>
      </c>
    </row>
    <row r="51" spans="2:3" ht="18" x14ac:dyDescent="0.35">
      <c r="B51" s="6">
        <v>45716</v>
      </c>
      <c r="C51" s="5">
        <v>1021406</v>
      </c>
    </row>
    <row r="52" spans="2:3" ht="18" x14ac:dyDescent="0.35"/>
    <row r="53" spans="2:3" ht="18" x14ac:dyDescent="0.35"/>
    <row r="54" spans="2:3" ht="18" x14ac:dyDescent="0.35"/>
    <row r="55" spans="2:3" ht="18" x14ac:dyDescent="0.35"/>
    <row r="56" spans="2:3" ht="18" x14ac:dyDescent="0.35"/>
    <row r="57" spans="2:3" ht="18" x14ac:dyDescent="0.35"/>
    <row r="58" spans="2:3" ht="18" x14ac:dyDescent="0.35"/>
    <row r="59" spans="2:3" ht="18" x14ac:dyDescent="0.35"/>
    <row r="60" spans="2:3" ht="18" x14ac:dyDescent="0.35"/>
    <row r="61" spans="2:3" ht="18" x14ac:dyDescent="0.35"/>
  </sheetData>
  <mergeCells count="4">
    <mergeCell ref="B9:D9"/>
    <mergeCell ref="B15:D15"/>
    <mergeCell ref="B22:C22"/>
    <mergeCell ref="F27:G27"/>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658D-68F2-49EB-8E66-5A1D21D0119F}">
  <dimension ref="K6:O20"/>
  <sheetViews>
    <sheetView showGridLines="0" tabSelected="1" topLeftCell="B1" zoomScale="70" zoomScaleNormal="70" workbookViewId="0">
      <selection activeCell="C52" sqref="C52"/>
    </sheetView>
  </sheetViews>
  <sheetFormatPr defaultRowHeight="14.4" x14ac:dyDescent="0.3"/>
  <cols>
    <col min="1" max="9" width="8.88671875" style="7"/>
    <col min="10" max="10" width="19.77734375" style="7" customWidth="1"/>
    <col min="11" max="11" width="27.6640625" style="7" customWidth="1"/>
    <col min="12" max="12" width="23.21875" style="7" customWidth="1"/>
    <col min="13" max="13" width="9.33203125" style="7" customWidth="1"/>
    <col min="14" max="14" width="15.77734375" style="7" bestFit="1" customWidth="1"/>
    <col min="15" max="15" width="22.33203125" style="7" bestFit="1" customWidth="1"/>
    <col min="16" max="19" width="8.88671875" style="7"/>
    <col min="20" max="20" width="13.77734375" style="7" customWidth="1"/>
    <col min="21" max="25" width="8.88671875" style="7"/>
    <col min="26" max="26" width="34.109375" style="7" customWidth="1"/>
    <col min="27" max="27" width="42.21875" style="7" customWidth="1"/>
    <col min="28" max="16384" width="8.88671875" style="7"/>
  </cols>
  <sheetData>
    <row r="6" spans="11:15" ht="82.8" customHeight="1" x14ac:dyDescent="0.3"/>
    <row r="7" spans="11:15" ht="9" customHeight="1" x14ac:dyDescent="0.3"/>
    <row r="9" spans="11:15" ht="23.4" x14ac:dyDescent="0.45">
      <c r="K9" s="13" t="s">
        <v>44</v>
      </c>
      <c r="L9" s="14"/>
      <c r="M9" s="14"/>
      <c r="N9" s="18" t="s">
        <v>539</v>
      </c>
      <c r="O9" s="18"/>
    </row>
    <row r="10" spans="11:15" ht="23.4" x14ac:dyDescent="0.45">
      <c r="K10" s="15" t="s">
        <v>41</v>
      </c>
      <c r="L10" s="16">
        <v>26205125</v>
      </c>
      <c r="M10" s="16"/>
      <c r="N10" s="18" t="s">
        <v>4</v>
      </c>
      <c r="O10" s="18" t="s">
        <v>41</v>
      </c>
    </row>
    <row r="11" spans="11:15" ht="23.4" x14ac:dyDescent="0.45">
      <c r="K11" s="15" t="s">
        <v>43</v>
      </c>
      <c r="L11" s="16">
        <v>499</v>
      </c>
      <c r="M11" s="16"/>
      <c r="N11" s="15" t="s">
        <v>36</v>
      </c>
      <c r="O11" s="16">
        <v>3169166</v>
      </c>
    </row>
    <row r="12" spans="11:15" ht="23.4" x14ac:dyDescent="0.45">
      <c r="K12" s="15" t="s">
        <v>42</v>
      </c>
      <c r="L12" s="16">
        <v>7974925</v>
      </c>
      <c r="M12" s="16"/>
      <c r="N12" s="15" t="s">
        <v>11</v>
      </c>
      <c r="O12" s="16">
        <v>3159381</v>
      </c>
    </row>
    <row r="13" spans="11:15" ht="23.4" x14ac:dyDescent="0.45">
      <c r="K13" s="14" t="s">
        <v>537</v>
      </c>
      <c r="L13" s="17">
        <f>GETPIVOTDATA("Total Profit",$K$9)/GETPIVOTDATA("Total Revenue",$K$9)</f>
        <v>0.30432692078362533</v>
      </c>
      <c r="M13" s="17"/>
      <c r="N13" s="15" t="s">
        <v>24</v>
      </c>
      <c r="O13" s="16">
        <v>3006342</v>
      </c>
    </row>
    <row r="14" spans="11:15" ht="23.4" x14ac:dyDescent="0.45">
      <c r="K14" s="8"/>
      <c r="L14" s="8"/>
      <c r="M14" s="8"/>
      <c r="N14" s="15" t="s">
        <v>32</v>
      </c>
      <c r="O14" s="16">
        <v>2879796</v>
      </c>
    </row>
    <row r="15" spans="11:15" ht="23.4" x14ac:dyDescent="0.45">
      <c r="N15" s="15" t="s">
        <v>20</v>
      </c>
      <c r="O15" s="16">
        <v>2814963</v>
      </c>
    </row>
    <row r="20" spans="11:13" ht="23.4" x14ac:dyDescent="0.45">
      <c r="K20" s="8"/>
      <c r="L20" s="8"/>
      <c r="M20" s="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documentation</vt:lpstr>
      <vt:lpstr>pivot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2026-03-23T04:02:16Z</dcterms:created>
  <dcterms:modified xsi:type="dcterms:W3CDTF">2026-03-27T06:45:16Z</dcterms:modified>
</cp:coreProperties>
</file>