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ithub -Excel\day56\"/>
    </mc:Choice>
  </mc:AlternateContent>
  <xr:revisionPtr revIDLastSave="0" documentId="13_ncr:1_{A37A3176-21F7-49AA-A121-50E1E3AA49D9}" xr6:coauthVersionLast="47" xr6:coauthVersionMax="47" xr10:uidLastSave="{00000000-0000-0000-0000-000000000000}"/>
  <bookViews>
    <workbookView xWindow="30600" yWindow="-120" windowWidth="29040" windowHeight="15720" activeTab="1" xr2:uid="{00000000-000D-0000-FFFF-FFFF00000000}"/>
  </bookViews>
  <sheets>
    <sheet name="sales_report_raw" sheetId="1" r:id="rId1"/>
    <sheet name="AUDIT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M9" i="1" s="1"/>
  <c r="K10" i="1"/>
  <c r="K11" i="1"/>
  <c r="M11" i="1" s="1"/>
  <c r="K2" i="1"/>
  <c r="J3" i="1"/>
  <c r="J4" i="1"/>
  <c r="J5" i="1"/>
  <c r="J6" i="1"/>
  <c r="J7" i="1"/>
  <c r="J8" i="1"/>
  <c r="J9" i="1"/>
  <c r="J10" i="1"/>
  <c r="J11" i="1"/>
  <c r="J2" i="1"/>
  <c r="H3" i="1"/>
  <c r="I3" i="1" s="1"/>
  <c r="H4" i="1"/>
  <c r="I4" i="1" s="1"/>
  <c r="H5" i="1"/>
  <c r="I5" i="1" s="1"/>
  <c r="M5" i="1" s="1"/>
  <c r="H6" i="1"/>
  <c r="I6" i="1" s="1"/>
  <c r="H7" i="1"/>
  <c r="I7" i="1" s="1"/>
  <c r="H8" i="1"/>
  <c r="I8" i="1" s="1"/>
  <c r="H9" i="1"/>
  <c r="I9" i="1" s="1"/>
  <c r="H10" i="1"/>
  <c r="I10" i="1" s="1"/>
  <c r="M10" i="1" s="1"/>
  <c r="H11" i="1"/>
  <c r="I11" i="1" s="1"/>
  <c r="H2" i="1"/>
  <c r="I2" i="1" s="1"/>
  <c r="F4" i="2" s="1"/>
  <c r="M3" i="1" l="1"/>
  <c r="F5" i="2"/>
  <c r="M8" i="1"/>
  <c r="M7" i="1"/>
  <c r="M6" i="1"/>
  <c r="M4" i="1"/>
  <c r="C6" i="2"/>
  <c r="E14" i="1"/>
  <c r="M2" i="1"/>
  <c r="C5" i="2"/>
  <c r="F6" i="2"/>
  <c r="E15" i="1"/>
  <c r="E16" i="1"/>
  <c r="C7" i="2" l="1"/>
  <c r="C8" i="2"/>
  <c r="C9" i="2" s="1"/>
  <c r="C4" i="2"/>
</calcChain>
</file>

<file path=xl/sharedStrings.xml><?xml version="1.0" encoding="utf-8"?>
<sst xmlns="http://schemas.openxmlformats.org/spreadsheetml/2006/main" count="147" uniqueCount="57">
  <si>
    <t>order_id</t>
  </si>
  <si>
    <t>order_date</t>
  </si>
  <si>
    <t>region</t>
  </si>
  <si>
    <t>category</t>
  </si>
  <si>
    <t>revenue</t>
  </si>
  <si>
    <t>cost</t>
  </si>
  <si>
    <t>reported_profit</t>
  </si>
  <si>
    <t>ORD201</t>
  </si>
  <si>
    <t>01-03-2025</t>
  </si>
  <si>
    <t>North</t>
  </si>
  <si>
    <t>Electronics</t>
  </si>
  <si>
    <t>ORD202</t>
  </si>
  <si>
    <t>02-03-2025</t>
  </si>
  <si>
    <t>South</t>
  </si>
  <si>
    <t>Furniture</t>
  </si>
  <si>
    <t>ORD203</t>
  </si>
  <si>
    <t>03-03-2025</t>
  </si>
  <si>
    <t>West</t>
  </si>
  <si>
    <t>ORD204</t>
  </si>
  <si>
    <t>04-03-2025</t>
  </si>
  <si>
    <t>East</t>
  </si>
  <si>
    <t>Clothing</t>
  </si>
  <si>
    <t>ORD205</t>
  </si>
  <si>
    <t>05-03-2025</t>
  </si>
  <si>
    <t>ORD206</t>
  </si>
  <si>
    <t>06-03-2025</t>
  </si>
  <si>
    <t>ORD207</t>
  </si>
  <si>
    <t>07-03-2025</t>
  </si>
  <si>
    <t>ORD208</t>
  </si>
  <si>
    <t>08-03-2025</t>
  </si>
  <si>
    <t>ORD209</t>
  </si>
  <si>
    <t>09-03-2025</t>
  </si>
  <si>
    <t xml:space="preserve"> actual_profit</t>
  </si>
  <si>
    <t xml:space="preserve"> profit_check</t>
  </si>
  <si>
    <t>missing_check</t>
  </si>
  <si>
    <t>duplicate_check</t>
  </si>
  <si>
    <t>logic_check</t>
  </si>
  <si>
    <t>Mismatch</t>
  </si>
  <si>
    <t>Missing</t>
  </si>
  <si>
    <t>Duplicate</t>
  </si>
  <si>
    <t>Audit Dashboard</t>
  </si>
  <si>
    <t>Total Records</t>
  </si>
  <si>
    <t>Total Errors</t>
  </si>
  <si>
    <t>Missing Values</t>
  </si>
  <si>
    <t>Duplicate Records</t>
  </si>
  <si>
    <t>% Clean Data</t>
  </si>
  <si>
    <t>final_status</t>
  </si>
  <si>
    <t>Error Rate</t>
  </si>
  <si>
    <t>Data Health Status</t>
  </si>
  <si>
    <t>Error Summary Table</t>
  </si>
  <si>
    <t>Issue Type</t>
  </si>
  <si>
    <t>Count</t>
  </si>
  <si>
    <t>Ok</t>
  </si>
  <si>
    <t>unique</t>
  </si>
  <si>
    <t>OK</t>
  </si>
  <si>
    <t>Error</t>
  </si>
  <si>
    <t>Sample Problematic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</si>
</sst>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4" borderId="4" xfId="0" applyFont="1" applyFill="1" applyBorder="1"/>
    <xf numFmtId="0" fontId="0" fillId="4" borderId="5" xfId="0" applyFont="1" applyFill="1" applyBorder="1"/>
    <xf numFmtId="0" fontId="0" fillId="4" borderId="6" xfId="0" applyFont="1" applyFill="1" applyBorder="1"/>
    <xf numFmtId="0" fontId="0" fillId="0" borderId="10" xfId="0" applyBorder="1" applyAlignment="1">
      <alignment horizontal="center"/>
    </xf>
    <xf numFmtId="9" fontId="0" fillId="0" borderId="10" xfId="1" applyFont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3" borderId="7" xfId="0" applyFont="1" applyFill="1" applyBorder="1"/>
    <xf numFmtId="0" fontId="0" fillId="3" borderId="8" xfId="0" applyFont="1" applyFill="1" applyBorder="1"/>
    <xf numFmtId="0" fontId="0" fillId="3" borderId="9" xfId="0" applyFont="1" applyFill="1" applyBorder="1"/>
    <xf numFmtId="0" fontId="0" fillId="6" borderId="10" xfId="0" applyFill="1" applyBorder="1" applyAlignment="1">
      <alignment horizontal="center" vertical="center"/>
    </xf>
    <xf numFmtId="0" fontId="0" fillId="6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8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CD3EC9-2679-486D-9B8F-59C317BDE1BA}" name="audit_data" displayName="audit_data" ref="A1:M11" totalsRowShown="0">
  <autoFilter ref="A1:M11" xr:uid="{7FCD3EC9-2679-486D-9B8F-59C317BDE1BA}"/>
  <tableColumns count="13">
    <tableColumn id="1" xr3:uid="{A5AAE060-A94C-486A-BC91-E6A2A6361F72}" name="order_id"/>
    <tableColumn id="2" xr3:uid="{95407E2F-F338-4203-9E8C-AA3ED541ABA3}" name="order_date"/>
    <tableColumn id="3" xr3:uid="{49A58DF5-728E-45D7-A4E7-E92FB5DEB962}" name="region"/>
    <tableColumn id="4" xr3:uid="{182278DD-BEAE-4A2F-A917-D66068AE786E}" name="category"/>
    <tableColumn id="5" xr3:uid="{7EEBDDCD-7C57-473C-8181-C36E54B54A9B}" name="revenue"/>
    <tableColumn id="6" xr3:uid="{D33485BE-DE02-46EA-A37A-093C4E1EDFAF}" name="cost"/>
    <tableColumn id="7" xr3:uid="{4A5A3184-FD1F-4BFE-8121-77DBA154F6F7}" name="reported_profit"/>
    <tableColumn id="8" xr3:uid="{8DC7C178-D430-4115-A037-22A7D8D12517}" name=" actual_profit">
      <calculatedColumnFormula>audit_data[[#This Row],[revenue]]-audit_data[[#This Row],[cost]]</calculatedColumnFormula>
    </tableColumn>
    <tableColumn id="9" xr3:uid="{BE2C48B3-9BD7-404F-8037-9D54B16897DF}" name=" profit_check">
      <calculatedColumnFormula>IF(audit_data[[#This Row],[reported_profit]]=audit_data[[#This Row],[ actual_profit]],"OK","Mismatch")</calculatedColumnFormula>
    </tableColumn>
    <tableColumn id="10" xr3:uid="{137CBE3C-5B5D-49C1-BBBE-558C8F8963D3}" name="missing_check">
      <calculatedColumnFormula>IF(OR(audit_data[[#This Row],[revenue]]="",audit_data[[#This Row],[cost]]=""),"Missing","Ok")</calculatedColumnFormula>
    </tableColumn>
    <tableColumn id="11" xr3:uid="{79C8A042-28D1-4BC2-9A5D-C2B67C2A2C8C}" name="duplicate_check">
      <calculatedColumnFormula>IF(COUNTIF(audit_data[order_id],audit_data[[#This Row],[order_id]])&gt;1,"Duplicate","unique")</calculatedColumnFormula>
    </tableColumn>
    <tableColumn id="12" xr3:uid="{0235B66E-F9A9-494E-895C-1DD14687CB08}" name="logic_check">
      <calculatedColumnFormula>IF(audit_data[[#This Row],[reported_profit]]&gt;audit_data[[#This Row],[revenue]],"Error","OK")</calculatedColumnFormula>
    </tableColumn>
    <tableColumn id="13" xr3:uid="{B06F1C73-FDAF-4E08-957A-A2D82B141089}" name="final_status">
      <calculatedColumnFormula>IF(OR(audit_data[[#This Row],[ profit_check]]="Mismatch",audit_data[[#This Row],[missing_check]]="Missing",audit_data[[#This Row],[duplicate_check]]="Duplicate",audit_data[[#This Row],[logic_check]]="Error"),"Error","Clean")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showGridLines="0" zoomScale="130" zoomScaleNormal="130" workbookViewId="0">
      <selection activeCell="M21" sqref="M21"/>
    </sheetView>
  </sheetViews>
  <sheetFormatPr defaultRowHeight="14.4" x14ac:dyDescent="0.3"/>
  <cols>
    <col min="1" max="1" width="10.33203125" customWidth="1"/>
    <col min="2" max="2" width="12.5546875" customWidth="1"/>
    <col min="4" max="4" width="10.33203125" customWidth="1"/>
    <col min="5" max="5" width="10.109375" customWidth="1"/>
    <col min="7" max="7" width="16.44140625" customWidth="1"/>
    <col min="8" max="8" width="14.5546875" bestFit="1" customWidth="1"/>
    <col min="9" max="9" width="14.33203125" bestFit="1" customWidth="1"/>
    <col min="10" max="10" width="15.6640625" bestFit="1" customWidth="1"/>
    <col min="11" max="11" width="17.33203125" customWidth="1"/>
    <col min="12" max="12" width="13" bestFit="1" customWidth="1"/>
    <col min="13" max="13" width="12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46</v>
      </c>
    </row>
    <row r="2" spans="1:13" x14ac:dyDescent="0.3">
      <c r="A2" t="s">
        <v>7</v>
      </c>
      <c r="B2" t="s">
        <v>8</v>
      </c>
      <c r="C2" t="s">
        <v>9</v>
      </c>
      <c r="D2" t="s">
        <v>10</v>
      </c>
      <c r="E2">
        <v>80000</v>
      </c>
      <c r="F2">
        <v>55000</v>
      </c>
      <c r="G2">
        <v>25000</v>
      </c>
      <c r="H2">
        <f>audit_data[[#This Row],[revenue]]-audit_data[[#This Row],[cost]]</f>
        <v>25000</v>
      </c>
      <c r="I2" t="str">
        <f>IF(audit_data[[#This Row],[reported_profit]]=audit_data[[#This Row],[ actual_profit]],"OK","Mismatch")</f>
        <v>OK</v>
      </c>
      <c r="J2" t="str">
        <f>IF(OR(audit_data[[#This Row],[revenue]]="",audit_data[[#This Row],[cost]]=""),"Missing","Ok")</f>
        <v>Ok</v>
      </c>
      <c r="K2" t="str">
        <f>IF(COUNTIF(audit_data[order_id],audit_data[[#This Row],[order_id]])&gt;1,"Duplicate","unique")</f>
        <v>unique</v>
      </c>
      <c r="L2" t="str">
        <f>IF(audit_data[[#This Row],[reported_profit]]&gt;audit_data[[#This Row],[revenue]],"Error","OK")</f>
        <v>OK</v>
      </c>
      <c r="M2" t="str">
        <f>IF(OR(audit_data[[#This Row],[ profit_check]]="Mismatch",audit_data[[#This Row],[missing_check]]="Missing",audit_data[[#This Row],[duplicate_check]]="Duplicate",audit_data[[#This Row],[logic_check]]="Error"),"Error","Clean")</f>
        <v>Clean</v>
      </c>
    </row>
    <row r="3" spans="1:13" x14ac:dyDescent="0.3">
      <c r="A3" t="s">
        <v>11</v>
      </c>
      <c r="B3" t="s">
        <v>12</v>
      </c>
      <c r="C3" t="s">
        <v>13</v>
      </c>
      <c r="D3" t="s">
        <v>14</v>
      </c>
      <c r="E3">
        <v>15000</v>
      </c>
      <c r="F3">
        <v>9000</v>
      </c>
      <c r="G3">
        <v>7000</v>
      </c>
      <c r="H3">
        <f>audit_data[[#This Row],[revenue]]-audit_data[[#This Row],[cost]]</f>
        <v>6000</v>
      </c>
      <c r="I3" t="str">
        <f>IF(audit_data[[#This Row],[reported_profit]]=audit_data[[#This Row],[ actual_profit]],"OK","Mismatch")</f>
        <v>Mismatch</v>
      </c>
      <c r="J3" t="str">
        <f>IF(OR(audit_data[[#This Row],[revenue]]="",audit_data[[#This Row],[cost]]=""),"Missing","Ok")</f>
        <v>Ok</v>
      </c>
      <c r="K3" t="str">
        <f>IF(COUNTIF(audit_data[order_id],audit_data[[#This Row],[order_id]])&gt;1,"Duplicate","unique")</f>
        <v>unique</v>
      </c>
      <c r="L3" t="str">
        <f>IF(audit_data[[#This Row],[reported_profit]]&gt;audit_data[[#This Row],[revenue]],"Error","OK")</f>
        <v>OK</v>
      </c>
      <c r="M3" t="str">
        <f>IF(OR(audit_data[[#This Row],[ profit_check]]="Mismatch",audit_data[[#This Row],[missing_check]]="Missing",audit_data[[#This Row],[duplicate_check]]="Duplicate",audit_data[[#This Row],[logic_check]]="Error"),"Error","Clean")</f>
        <v>Error</v>
      </c>
    </row>
    <row r="4" spans="1:13" x14ac:dyDescent="0.3">
      <c r="A4" t="s">
        <v>15</v>
      </c>
      <c r="B4" t="s">
        <v>16</v>
      </c>
      <c r="C4" t="s">
        <v>17</v>
      </c>
      <c r="D4" t="s">
        <v>10</v>
      </c>
      <c r="E4">
        <v>32000</v>
      </c>
      <c r="F4">
        <v>22000</v>
      </c>
      <c r="G4">
        <v>12000</v>
      </c>
      <c r="H4">
        <f>audit_data[[#This Row],[revenue]]-audit_data[[#This Row],[cost]]</f>
        <v>10000</v>
      </c>
      <c r="I4" t="str">
        <f>IF(audit_data[[#This Row],[reported_profit]]=audit_data[[#This Row],[ actual_profit]],"OK","Mismatch")</f>
        <v>Mismatch</v>
      </c>
      <c r="J4" t="str">
        <f>IF(OR(audit_data[[#This Row],[revenue]]="",audit_data[[#This Row],[cost]]=""),"Missing","Ok")</f>
        <v>Ok</v>
      </c>
      <c r="K4" t="str">
        <f>IF(COUNTIF(audit_data[order_id],audit_data[[#This Row],[order_id]])&gt;1,"Duplicate","unique")</f>
        <v>unique</v>
      </c>
      <c r="L4" t="str">
        <f>IF(audit_data[[#This Row],[reported_profit]]&gt;audit_data[[#This Row],[revenue]],"Error","OK")</f>
        <v>OK</v>
      </c>
      <c r="M4" t="str">
        <f>IF(OR(audit_data[[#This Row],[ profit_check]]="Mismatch",audit_data[[#This Row],[missing_check]]="Missing",audit_data[[#This Row],[duplicate_check]]="Duplicate",audit_data[[#This Row],[logic_check]]="Error"),"Error","Clean")</f>
        <v>Error</v>
      </c>
    </row>
    <row r="5" spans="1:13" x14ac:dyDescent="0.3">
      <c r="A5" t="s">
        <v>18</v>
      </c>
      <c r="B5" t="s">
        <v>19</v>
      </c>
      <c r="C5" t="s">
        <v>20</v>
      </c>
      <c r="D5" t="s">
        <v>21</v>
      </c>
      <c r="F5">
        <v>3000</v>
      </c>
      <c r="G5">
        <v>3000</v>
      </c>
      <c r="H5">
        <f>audit_data[[#This Row],[revenue]]-audit_data[[#This Row],[cost]]</f>
        <v>-3000</v>
      </c>
      <c r="I5" t="str">
        <f>IF(audit_data[[#This Row],[reported_profit]]=audit_data[[#This Row],[ actual_profit]],"OK","Mismatch")</f>
        <v>Mismatch</v>
      </c>
      <c r="J5" t="str">
        <f>IF(OR(audit_data[[#This Row],[revenue]]="",audit_data[[#This Row],[cost]]=""),"Missing","Ok")</f>
        <v>Missing</v>
      </c>
      <c r="K5" t="str">
        <f>IF(COUNTIF(audit_data[order_id],audit_data[[#This Row],[order_id]])&gt;1,"Duplicate","unique")</f>
        <v>unique</v>
      </c>
      <c r="L5" t="str">
        <f>IF(audit_data[[#This Row],[reported_profit]]&gt;audit_data[[#This Row],[revenue]],"Error","OK")</f>
        <v>Error</v>
      </c>
      <c r="M5" t="str">
        <f>IF(OR(audit_data[[#This Row],[ profit_check]]="Mismatch",audit_data[[#This Row],[missing_check]]="Missing",audit_data[[#This Row],[duplicate_check]]="Duplicate",audit_data[[#This Row],[logic_check]]="Error"),"Error","Clean")</f>
        <v>Error</v>
      </c>
    </row>
    <row r="6" spans="1:13" x14ac:dyDescent="0.3">
      <c r="A6" t="s">
        <v>22</v>
      </c>
      <c r="B6" t="s">
        <v>23</v>
      </c>
      <c r="C6" t="s">
        <v>9</v>
      </c>
      <c r="D6" t="s">
        <v>14</v>
      </c>
      <c r="E6">
        <v>25000</v>
      </c>
      <c r="F6">
        <v>18000</v>
      </c>
      <c r="G6">
        <v>6000</v>
      </c>
      <c r="H6">
        <f>audit_data[[#This Row],[revenue]]-audit_data[[#This Row],[cost]]</f>
        <v>7000</v>
      </c>
      <c r="I6" t="str">
        <f>IF(audit_data[[#This Row],[reported_profit]]=audit_data[[#This Row],[ actual_profit]],"OK","Mismatch")</f>
        <v>Mismatch</v>
      </c>
      <c r="J6" t="str">
        <f>IF(OR(audit_data[[#This Row],[revenue]]="",audit_data[[#This Row],[cost]]=""),"Missing","Ok")</f>
        <v>Ok</v>
      </c>
      <c r="K6" t="str">
        <f>IF(COUNTIF(audit_data[order_id],audit_data[[#This Row],[order_id]])&gt;1,"Duplicate","unique")</f>
        <v>unique</v>
      </c>
      <c r="L6" t="str">
        <f>IF(audit_data[[#This Row],[reported_profit]]&gt;audit_data[[#This Row],[revenue]],"Error","OK")</f>
        <v>OK</v>
      </c>
      <c r="M6" t="str">
        <f>IF(OR(audit_data[[#This Row],[ profit_check]]="Mismatch",audit_data[[#This Row],[missing_check]]="Missing",audit_data[[#This Row],[duplicate_check]]="Duplicate",audit_data[[#This Row],[logic_check]]="Error"),"Error","Clean")</f>
        <v>Error</v>
      </c>
    </row>
    <row r="7" spans="1:13" x14ac:dyDescent="0.3">
      <c r="A7" t="s">
        <v>24</v>
      </c>
      <c r="B7" t="s">
        <v>25</v>
      </c>
      <c r="C7" t="s">
        <v>13</v>
      </c>
      <c r="D7" t="s">
        <v>10</v>
      </c>
      <c r="E7">
        <v>85000</v>
      </c>
      <c r="F7">
        <v>60000</v>
      </c>
      <c r="G7">
        <v>30000</v>
      </c>
      <c r="H7">
        <f>audit_data[[#This Row],[revenue]]-audit_data[[#This Row],[cost]]</f>
        <v>25000</v>
      </c>
      <c r="I7" t="str">
        <f>IF(audit_data[[#This Row],[reported_profit]]=audit_data[[#This Row],[ actual_profit]],"OK","Mismatch")</f>
        <v>Mismatch</v>
      </c>
      <c r="J7" t="str">
        <f>IF(OR(audit_data[[#This Row],[revenue]]="",audit_data[[#This Row],[cost]]=""),"Missing","Ok")</f>
        <v>Ok</v>
      </c>
      <c r="K7" t="str">
        <f>IF(COUNTIF(audit_data[order_id],audit_data[[#This Row],[order_id]])&gt;1,"Duplicate","unique")</f>
        <v>Duplicate</v>
      </c>
      <c r="L7" t="str">
        <f>IF(audit_data[[#This Row],[reported_profit]]&gt;audit_data[[#This Row],[revenue]],"Error","OK")</f>
        <v>OK</v>
      </c>
      <c r="M7" t="str">
        <f>IF(OR(audit_data[[#This Row],[ profit_check]]="Mismatch",audit_data[[#This Row],[missing_check]]="Missing",audit_data[[#This Row],[duplicate_check]]="Duplicate",audit_data[[#This Row],[logic_check]]="Error"),"Error","Clean")</f>
        <v>Error</v>
      </c>
    </row>
    <row r="8" spans="1:13" x14ac:dyDescent="0.3">
      <c r="A8" t="s">
        <v>24</v>
      </c>
      <c r="B8" t="s">
        <v>25</v>
      </c>
      <c r="C8" t="s">
        <v>13</v>
      </c>
      <c r="D8" t="s">
        <v>10</v>
      </c>
      <c r="E8">
        <v>85000</v>
      </c>
      <c r="F8">
        <v>60000</v>
      </c>
      <c r="G8">
        <v>25000</v>
      </c>
      <c r="H8">
        <f>audit_data[[#This Row],[revenue]]-audit_data[[#This Row],[cost]]</f>
        <v>25000</v>
      </c>
      <c r="I8" t="str">
        <f>IF(audit_data[[#This Row],[reported_profit]]=audit_data[[#This Row],[ actual_profit]],"OK","Mismatch")</f>
        <v>OK</v>
      </c>
      <c r="J8" t="str">
        <f>IF(OR(audit_data[[#This Row],[revenue]]="",audit_data[[#This Row],[cost]]=""),"Missing","Ok")</f>
        <v>Ok</v>
      </c>
      <c r="K8" t="str">
        <f>IF(COUNTIF(audit_data[order_id],audit_data[[#This Row],[order_id]])&gt;1,"Duplicate","unique")</f>
        <v>Duplicate</v>
      </c>
      <c r="L8" t="str">
        <f>IF(audit_data[[#This Row],[reported_profit]]&gt;audit_data[[#This Row],[revenue]],"Error","OK")</f>
        <v>OK</v>
      </c>
      <c r="M8" t="str">
        <f>IF(OR(audit_data[[#This Row],[ profit_check]]="Mismatch",audit_data[[#This Row],[missing_check]]="Missing",audit_data[[#This Row],[duplicate_check]]="Duplicate",audit_data[[#This Row],[logic_check]]="Error"),"Error","Clean")</f>
        <v>Error</v>
      </c>
    </row>
    <row r="9" spans="1:13" x14ac:dyDescent="0.3">
      <c r="A9" t="s">
        <v>26</v>
      </c>
      <c r="B9" t="s">
        <v>27</v>
      </c>
      <c r="C9" t="s">
        <v>17</v>
      </c>
      <c r="D9" t="s">
        <v>21</v>
      </c>
      <c r="E9">
        <v>9000</v>
      </c>
      <c r="F9">
        <v>4500</v>
      </c>
      <c r="G9">
        <v>4500</v>
      </c>
      <c r="H9">
        <f>audit_data[[#This Row],[revenue]]-audit_data[[#This Row],[cost]]</f>
        <v>4500</v>
      </c>
      <c r="I9" t="str">
        <f>IF(audit_data[[#This Row],[reported_profit]]=audit_data[[#This Row],[ actual_profit]],"OK","Mismatch")</f>
        <v>OK</v>
      </c>
      <c r="J9" t="str">
        <f>IF(OR(audit_data[[#This Row],[revenue]]="",audit_data[[#This Row],[cost]]=""),"Missing","Ok")</f>
        <v>Ok</v>
      </c>
      <c r="K9" t="str">
        <f>IF(COUNTIF(audit_data[order_id],audit_data[[#This Row],[order_id]])&gt;1,"Duplicate","unique")</f>
        <v>unique</v>
      </c>
      <c r="L9" t="str">
        <f>IF(audit_data[[#This Row],[reported_profit]]&gt;audit_data[[#This Row],[revenue]],"Error","OK")</f>
        <v>OK</v>
      </c>
      <c r="M9" t="str">
        <f>IF(OR(audit_data[[#This Row],[ profit_check]]="Mismatch",audit_data[[#This Row],[missing_check]]="Missing",audit_data[[#This Row],[duplicate_check]]="Duplicate",audit_data[[#This Row],[logic_check]]="Error"),"Error","Clean")</f>
        <v>Clean</v>
      </c>
    </row>
    <row r="10" spans="1:13" x14ac:dyDescent="0.3">
      <c r="A10" t="s">
        <v>28</v>
      </c>
      <c r="B10" t="s">
        <v>29</v>
      </c>
      <c r="C10" t="s">
        <v>20</v>
      </c>
      <c r="D10" t="s">
        <v>10</v>
      </c>
      <c r="E10">
        <v>30000</v>
      </c>
      <c r="F10">
        <v>21000</v>
      </c>
      <c r="G10">
        <v>8000</v>
      </c>
      <c r="H10">
        <f>audit_data[[#This Row],[revenue]]-audit_data[[#This Row],[cost]]</f>
        <v>9000</v>
      </c>
      <c r="I10" t="str">
        <f>IF(audit_data[[#This Row],[reported_profit]]=audit_data[[#This Row],[ actual_profit]],"OK","Mismatch")</f>
        <v>Mismatch</v>
      </c>
      <c r="J10" t="str">
        <f>IF(OR(audit_data[[#This Row],[revenue]]="",audit_data[[#This Row],[cost]]=""),"Missing","Ok")</f>
        <v>Ok</v>
      </c>
      <c r="K10" t="str">
        <f>IF(COUNTIF(audit_data[order_id],audit_data[[#This Row],[order_id]])&gt;1,"Duplicate","unique")</f>
        <v>unique</v>
      </c>
      <c r="L10" t="str">
        <f>IF(audit_data[[#This Row],[reported_profit]]&gt;audit_data[[#This Row],[revenue]],"Error","OK")</f>
        <v>OK</v>
      </c>
      <c r="M10" t="str">
        <f>IF(OR(audit_data[[#This Row],[ profit_check]]="Mismatch",audit_data[[#This Row],[missing_check]]="Missing",audit_data[[#This Row],[duplicate_check]]="Duplicate",audit_data[[#This Row],[logic_check]]="Error"),"Error","Clean")</f>
        <v>Error</v>
      </c>
    </row>
    <row r="11" spans="1:13" x14ac:dyDescent="0.3">
      <c r="A11" t="s">
        <v>30</v>
      </c>
      <c r="B11" t="s">
        <v>31</v>
      </c>
      <c r="C11" t="s">
        <v>9</v>
      </c>
      <c r="D11" t="s">
        <v>21</v>
      </c>
      <c r="E11">
        <v>11000</v>
      </c>
      <c r="F11">
        <v>5500</v>
      </c>
      <c r="G11">
        <v>6000</v>
      </c>
      <c r="H11">
        <f>audit_data[[#This Row],[revenue]]-audit_data[[#This Row],[cost]]</f>
        <v>5500</v>
      </c>
      <c r="I11" t="str">
        <f>IF(audit_data[[#This Row],[reported_profit]]=audit_data[[#This Row],[ actual_profit]],"OK","Mismatch")</f>
        <v>Mismatch</v>
      </c>
      <c r="J11" t="str">
        <f>IF(OR(audit_data[[#This Row],[revenue]]="",audit_data[[#This Row],[cost]]=""),"Missing","Ok")</f>
        <v>Ok</v>
      </c>
      <c r="K11" t="str">
        <f>IF(COUNTIF(audit_data[order_id],audit_data[[#This Row],[order_id]])&gt;1,"Duplicate","unique")</f>
        <v>unique</v>
      </c>
      <c r="L11" t="str">
        <f>IF(audit_data[[#This Row],[reported_profit]]&gt;audit_data[[#This Row],[revenue]],"Error","OK")</f>
        <v>OK</v>
      </c>
      <c r="M11" t="str">
        <f>IF(OR(audit_data[[#This Row],[ profit_check]]="Mismatch",audit_data[[#This Row],[missing_check]]="Missing",audit_data[[#This Row],[duplicate_check]]="Duplicate",audit_data[[#This Row],[logic_check]]="Error"),"Error","Clean")</f>
        <v>Error</v>
      </c>
    </row>
    <row r="14" spans="1:13" x14ac:dyDescent="0.3">
      <c r="D14" t="s">
        <v>37</v>
      </c>
      <c r="E14">
        <f>COUNTIF(audit_data [ profit_check] ,"Mismatch")</f>
        <v>7</v>
      </c>
    </row>
    <row r="15" spans="1:13" x14ac:dyDescent="0.3">
      <c r="D15" t="s">
        <v>38</v>
      </c>
      <c r="E15">
        <f>COUNTIF(audit_data[missing_check],"Missing")</f>
        <v>1</v>
      </c>
    </row>
    <row r="16" spans="1:13" x14ac:dyDescent="0.3">
      <c r="D16" t="s">
        <v>39</v>
      </c>
      <c r="E16">
        <f>COUNTIF(audit_data[duplicate_check],"Duplicate")</f>
        <v>2</v>
      </c>
    </row>
  </sheetData>
  <conditionalFormatting sqref="L2:L11">
    <cfRule type="cellIs" dxfId="7" priority="4" operator="equal">
      <formula>"Error"</formula>
    </cfRule>
  </conditionalFormatting>
  <conditionalFormatting sqref="I1:I11">
    <cfRule type="cellIs" dxfId="6" priority="3" operator="equal">
      <formula>"Mismatch"</formula>
    </cfRule>
  </conditionalFormatting>
  <conditionalFormatting sqref="J2:J11">
    <cfRule type="cellIs" dxfId="5" priority="1" operator="equal">
      <formula>"Missing"</formula>
    </cfRule>
    <cfRule type="cellIs" dxfId="4" priority="2" operator="equal">
      <formula>"ok"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C7C9-CAA3-4673-BD9B-1CBE3DA8B778}">
  <dimension ref="B2:N19"/>
  <sheetViews>
    <sheetView showGridLines="0" tabSelected="1" zoomScale="145" zoomScaleNormal="145" workbookViewId="0">
      <selection activeCell="C22" sqref="C22"/>
    </sheetView>
  </sheetViews>
  <sheetFormatPr defaultRowHeight="14.4" x14ac:dyDescent="0.3"/>
  <cols>
    <col min="2" max="2" width="17.33203125" customWidth="1"/>
    <col min="3" max="3" width="10.5546875" bestFit="1" customWidth="1"/>
    <col min="4" max="4" width="6.33203125" bestFit="1" customWidth="1"/>
    <col min="5" max="5" width="10.109375" bestFit="1" customWidth="1"/>
    <col min="6" max="6" width="7.88671875" bestFit="1" customWidth="1"/>
    <col min="7" max="7" width="6.109375" bestFit="1" customWidth="1"/>
    <col min="8" max="8" width="14.33203125" bestFit="1" customWidth="1"/>
    <col min="9" max="9" width="12.44140625" bestFit="1" customWidth="1"/>
    <col min="10" max="10" width="12.109375" bestFit="1" customWidth="1"/>
    <col min="11" max="11" width="13.21875" bestFit="1" customWidth="1"/>
    <col min="12" max="12" width="14.88671875" bestFit="1" customWidth="1"/>
    <col min="13" max="14" width="10.77734375" bestFit="1" customWidth="1"/>
  </cols>
  <sheetData>
    <row r="2" spans="2:14" x14ac:dyDescent="0.3">
      <c r="B2" s="12" t="s">
        <v>40</v>
      </c>
      <c r="C2" s="12"/>
      <c r="E2" s="12" t="s">
        <v>49</v>
      </c>
      <c r="F2" s="12"/>
    </row>
    <row r="3" spans="2:14" x14ac:dyDescent="0.3">
      <c r="B3" s="10" t="s">
        <v>41</v>
      </c>
      <c r="C3" s="10">
        <f>COUNTA(audit_data[order_id])</f>
        <v>10</v>
      </c>
      <c r="E3" s="16" t="s">
        <v>50</v>
      </c>
      <c r="F3" s="16" t="s">
        <v>51</v>
      </c>
    </row>
    <row r="4" spans="2:14" x14ac:dyDescent="0.3">
      <c r="B4" s="10" t="s">
        <v>42</v>
      </c>
      <c r="C4" s="10">
        <f>COUNTIF(audit_data[final_status],"Error")</f>
        <v>8</v>
      </c>
      <c r="E4" s="10" t="s">
        <v>37</v>
      </c>
      <c r="F4" s="10">
        <f>COUNTIF(audit_data [ profit_check] ,"Mismatch")</f>
        <v>7</v>
      </c>
    </row>
    <row r="5" spans="2:14" x14ac:dyDescent="0.3">
      <c r="B5" s="10" t="s">
        <v>43</v>
      </c>
      <c r="C5" s="10">
        <f>COUNTIF(audit_data[missing_check],"Missing")</f>
        <v>1</v>
      </c>
      <c r="E5" s="10" t="s">
        <v>38</v>
      </c>
      <c r="F5" s="10">
        <f>COUNTIF(audit_data[missing_check],"Missing")</f>
        <v>1</v>
      </c>
    </row>
    <row r="6" spans="2:14" x14ac:dyDescent="0.3">
      <c r="B6" s="10" t="s">
        <v>44</v>
      </c>
      <c r="C6" s="10">
        <f>COUNTIF(audit_data[duplicate_check],"Duplicate")</f>
        <v>2</v>
      </c>
      <c r="E6" s="10" t="s">
        <v>39</v>
      </c>
      <c r="F6" s="10">
        <f>COUNTIF(audit_data[duplicate_check],"Duplicate")</f>
        <v>2</v>
      </c>
    </row>
    <row r="7" spans="2:14" x14ac:dyDescent="0.3">
      <c r="B7" s="10" t="s">
        <v>45</v>
      </c>
      <c r="C7" s="11">
        <f>COUNTIF(audit_data[final_status],"Clean")/COUNTA(audit_data[order_id])</f>
        <v>0.2</v>
      </c>
    </row>
    <row r="8" spans="2:14" x14ac:dyDescent="0.3">
      <c r="B8" s="10" t="s">
        <v>47</v>
      </c>
      <c r="C8" s="11">
        <f>COUNTIF(audit_data[final_status],"Error")/COUNTA(audit_data[order_id])</f>
        <v>0.8</v>
      </c>
    </row>
    <row r="9" spans="2:14" x14ac:dyDescent="0.3">
      <c r="B9" s="10" t="s">
        <v>48</v>
      </c>
      <c r="C9" s="10" t="str">
        <f>IF(C8&gt;0.5,"Poor","Good")</f>
        <v>Poor</v>
      </c>
    </row>
    <row r="11" spans="2:14" x14ac:dyDescent="0.3">
      <c r="B11" s="17" t="s">
        <v>56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2:14" ht="15" thickBot="1" x14ac:dyDescent="0.35">
      <c r="B12" s="1" t="s">
        <v>0</v>
      </c>
      <c r="C12" s="2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32</v>
      </c>
      <c r="J12" s="2" t="s">
        <v>33</v>
      </c>
      <c r="K12" s="2" t="s">
        <v>34</v>
      </c>
      <c r="L12" s="2" t="s">
        <v>35</v>
      </c>
      <c r="M12" s="2" t="s">
        <v>36</v>
      </c>
      <c r="N12" s="3" t="s">
        <v>46</v>
      </c>
    </row>
    <row r="13" spans="2:14" ht="15" thickTop="1" x14ac:dyDescent="0.3">
      <c r="B13" s="4" t="s">
        <v>11</v>
      </c>
      <c r="C13" s="5" t="s">
        <v>12</v>
      </c>
      <c r="D13" s="5" t="s">
        <v>13</v>
      </c>
      <c r="E13" s="5" t="s">
        <v>14</v>
      </c>
      <c r="F13" s="5">
        <v>15000</v>
      </c>
      <c r="G13" s="5">
        <v>9000</v>
      </c>
      <c r="H13" s="5">
        <v>7000</v>
      </c>
      <c r="I13" s="5">
        <v>6000</v>
      </c>
      <c r="J13" s="5" t="s">
        <v>37</v>
      </c>
      <c r="K13" s="5" t="s">
        <v>52</v>
      </c>
      <c r="L13" s="5" t="s">
        <v>53</v>
      </c>
      <c r="M13" s="5" t="s">
        <v>54</v>
      </c>
      <c r="N13" s="6" t="s">
        <v>55</v>
      </c>
    </row>
    <row r="14" spans="2:14" x14ac:dyDescent="0.3">
      <c r="B14" s="7" t="s">
        <v>15</v>
      </c>
      <c r="C14" s="8" t="s">
        <v>16</v>
      </c>
      <c r="D14" s="8" t="s">
        <v>17</v>
      </c>
      <c r="E14" s="8" t="s">
        <v>10</v>
      </c>
      <c r="F14" s="8">
        <v>32000</v>
      </c>
      <c r="G14" s="8">
        <v>22000</v>
      </c>
      <c r="H14" s="8">
        <v>12000</v>
      </c>
      <c r="I14" s="8">
        <v>10000</v>
      </c>
      <c r="J14" s="8" t="s">
        <v>37</v>
      </c>
      <c r="K14" s="8" t="s">
        <v>52</v>
      </c>
      <c r="L14" s="8" t="s">
        <v>53</v>
      </c>
      <c r="M14" s="8" t="s">
        <v>54</v>
      </c>
      <c r="N14" s="9" t="s">
        <v>55</v>
      </c>
    </row>
    <row r="15" spans="2:14" x14ac:dyDescent="0.3">
      <c r="B15" s="4" t="s">
        <v>18</v>
      </c>
      <c r="C15" s="5" t="s">
        <v>19</v>
      </c>
      <c r="D15" s="5" t="s">
        <v>20</v>
      </c>
      <c r="E15" s="5" t="s">
        <v>21</v>
      </c>
      <c r="F15" s="5"/>
      <c r="G15" s="5">
        <v>3000</v>
      </c>
      <c r="H15" s="5">
        <v>3000</v>
      </c>
      <c r="I15" s="5">
        <v>-3000</v>
      </c>
      <c r="J15" s="5" t="s">
        <v>37</v>
      </c>
      <c r="K15" s="5" t="s">
        <v>38</v>
      </c>
      <c r="L15" s="5" t="s">
        <v>53</v>
      </c>
      <c r="M15" s="5" t="s">
        <v>55</v>
      </c>
      <c r="N15" s="6" t="s">
        <v>55</v>
      </c>
    </row>
    <row r="16" spans="2:14" x14ac:dyDescent="0.3">
      <c r="B16" s="7" t="s">
        <v>22</v>
      </c>
      <c r="C16" s="8" t="s">
        <v>23</v>
      </c>
      <c r="D16" s="8" t="s">
        <v>9</v>
      </c>
      <c r="E16" s="8" t="s">
        <v>14</v>
      </c>
      <c r="F16" s="8">
        <v>25000</v>
      </c>
      <c r="G16" s="8">
        <v>18000</v>
      </c>
      <c r="H16" s="8">
        <v>6000</v>
      </c>
      <c r="I16" s="8">
        <v>7000</v>
      </c>
      <c r="J16" s="8" t="s">
        <v>37</v>
      </c>
      <c r="K16" s="8" t="s">
        <v>52</v>
      </c>
      <c r="L16" s="8" t="s">
        <v>53</v>
      </c>
      <c r="M16" s="8" t="s">
        <v>54</v>
      </c>
      <c r="N16" s="9" t="s">
        <v>55</v>
      </c>
    </row>
    <row r="17" spans="2:14" x14ac:dyDescent="0.3">
      <c r="B17" s="4" t="s">
        <v>24</v>
      </c>
      <c r="C17" s="5" t="s">
        <v>25</v>
      </c>
      <c r="D17" s="5" t="s">
        <v>13</v>
      </c>
      <c r="E17" s="5" t="s">
        <v>10</v>
      </c>
      <c r="F17" s="5">
        <v>85000</v>
      </c>
      <c r="G17" s="5">
        <v>60000</v>
      </c>
      <c r="H17" s="5">
        <v>30000</v>
      </c>
      <c r="I17" s="5">
        <v>25000</v>
      </c>
      <c r="J17" s="5" t="s">
        <v>37</v>
      </c>
      <c r="K17" s="5" t="s">
        <v>52</v>
      </c>
      <c r="L17" s="5" t="s">
        <v>39</v>
      </c>
      <c r="M17" s="5" t="s">
        <v>54</v>
      </c>
      <c r="N17" s="6" t="s">
        <v>55</v>
      </c>
    </row>
    <row r="18" spans="2:14" x14ac:dyDescent="0.3">
      <c r="B18" s="7" t="s">
        <v>28</v>
      </c>
      <c r="C18" s="8" t="s">
        <v>29</v>
      </c>
      <c r="D18" s="8" t="s">
        <v>20</v>
      </c>
      <c r="E18" s="8" t="s">
        <v>10</v>
      </c>
      <c r="F18" s="8">
        <v>30000</v>
      </c>
      <c r="G18" s="8">
        <v>21000</v>
      </c>
      <c r="H18" s="8">
        <v>8000</v>
      </c>
      <c r="I18" s="8">
        <v>9000</v>
      </c>
      <c r="J18" s="8" t="s">
        <v>37</v>
      </c>
      <c r="K18" s="8" t="s">
        <v>52</v>
      </c>
      <c r="L18" s="8" t="s">
        <v>53</v>
      </c>
      <c r="M18" s="8" t="s">
        <v>54</v>
      </c>
      <c r="N18" s="9" t="s">
        <v>55</v>
      </c>
    </row>
    <row r="19" spans="2:14" x14ac:dyDescent="0.3">
      <c r="B19" s="13" t="s">
        <v>30</v>
      </c>
      <c r="C19" s="14" t="s">
        <v>31</v>
      </c>
      <c r="D19" s="14" t="s">
        <v>9</v>
      </c>
      <c r="E19" s="14" t="s">
        <v>21</v>
      </c>
      <c r="F19" s="14">
        <v>11000</v>
      </c>
      <c r="G19" s="14">
        <v>5500</v>
      </c>
      <c r="H19" s="14">
        <v>6000</v>
      </c>
      <c r="I19" s="14">
        <v>5500</v>
      </c>
      <c r="J19" s="14" t="s">
        <v>37</v>
      </c>
      <c r="K19" s="14" t="s">
        <v>52</v>
      </c>
      <c r="L19" s="14" t="s">
        <v>53</v>
      </c>
      <c r="M19" s="14" t="s">
        <v>54</v>
      </c>
      <c r="N19" s="15" t="s">
        <v>55</v>
      </c>
    </row>
  </sheetData>
  <mergeCells count="3">
    <mergeCell ref="B2:C2"/>
    <mergeCell ref="E2:F2"/>
    <mergeCell ref="B11:N11"/>
  </mergeCells>
  <conditionalFormatting sqref="J12:J19">
    <cfRule type="cellIs" dxfId="3" priority="4" operator="equal">
      <formula>"Mismatch"</formula>
    </cfRule>
  </conditionalFormatting>
  <conditionalFormatting sqref="M13:M19">
    <cfRule type="cellIs" dxfId="2" priority="3" operator="equal">
      <formula>"Error"</formula>
    </cfRule>
  </conditionalFormatting>
  <conditionalFormatting sqref="K13:K19">
    <cfRule type="cellIs" dxfId="1" priority="1" operator="equal">
      <formula>"Missing"</formula>
    </cfRule>
    <cfRule type="cellIs" dxfId="0" priority="2" operator="equal">
      <formula>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sales_report_raw</vt:lpstr>
      <vt:lpstr>AUDIT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saideep pallela</cp:lastModifiedBy>
  <dcterms:created xsi:type="dcterms:W3CDTF">2026-03-24T02:49:18Z</dcterms:created>
  <dcterms:modified xsi:type="dcterms:W3CDTF">2026-03-24T04:30:15Z</dcterms:modified>
</cp:coreProperties>
</file>