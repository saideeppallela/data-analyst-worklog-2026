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 -Excel\DAY44\"/>
    </mc:Choice>
  </mc:AlternateContent>
  <xr:revisionPtr revIDLastSave="0" documentId="13_ncr:1_{B514055F-7060-494F-B626-9D8B17C138D3}" xr6:coauthVersionLast="47" xr6:coauthVersionMax="47" xr10:uidLastSave="{00000000-0000-0000-0000-000000000000}"/>
  <bookViews>
    <workbookView xWindow="30600" yWindow="-120" windowWidth="29040" windowHeight="15720" activeTab="1" xr2:uid="{00000000-000D-0000-FFFF-FFFF00000000}"/>
  </bookViews>
  <sheets>
    <sheet name="ERP_Report" sheetId="1" r:id="rId1"/>
    <sheet name="CRM_Re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F8" i="2"/>
  <c r="F9" i="2"/>
  <c r="F10" i="2"/>
  <c r="F11" i="2"/>
  <c r="F12" i="2"/>
  <c r="F2" i="2"/>
  <c r="F3" i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2" i="1"/>
  <c r="G2" i="1" s="1"/>
  <c r="H13" i="1" l="1"/>
  <c r="G3" i="1"/>
  <c r="H3" i="1" s="1"/>
  <c r="H2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<sst xmlns="http://schemas.openxmlformats.org/spreadsheetml/2006/main" count="83" uniqueCount="22">
  <si>
    <t>order_id</t>
  </si>
  <si>
    <t>customer</t>
  </si>
  <si>
    <t>product</t>
  </si>
  <si>
    <t>region</t>
  </si>
  <si>
    <t>revenue</t>
  </si>
  <si>
    <t>Amazon</t>
  </si>
  <si>
    <t>Laptop</t>
  </si>
  <si>
    <t>North</t>
  </si>
  <si>
    <t>Flipkart</t>
  </si>
  <si>
    <t>Mouse</t>
  </si>
  <si>
    <t>South</t>
  </si>
  <si>
    <t>Croma</t>
  </si>
  <si>
    <t>Keyboard</t>
  </si>
  <si>
    <t>West</t>
  </si>
  <si>
    <t>Reliance</t>
  </si>
  <si>
    <t>Monitor</t>
  </si>
  <si>
    <t>East</t>
  </si>
  <si>
    <t>TataCliq</t>
  </si>
  <si>
    <t>crm_revenue</t>
  </si>
  <si>
    <t>revenue_difference</t>
  </si>
  <si>
    <t>reconciliation_status</t>
  </si>
  <si>
    <t>erp_check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</si>
</sst>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</cellXfs>
  <cellStyles count="1">
    <cellStyle name="Normal" xfId="0" builtinId="0"/>
  </cellStyles>
  <dxfs count="16"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14848-E73E-42A7-9B2B-A42DF4267E0F}" name="erp_report" displayName="erp_report" ref="A1:H13" totalsRowShown="0" dataDxfId="4">
  <autoFilter ref="A1:H13" xr:uid="{AB114848-E73E-42A7-9B2B-A42DF4267E0F}"/>
  <tableColumns count="8">
    <tableColumn id="1" xr3:uid="{CDFF81A2-DD7C-495B-95D9-135E20C80164}" name="order_id" dataDxfId="10"/>
    <tableColumn id="2" xr3:uid="{37BEDABC-250D-4E4D-93E2-FB609C31B347}" name="customer" dataDxfId="9"/>
    <tableColumn id="3" xr3:uid="{E7039133-F2A1-4CA9-8991-297E59CF9D6D}" name="product" dataDxfId="8"/>
    <tableColumn id="4" xr3:uid="{B81B0F8A-F305-464B-82FD-C91735AA508C}" name="region" dataDxfId="7"/>
    <tableColumn id="5" xr3:uid="{2A0DDDDD-07EB-471A-8C3F-0869622DAB3E}" name="revenue" dataDxfId="6"/>
    <tableColumn id="6" xr3:uid="{A80BF905-8B7D-41A7-9AB1-487A10795F14}" name="crm_revenue" dataDxfId="5">
      <calculatedColumnFormula>_xlfn.XLOOKUP(erp_report[[#This Row],[order_id]],crm_report[order_id],crm_report[revenue],"Missing")</calculatedColumnFormula>
    </tableColumn>
    <tableColumn id="7" xr3:uid="{F6B4411D-F35D-47F3-9498-D4C8DC153757}" name="revenue_difference" dataDxfId="3">
      <calculatedColumnFormula>erp_report[[#This Row],[revenue]]-erp_report[[#This Row],[crm_revenue]]</calculatedColumnFormula>
    </tableColumn>
    <tableColumn id="8" xr3:uid="{66EC3624-6D87-41E1-A54A-D26E0C9A9244}" name="reconciliation_status" dataDxfId="2">
      <calculatedColumnFormula>IF(erp_report[[#This Row],[crm_revenue]]="Missing","Missing in CRM",IF(erp_report[[#This Row],[revenue_difference]]=0,"Matched","Mismatch"))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F81DACB-30F0-48E4-AA51-B95262D745E1}" name="crm_report" displayName="crm_report" ref="A1:F12" totalsRowShown="0" dataDxfId="11">
  <autoFilter ref="A1:F12" xr:uid="{9F81DACB-30F0-48E4-AA51-B95262D745E1}"/>
  <tableColumns count="6">
    <tableColumn id="1" xr3:uid="{6C7E8FA9-60C9-4B09-A7CC-790C19C2E182}" name="order_id" dataDxfId="15"/>
    <tableColumn id="2" xr3:uid="{6DA30C65-6B17-4E30-9710-07E48F939950}" name="customer" dataDxfId="14"/>
    <tableColumn id="3" xr3:uid="{4AA56A14-C190-4032-A3EC-41B40C9D81CC}" name="product" dataDxfId="13"/>
    <tableColumn id="4" xr3:uid="{E91E51E7-0198-471A-A6B5-B8E849F9A742}" name="region" dataDxfId="12"/>
    <tableColumn id="5" xr3:uid="{F775F016-F2F0-450B-B2C0-FFB61D95701B}" name="revenue" dataDxfId="1"/>
    <tableColumn id="6" xr3:uid="{89AC7995-ADC4-4D10-9924-7F4C3698394D}" name="erp_check" dataDxfId="0">
      <calculatedColumnFormula>_xlfn.XLOOKUP(crm_report[[#This Row],[order_id]],erp_report[order_id],erp_report[order_id],"Missing")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zoomScale="145" zoomScaleNormal="145" workbookViewId="0">
      <selection activeCell="H4" sqref="H4"/>
    </sheetView>
  </sheetViews>
  <sheetFormatPr defaultRowHeight="14.4" x14ac:dyDescent="0.3"/>
  <cols>
    <col min="1" max="1" width="10.33203125" customWidth="1"/>
    <col min="2" max="2" width="11" customWidth="1"/>
    <col min="3" max="3" width="9.5546875" customWidth="1"/>
    <col min="5" max="5" width="10.109375" customWidth="1"/>
    <col min="6" max="6" width="14.33203125" bestFit="1" customWidth="1"/>
    <col min="7" max="7" width="19.88671875" bestFit="1" customWidth="1"/>
    <col min="8" max="8" width="20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  <c r="G1" t="s">
        <v>19</v>
      </c>
      <c r="H1" s="2" t="s">
        <v>20</v>
      </c>
    </row>
    <row r="2" spans="1:8" x14ac:dyDescent="0.3">
      <c r="A2" s="1">
        <v>10001</v>
      </c>
      <c r="B2" s="1" t="s">
        <v>5</v>
      </c>
      <c r="C2" s="1" t="s">
        <v>6</v>
      </c>
      <c r="D2" s="1" t="s">
        <v>7</v>
      </c>
      <c r="E2" s="1">
        <v>225000</v>
      </c>
      <c r="F2" s="1">
        <f>_xlfn.XLOOKUP(erp_report[[#This Row],[order_id]],crm_report[order_id],crm_report[revenue],"Missing")</f>
        <v>225000</v>
      </c>
      <c r="G2" s="1">
        <f>erp_report[[#This Row],[revenue]]-erp_report[[#This Row],[crm_revenue]]</f>
        <v>0</v>
      </c>
      <c r="H2" s="3" t="str">
        <f>IF(erp_report[[#This Row],[crm_revenue]]="Missing","Missing in CRM",IF(erp_report[[#This Row],[revenue_difference]]=0,"Matched","Mismatch"))</f>
        <v>Matched</v>
      </c>
    </row>
    <row r="3" spans="1:8" x14ac:dyDescent="0.3">
      <c r="A3" s="1">
        <v>10002</v>
      </c>
      <c r="B3" s="1" t="s">
        <v>8</v>
      </c>
      <c r="C3" s="1" t="s">
        <v>9</v>
      </c>
      <c r="D3" s="1" t="s">
        <v>10</v>
      </c>
      <c r="E3" s="1">
        <v>32000</v>
      </c>
      <c r="F3" s="1">
        <f>_xlfn.XLOOKUP(erp_report[[#This Row],[order_id]],crm_report[order_id],crm_report[revenue],"Missing")</f>
        <v>32000</v>
      </c>
      <c r="G3" s="1">
        <f>erp_report[[#This Row],[revenue]]-erp_report[[#This Row],[crm_revenue]]</f>
        <v>0</v>
      </c>
      <c r="H3" s="3" t="str">
        <f>IF(erp_report[[#This Row],[crm_revenue]]="Missing","Missing in CRM",IF(erp_report[[#This Row],[revenue_difference]]=0,"Matched","Mismatch"))</f>
        <v>Matched</v>
      </c>
    </row>
    <row r="4" spans="1:8" x14ac:dyDescent="0.3">
      <c r="A4" s="1">
        <v>10003</v>
      </c>
      <c r="B4" s="1" t="s">
        <v>11</v>
      </c>
      <c r="C4" s="1" t="s">
        <v>12</v>
      </c>
      <c r="D4" s="1" t="s">
        <v>13</v>
      </c>
      <c r="E4" s="1">
        <v>22500</v>
      </c>
      <c r="F4" s="1">
        <f>_xlfn.XLOOKUP(erp_report[[#This Row],[order_id]],crm_report[order_id],crm_report[revenue],"Missing")</f>
        <v>22500</v>
      </c>
      <c r="G4" s="1">
        <f>erp_report[[#This Row],[revenue]]-erp_report[[#This Row],[crm_revenue]]</f>
        <v>0</v>
      </c>
      <c r="H4" s="3" t="str">
        <f>IF(erp_report[[#This Row],[crm_revenue]]="Missing","Missing in CRM",IF(erp_report[[#This Row],[revenue_difference]]=0,"Matched","Mismatch"))</f>
        <v>Matched</v>
      </c>
    </row>
    <row r="5" spans="1:8" x14ac:dyDescent="0.3">
      <c r="A5" s="1">
        <v>10004</v>
      </c>
      <c r="B5" s="1" t="s">
        <v>14</v>
      </c>
      <c r="C5" s="1" t="s">
        <v>15</v>
      </c>
      <c r="D5" s="1" t="s">
        <v>16</v>
      </c>
      <c r="E5" s="1">
        <v>144000</v>
      </c>
      <c r="F5" s="1">
        <f>_xlfn.XLOOKUP(erp_report[[#This Row],[order_id]],crm_report[order_id],crm_report[revenue],"Missing")</f>
        <v>144000</v>
      </c>
      <c r="G5" s="1">
        <f>erp_report[[#This Row],[revenue]]-erp_report[[#This Row],[crm_revenue]]</f>
        <v>0</v>
      </c>
      <c r="H5" s="3" t="str">
        <f>IF(erp_report[[#This Row],[crm_revenue]]="Missing","Missing in CRM",IF(erp_report[[#This Row],[revenue_difference]]=0,"Matched","Mismatch"))</f>
        <v>Matched</v>
      </c>
    </row>
    <row r="6" spans="1:8" x14ac:dyDescent="0.3">
      <c r="A6" s="1">
        <v>10005</v>
      </c>
      <c r="B6" s="1" t="s">
        <v>5</v>
      </c>
      <c r="C6" s="1" t="s">
        <v>6</v>
      </c>
      <c r="D6" s="1" t="s">
        <v>10</v>
      </c>
      <c r="E6" s="1">
        <v>152000</v>
      </c>
      <c r="F6" s="1">
        <f>_xlfn.XLOOKUP(erp_report[[#This Row],[order_id]],crm_report[order_id],crm_report[revenue],"Missing")</f>
        <v>150000</v>
      </c>
      <c r="G6" s="1">
        <f>erp_report[[#This Row],[revenue]]-erp_report[[#This Row],[crm_revenue]]</f>
        <v>2000</v>
      </c>
      <c r="H6" s="3" t="str">
        <f>IF(erp_report[[#This Row],[crm_revenue]]="Missing","Missing in CRM",IF(erp_report[[#This Row],[revenue_difference]]=0,"Matched","Mismatch"))</f>
        <v>Mismatch</v>
      </c>
    </row>
    <row r="7" spans="1:8" x14ac:dyDescent="0.3">
      <c r="A7" s="1">
        <v>10006</v>
      </c>
      <c r="B7" s="1" t="s">
        <v>17</v>
      </c>
      <c r="C7" s="1" t="s">
        <v>9</v>
      </c>
      <c r="D7" s="1" t="s">
        <v>7</v>
      </c>
      <c r="E7" s="1">
        <v>24000</v>
      </c>
      <c r="F7" s="1">
        <f>_xlfn.XLOOKUP(erp_report[[#This Row],[order_id]],crm_report[order_id],crm_report[revenue],"Missing")</f>
        <v>24000</v>
      </c>
      <c r="G7" s="1">
        <f>erp_report[[#This Row],[revenue]]-erp_report[[#This Row],[crm_revenue]]</f>
        <v>0</v>
      </c>
      <c r="H7" s="3" t="str">
        <f>IF(erp_report[[#This Row],[crm_revenue]]="Missing","Missing in CRM",IF(erp_report[[#This Row],[revenue_difference]]=0,"Matched","Mismatch"))</f>
        <v>Matched</v>
      </c>
    </row>
    <row r="8" spans="1:8" x14ac:dyDescent="0.3">
      <c r="A8" s="1">
        <v>10007</v>
      </c>
      <c r="B8" s="1" t="s">
        <v>11</v>
      </c>
      <c r="C8" s="1" t="s">
        <v>12</v>
      </c>
      <c r="D8" s="1" t="s">
        <v>16</v>
      </c>
      <c r="E8" s="1">
        <v>32000</v>
      </c>
      <c r="F8" s="1">
        <f>_xlfn.XLOOKUP(erp_report[[#This Row],[order_id]],crm_report[order_id],crm_report[revenue],"Missing")</f>
        <v>32000</v>
      </c>
      <c r="G8" s="1">
        <f>erp_report[[#This Row],[revenue]]-erp_report[[#This Row],[crm_revenue]]</f>
        <v>0</v>
      </c>
      <c r="H8" s="3" t="str">
        <f>IF(erp_report[[#This Row],[crm_revenue]]="Missing","Missing in CRM",IF(erp_report[[#This Row],[revenue_difference]]=0,"Matched","Mismatch"))</f>
        <v>Matched</v>
      </c>
    </row>
    <row r="9" spans="1:8" x14ac:dyDescent="0.3">
      <c r="A9" s="1">
        <v>10008</v>
      </c>
      <c r="B9" s="1" t="s">
        <v>14</v>
      </c>
      <c r="C9" s="1" t="s">
        <v>15</v>
      </c>
      <c r="D9" s="1" t="s">
        <v>13</v>
      </c>
      <c r="E9" s="1">
        <v>105000</v>
      </c>
      <c r="F9" s="1">
        <f>_xlfn.XLOOKUP(erp_report[[#This Row],[order_id]],crm_report[order_id],crm_report[revenue],"Missing")</f>
        <v>105000</v>
      </c>
      <c r="G9" s="1">
        <f>erp_report[[#This Row],[revenue]]-erp_report[[#This Row],[crm_revenue]]</f>
        <v>0</v>
      </c>
      <c r="H9" s="3" t="str">
        <f>IF(erp_report[[#This Row],[crm_revenue]]="Missing","Missing in CRM",IF(erp_report[[#This Row],[revenue_difference]]=0,"Matched","Mismatch"))</f>
        <v>Matched</v>
      </c>
    </row>
    <row r="10" spans="1:8" x14ac:dyDescent="0.3">
      <c r="A10" s="1">
        <v>10009</v>
      </c>
      <c r="B10" s="1" t="s">
        <v>5</v>
      </c>
      <c r="C10" s="1" t="s">
        <v>6</v>
      </c>
      <c r="D10" s="1" t="s">
        <v>16</v>
      </c>
      <c r="E10" s="1">
        <v>308000</v>
      </c>
      <c r="F10" s="1">
        <f>_xlfn.XLOOKUP(erp_report[[#This Row],[order_id]],crm_report[order_id],crm_report[revenue],"Missing")</f>
        <v>308000</v>
      </c>
      <c r="G10" s="1">
        <f>erp_report[[#This Row],[revenue]]-erp_report[[#This Row],[crm_revenue]]</f>
        <v>0</v>
      </c>
      <c r="H10" s="3" t="str">
        <f>IF(erp_report[[#This Row],[crm_revenue]]="Missing","Missing in CRM",IF(erp_report[[#This Row],[revenue_difference]]=0,"Matched","Mismatch"))</f>
        <v>Matched</v>
      </c>
    </row>
    <row r="11" spans="1:8" x14ac:dyDescent="0.3">
      <c r="A11" s="1">
        <v>10010</v>
      </c>
      <c r="B11" s="1" t="s">
        <v>8</v>
      </c>
      <c r="C11" s="1" t="s">
        <v>9</v>
      </c>
      <c r="D11" s="1" t="s">
        <v>13</v>
      </c>
      <c r="E11" s="1">
        <v>39000</v>
      </c>
      <c r="F11" s="1">
        <f>_xlfn.XLOOKUP(erp_report[[#This Row],[order_id]],crm_report[order_id],crm_report[revenue],"Missing")</f>
        <v>39000</v>
      </c>
      <c r="G11" s="1">
        <f>erp_report[[#This Row],[revenue]]-erp_report[[#This Row],[crm_revenue]]</f>
        <v>0</v>
      </c>
      <c r="H11" s="3" t="str">
        <f>IF(erp_report[[#This Row],[crm_revenue]]="Missing","Missing in CRM",IF(erp_report[[#This Row],[revenue_difference]]=0,"Matched","Mismatch"))</f>
        <v>Matched</v>
      </c>
    </row>
    <row r="12" spans="1:8" x14ac:dyDescent="0.3">
      <c r="A12" s="1">
        <v>10011</v>
      </c>
      <c r="B12" s="1" t="s">
        <v>5</v>
      </c>
      <c r="C12" s="1" t="s">
        <v>6</v>
      </c>
      <c r="D12" s="1" t="s">
        <v>7</v>
      </c>
      <c r="E12" s="1">
        <v>150000</v>
      </c>
      <c r="F12" s="1" t="str">
        <f>_xlfn.XLOOKUP(erp_report[[#This Row],[order_id]],crm_report[order_id],crm_report[revenue],"Missing")</f>
        <v>Missing</v>
      </c>
      <c r="G12" s="1" t="e">
        <f>erp_report[[#This Row],[revenue]]-erp_report[[#This Row],[crm_revenue]]</f>
        <v>#VALUE!</v>
      </c>
      <c r="H12" s="3" t="str">
        <f>IF(erp_report[[#This Row],[crm_revenue]]="Missing","Missing in CRM",IF(erp_report[[#This Row],[revenue_difference]]=0,"Matched","Mismatch"))</f>
        <v>Missing in CRM</v>
      </c>
    </row>
    <row r="13" spans="1:8" x14ac:dyDescent="0.3">
      <c r="A13" s="1">
        <v>10012</v>
      </c>
      <c r="B13" s="1" t="s">
        <v>11</v>
      </c>
      <c r="C13" s="1" t="s">
        <v>12</v>
      </c>
      <c r="D13" s="1" t="s">
        <v>10</v>
      </c>
      <c r="E13" s="1">
        <v>27000</v>
      </c>
      <c r="F13" s="1" t="str">
        <f>_xlfn.XLOOKUP(erp_report[[#This Row],[order_id]],crm_report[order_id],crm_report[revenue],"Missing")</f>
        <v>Missing</v>
      </c>
      <c r="G13" s="1" t="e">
        <f>erp_report[[#This Row],[revenue]]-erp_report[[#This Row],[crm_revenue]]</f>
        <v>#VALUE!</v>
      </c>
      <c r="H13" s="3" t="str">
        <f>IF(erp_report[[#This Row],[crm_revenue]]="Missing","Missing in CRM",IF(erp_report[[#This Row],[revenue_difference]]=0,"Matched","Mismatch"))</f>
        <v>Missing in CRM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tabSelected="1" zoomScale="160" zoomScaleNormal="160" workbookViewId="0">
      <selection activeCell="F5" sqref="F5"/>
    </sheetView>
  </sheetViews>
  <sheetFormatPr defaultRowHeight="14.4" x14ac:dyDescent="0.3"/>
  <cols>
    <col min="1" max="1" width="10.33203125" customWidth="1"/>
    <col min="2" max="2" width="11" customWidth="1"/>
    <col min="3" max="3" width="9.5546875" customWidth="1"/>
    <col min="5" max="5" width="10.109375" customWidth="1"/>
    <col min="6" max="6" width="11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21</v>
      </c>
    </row>
    <row r="2" spans="1:6" x14ac:dyDescent="0.3">
      <c r="A2" s="1">
        <v>10001</v>
      </c>
      <c r="B2" s="1" t="s">
        <v>5</v>
      </c>
      <c r="C2" s="1" t="s">
        <v>6</v>
      </c>
      <c r="D2" s="1" t="s">
        <v>7</v>
      </c>
      <c r="E2" s="1">
        <v>225000</v>
      </c>
      <c r="F2" s="3">
        <f>_xlfn.XLOOKUP(crm_report[[#This Row],[order_id]],erp_report[order_id],erp_report[order_id],"Missing")</f>
        <v>10001</v>
      </c>
    </row>
    <row r="3" spans="1:6" x14ac:dyDescent="0.3">
      <c r="A3" s="1">
        <v>10002</v>
      </c>
      <c r="B3" s="1" t="s">
        <v>8</v>
      </c>
      <c r="C3" s="1" t="s">
        <v>9</v>
      </c>
      <c r="D3" s="1" t="s">
        <v>10</v>
      </c>
      <c r="E3" s="1">
        <v>32000</v>
      </c>
      <c r="F3" s="3">
        <f>_xlfn.XLOOKUP(crm_report[[#This Row],[order_id]],erp_report[order_id],erp_report[order_id],"Missing")</f>
        <v>10002</v>
      </c>
    </row>
    <row r="4" spans="1:6" x14ac:dyDescent="0.3">
      <c r="A4" s="1">
        <v>10003</v>
      </c>
      <c r="B4" s="1" t="s">
        <v>11</v>
      </c>
      <c r="C4" s="1" t="s">
        <v>12</v>
      </c>
      <c r="D4" s="1" t="s">
        <v>13</v>
      </c>
      <c r="E4" s="1">
        <v>22500</v>
      </c>
      <c r="F4" s="3">
        <f>_xlfn.XLOOKUP(crm_report[[#This Row],[order_id]],erp_report[order_id],erp_report[order_id],"Missing")</f>
        <v>10003</v>
      </c>
    </row>
    <row r="5" spans="1:6" x14ac:dyDescent="0.3">
      <c r="A5" s="1">
        <v>10004</v>
      </c>
      <c r="B5" s="1" t="s">
        <v>14</v>
      </c>
      <c r="C5" s="1" t="s">
        <v>15</v>
      </c>
      <c r="D5" s="1" t="s">
        <v>16</v>
      </c>
      <c r="E5" s="1">
        <v>144000</v>
      </c>
      <c r="F5" s="3">
        <f>_xlfn.XLOOKUP(crm_report[[#This Row],[order_id]],erp_report[order_id],erp_report[order_id],"Missing")</f>
        <v>10004</v>
      </c>
    </row>
    <row r="6" spans="1:6" x14ac:dyDescent="0.3">
      <c r="A6" s="1">
        <v>10005</v>
      </c>
      <c r="B6" s="1" t="s">
        <v>5</v>
      </c>
      <c r="C6" s="1" t="s">
        <v>6</v>
      </c>
      <c r="D6" s="1" t="s">
        <v>10</v>
      </c>
      <c r="E6" s="1">
        <v>150000</v>
      </c>
      <c r="F6" s="3">
        <f>_xlfn.XLOOKUP(crm_report[[#This Row],[order_id]],erp_report[order_id],erp_report[order_id],"Missing")</f>
        <v>10005</v>
      </c>
    </row>
    <row r="7" spans="1:6" x14ac:dyDescent="0.3">
      <c r="A7" s="1">
        <v>10006</v>
      </c>
      <c r="B7" s="1" t="s">
        <v>17</v>
      </c>
      <c r="C7" s="1" t="s">
        <v>9</v>
      </c>
      <c r="D7" s="1" t="s">
        <v>7</v>
      </c>
      <c r="E7" s="1">
        <v>24000</v>
      </c>
      <c r="F7" s="3">
        <f>_xlfn.XLOOKUP(crm_report[[#This Row],[order_id]],erp_report[order_id],erp_report[order_id],"Missing")</f>
        <v>10006</v>
      </c>
    </row>
    <row r="8" spans="1:6" x14ac:dyDescent="0.3">
      <c r="A8" s="1">
        <v>10007</v>
      </c>
      <c r="B8" s="1" t="s">
        <v>11</v>
      </c>
      <c r="C8" s="1" t="s">
        <v>12</v>
      </c>
      <c r="D8" s="1" t="s">
        <v>16</v>
      </c>
      <c r="E8" s="1">
        <v>32000</v>
      </c>
      <c r="F8" s="3">
        <f>_xlfn.XLOOKUP(crm_report[[#This Row],[order_id]],erp_report[order_id],erp_report[order_id],"Missing")</f>
        <v>10007</v>
      </c>
    </row>
    <row r="9" spans="1:6" x14ac:dyDescent="0.3">
      <c r="A9" s="1">
        <v>10008</v>
      </c>
      <c r="B9" s="1" t="s">
        <v>14</v>
      </c>
      <c r="C9" s="1" t="s">
        <v>15</v>
      </c>
      <c r="D9" s="1" t="s">
        <v>13</v>
      </c>
      <c r="E9" s="1">
        <v>105000</v>
      </c>
      <c r="F9" s="3">
        <f>_xlfn.XLOOKUP(crm_report[[#This Row],[order_id]],erp_report[order_id],erp_report[order_id],"Missing")</f>
        <v>10008</v>
      </c>
    </row>
    <row r="10" spans="1:6" x14ac:dyDescent="0.3">
      <c r="A10" s="1">
        <v>10009</v>
      </c>
      <c r="B10" s="1" t="s">
        <v>5</v>
      </c>
      <c r="C10" s="1" t="s">
        <v>6</v>
      </c>
      <c r="D10" s="1" t="s">
        <v>16</v>
      </c>
      <c r="E10" s="1">
        <v>308000</v>
      </c>
      <c r="F10" s="3">
        <f>_xlfn.XLOOKUP(crm_report[[#This Row],[order_id]],erp_report[order_id],erp_report[order_id],"Missing")</f>
        <v>10009</v>
      </c>
    </row>
    <row r="11" spans="1:6" x14ac:dyDescent="0.3">
      <c r="A11" s="1">
        <v>10010</v>
      </c>
      <c r="B11" s="1" t="s">
        <v>8</v>
      </c>
      <c r="C11" s="1" t="s">
        <v>9</v>
      </c>
      <c r="D11" s="1" t="s">
        <v>13</v>
      </c>
      <c r="E11" s="1">
        <v>39000</v>
      </c>
      <c r="F11" s="3">
        <f>_xlfn.XLOOKUP(crm_report[[#This Row],[order_id]],erp_report[order_id],erp_report[order_id],"Missing")</f>
        <v>10010</v>
      </c>
    </row>
    <row r="12" spans="1:6" x14ac:dyDescent="0.3">
      <c r="A12" s="1">
        <v>10013</v>
      </c>
      <c r="B12" s="1" t="s">
        <v>5</v>
      </c>
      <c r="C12" s="1" t="s">
        <v>6</v>
      </c>
      <c r="D12" s="1" t="s">
        <v>7</v>
      </c>
      <c r="E12" s="1">
        <v>76000</v>
      </c>
      <c r="F12" s="3" t="str">
        <f>_xlfn.XLOOKUP(crm_report[[#This Row],[order_id]],erp_report[order_id],erp_report[order_id],"Missing")</f>
        <v>Missing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ERP_Report</vt:lpstr>
      <vt:lpstr>CRM_Report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saideep pallela</cp:lastModifiedBy>
  <dcterms:created xsi:type="dcterms:W3CDTF">2026-03-12T04:04:42Z</dcterms:created>
  <dcterms:modified xsi:type="dcterms:W3CDTF">2026-03-12T04:22:16Z</dcterms:modified>
</cp:coreProperties>
</file>