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54\"/>
    </mc:Choice>
  </mc:AlternateContent>
  <xr:revisionPtr revIDLastSave="0" documentId="13_ncr:1_{0DE01116-3358-46DC-ABC9-B96C950183A8}" xr6:coauthVersionLast="47" xr6:coauthVersionMax="47" xr10:uidLastSave="{00000000-0000-0000-0000-000000000000}"/>
  <bookViews>
    <workbookView xWindow="30600" yWindow="-120" windowWidth="29040" windowHeight="15720" activeTab="1" xr2:uid="{00000000-000D-0000-FFFF-FFFF00000000}"/>
  </bookViews>
  <sheets>
    <sheet name="orders_data" sheetId="1" r:id="rId1"/>
    <sheet name="executive_summary" sheetId="2" r:id="rId2"/>
    <sheet name="pivot_summary" sheetId="3" r:id="rId3"/>
  </sheets>
  <calcPr calcId="191029"/>
  <pivotCaches>
    <pivotCache cacheId="16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D17" i="2"/>
  <c r="D15" i="2"/>
  <c r="D5" i="3"/>
  <c r="D6" i="3"/>
  <c r="D4" i="3"/>
  <c r="H6" i="2"/>
  <c r="H5" i="2"/>
  <c r="H4" i="2"/>
  <c r="H3" i="2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<sst xmlns="http://schemas.openxmlformats.org/spreadsheetml/2006/main" count="107" uniqueCount="54">
  <si>
    <t>order_id</t>
  </si>
  <si>
    <t>order_date</t>
  </si>
  <si>
    <t>region</t>
  </si>
  <si>
    <t>category</t>
  </si>
  <si>
    <t>product</t>
  </si>
  <si>
    <t>customer_type</t>
  </si>
  <si>
    <t>revenue</t>
  </si>
  <si>
    <t>cost</t>
  </si>
  <si>
    <t>ORD001</t>
  </si>
  <si>
    <t>North</t>
  </si>
  <si>
    <t>Electronics</t>
  </si>
  <si>
    <t>Laptop</t>
  </si>
  <si>
    <t>New</t>
  </si>
  <si>
    <t>ORD002</t>
  </si>
  <si>
    <t>South</t>
  </si>
  <si>
    <t>Furniture</t>
  </si>
  <si>
    <t>Chair</t>
  </si>
  <si>
    <t>Returning</t>
  </si>
  <si>
    <t>ORD003</t>
  </si>
  <si>
    <t>West</t>
  </si>
  <si>
    <t>Mobile</t>
  </si>
  <si>
    <t>ORD004</t>
  </si>
  <si>
    <t>East</t>
  </si>
  <si>
    <t>Clothing</t>
  </si>
  <si>
    <t>Shirt</t>
  </si>
  <si>
    <t>ORD005</t>
  </si>
  <si>
    <t>Table</t>
  </si>
  <si>
    <t>ORD006</t>
  </si>
  <si>
    <t>ORD007</t>
  </si>
  <si>
    <t>Jeans</t>
  </si>
  <si>
    <t>ORD008</t>
  </si>
  <si>
    <t>ORD009</t>
  </si>
  <si>
    <t>Jacket</t>
  </si>
  <si>
    <t>ORD010</t>
  </si>
  <si>
    <t>Sofa</t>
  </si>
  <si>
    <t>profit</t>
  </si>
  <si>
    <t>profit_margin %</t>
  </si>
  <si>
    <t>Metric</t>
  </si>
  <si>
    <t>Value</t>
  </si>
  <si>
    <t>Total Revenue</t>
  </si>
  <si>
    <t>Total Profit</t>
  </si>
  <si>
    <t>Total Orders</t>
  </si>
  <si>
    <t>Grand Total</t>
  </si>
  <si>
    <t>Sum of revenue</t>
  </si>
  <si>
    <t>Insight</t>
  </si>
  <si>
    <t>% Contribution</t>
  </si>
  <si>
    <t>Top revenue driver</t>
  </si>
  <si>
    <t>Moderate contributor</t>
  </si>
  <si>
    <t xml:space="preserve">Low performing segment </t>
  </si>
  <si>
    <t>Region</t>
  </si>
  <si>
    <t>orders_date</t>
  </si>
  <si>
    <t>Category Performance</t>
  </si>
  <si>
    <t>Region Performance</t>
  </si>
  <si>
    <t xml:space="preserve">Avg Profit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</si>
</sst>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ExtraBold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9" fontId="0" fillId="0" borderId="0" xfId="1" applyFont="1"/>
    <xf numFmtId="1" fontId="0" fillId="0" borderId="0" xfId="0" applyNumberFormat="1"/>
    <xf numFmtId="1" fontId="0" fillId="0" borderId="0" xfId="1" applyNumberFormat="1" applyFont="1"/>
    <xf numFmtId="0" fontId="0" fillId="0" borderId="1" xfId="0" applyBorder="1"/>
    <xf numFmtId="0" fontId="0" fillId="0" borderId="0" xfId="0" pivotButton="1"/>
    <xf numFmtId="0" fontId="0" fillId="0" borderId="0" xfId="0" applyNumberFormat="1"/>
    <xf numFmtId="0" fontId="2" fillId="2" borderId="0" xfId="0" applyFont="1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applyBorder="1" applyAlignment="1"/>
    <xf numFmtId="0" fontId="0" fillId="0" borderId="1" xfId="0" applyNumberFormat="1" applyBorder="1" applyAlignment="1"/>
    <xf numFmtId="9" fontId="0" fillId="0" borderId="1" xfId="1" applyFont="1" applyBorder="1" applyAlignment="1"/>
    <xf numFmtId="0" fontId="2" fillId="2" borderId="1" xfId="0" applyFont="1" applyFill="1" applyBorder="1"/>
    <xf numFmtId="0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3" xfId="0" pivotButton="1" applyBorder="1"/>
    <xf numFmtId="0" fontId="0" fillId="0" borderId="3" xfId="0" applyBorder="1"/>
    <xf numFmtId="0" fontId="0" fillId="0" borderId="1" xfId="0" applyFont="1" applyBorder="1"/>
    <xf numFmtId="14" fontId="0" fillId="0" borderId="2" xfId="0" applyNumberFormat="1" applyBorder="1" applyAlignment="1">
      <alignment horizontal="left"/>
    </xf>
    <xf numFmtId="0" fontId="0" fillId="0" borderId="4" xfId="0" pivotButton="1" applyBorder="1"/>
    <xf numFmtId="16" fontId="0" fillId="0" borderId="0" xfId="0" applyNumberFormat="1" applyAlignment="1">
      <alignment horizontal="left"/>
    </xf>
    <xf numFmtId="16" fontId="0" fillId="0" borderId="0" xfId="0" applyNumberFormat="1"/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0" fillId="0" borderId="0" xfId="0" pivotButton="1" applyBorder="1"/>
    <xf numFmtId="0" fontId="0" fillId="0" borderId="0" xfId="0" applyBorder="1"/>
    <xf numFmtId="0" fontId="0" fillId="0" borderId="0" xfId="0" applyBorder="1" applyAlignment="1"/>
    <xf numFmtId="0" fontId="0" fillId="0" borderId="0" xfId="0" applyNumberFormat="1" applyBorder="1" applyAlignment="1"/>
    <xf numFmtId="9" fontId="0" fillId="0" borderId="0" xfId="1" applyFont="1" applyBorder="1" applyAlignment="1"/>
    <xf numFmtId="0" fontId="0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2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2"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horizontal="general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horizontal="general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horizontal="general"/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horizontal="general"/>
    </dxf>
    <dxf>
      <numFmt numFmtId="21" formatCode="dd/mmm"/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21" formatCode="dd/mmm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[orders_data.xlsx]pivot_summary!PivotTable4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Daily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84558526682706"/>
          <c:y val="0.16743215031315242"/>
          <c:w val="0.71329917649414287"/>
          <c:h val="0.59748418712796603"/>
        </c:manualLayout>
      </c:layout>
      <c:lineChart>
        <c:grouping val="standard"/>
        <c:varyColors val="0"/>
        <c:ser>
          <c:idx val="0"/>
          <c:order val="0"/>
          <c:tx>
            <c:strRef>
              <c:f>pivot_summary!$C$18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pivot_summary!$B$19:$B$28</c:f>
              <c:strCache>
                <c:ptCount val="9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</c:strCache>
            </c:strRef>
          </c:cat>
          <c:val>
            <c:numRef>
              <c:f>pivot_summary!$C$19:$C$28</c:f>
              <c:numCache>
                <c:formatCode>General</c:formatCode>
                <c:ptCount val="9"/>
                <c:pt idx="0">
                  <c:v>75000</c:v>
                </c:pt>
                <c:pt idx="1">
                  <c:v>12000</c:v>
                </c:pt>
                <c:pt idx="2">
                  <c:v>35000</c:v>
                </c:pt>
                <c:pt idx="3">
                  <c:v>20000</c:v>
                </c:pt>
                <c:pt idx="4">
                  <c:v>78000</c:v>
                </c:pt>
                <c:pt idx="5">
                  <c:v>7000</c:v>
                </c:pt>
                <c:pt idx="6">
                  <c:v>28000</c:v>
                </c:pt>
                <c:pt idx="7">
                  <c:v>9000</c:v>
                </c:pt>
                <c:pt idx="8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9-41B3-8A15-901B640C307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072096"/>
        <c:axId val="99060096"/>
      </c:lineChart>
      <c:catAx>
        <c:axId val="99072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0096"/>
        <c:crosses val="autoZero"/>
        <c:auto val="0"/>
        <c:lblAlgn val="ctr"/>
        <c:lblOffset val="100"/>
        <c:noMultiLvlLbl val="0"/>
      </c:catAx>
      <c:valAx>
        <c:axId val="9906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[orders_data.xlsx]pivot_summary!PivotTable4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Trend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84558526682706"/>
          <c:y val="0.16743215031315242"/>
          <c:w val="0.71329917649414287"/>
          <c:h val="0.59748418712796603"/>
        </c:manualLayout>
      </c:layout>
      <c:lineChart>
        <c:grouping val="standard"/>
        <c:varyColors val="0"/>
        <c:ser>
          <c:idx val="0"/>
          <c:order val="0"/>
          <c:tx>
            <c:strRef>
              <c:f>pivot_summary!$C$18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pivot_summary!$B$19:$B$28</c:f>
              <c:strCache>
                <c:ptCount val="9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</c:strCache>
            </c:strRef>
          </c:cat>
          <c:val>
            <c:numRef>
              <c:f>pivot_summary!$C$19:$C$28</c:f>
              <c:numCache>
                <c:formatCode>General</c:formatCode>
                <c:ptCount val="9"/>
                <c:pt idx="0">
                  <c:v>75000</c:v>
                </c:pt>
                <c:pt idx="1">
                  <c:v>12000</c:v>
                </c:pt>
                <c:pt idx="2">
                  <c:v>35000</c:v>
                </c:pt>
                <c:pt idx="3">
                  <c:v>20000</c:v>
                </c:pt>
                <c:pt idx="4">
                  <c:v>78000</c:v>
                </c:pt>
                <c:pt idx="5">
                  <c:v>7000</c:v>
                </c:pt>
                <c:pt idx="6">
                  <c:v>28000</c:v>
                </c:pt>
                <c:pt idx="7">
                  <c:v>9000</c:v>
                </c:pt>
                <c:pt idx="8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9-46AB-8808-B1D624E841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072096"/>
        <c:axId val="99060096"/>
      </c:lineChart>
      <c:catAx>
        <c:axId val="99072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0096"/>
        <c:crosses val="autoZero"/>
        <c:auto val="0"/>
        <c:lblAlgn val="ctr"/>
        <c:lblOffset val="100"/>
        <c:noMultiLvlLbl val="0"/>
      </c:catAx>
      <c:valAx>
        <c:axId val="9906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178030</xdr:colOff>
      <xdr:row>7</xdr:row>
      <xdr:rowOff>89680</xdr:rowOff>
    </xdr:from>
    <xdr:to>
      <xdr:col>11</xdr:col>
      <xdr:colOff>62653</xdr:colOff>
      <xdr:row>21</xdr:row>
      <xdr:rowOff>107863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B8A6A8-BE73-44B5-9C01-21920169B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289459</xdr:colOff>
      <xdr:row>13</xdr:row>
      <xdr:rowOff>169346</xdr:rowOff>
    </xdr:from>
    <xdr:to>
      <xdr:col>8</xdr:col>
      <xdr:colOff>20053</xdr:colOff>
      <xdr:row>25</xdr:row>
      <xdr:rowOff>140370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92A4E5-0EB2-67F6-2EBF-FD7F75CD5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03.427789120367" createdVersion="8" refreshedVersion="8" minRefreshableVersion="3" recordCount="10" xr:uid="{CA200822-B9E0-493C-8C2A-F9A384D313CC}">
  <cacheSource type="worksheet">
    <worksheetSource name="orders"/>
  </cacheSource>
  <cacheFields count="10">
    <cacheField name="order_id" numFmtId="0">
      <sharedItems/>
    </cacheField>
    <cacheField name="order_date" numFmtId="16">
      <sharedItems containsSemiMixedTypes="0" containsNonDate="0" containsDate="1" containsString="0" minDate="2025-01-01T00:00:00" maxDate="2025-01-10T00:00:00" count="9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3">
        <s v="Electronics"/>
        <s v="Furniture"/>
        <s v="Clothing"/>
      </sharedItems>
    </cacheField>
    <cacheField name="product" numFmtId="0">
      <sharedItems/>
    </cacheField>
    <cacheField name="customer_type" numFmtId="0">
      <sharedItems/>
    </cacheField>
    <cacheField name="revenue" numFmtId="0">
      <sharedItems containsSemiMixedTypes="0" containsString="0" containsNumber="1" containsInteger="1" minValue="5000" maxValue="78000"/>
    </cacheField>
    <cacheField name="cost" numFmtId="0">
      <sharedItems containsSemiMixedTypes="0" containsString="0" containsNumber="1" containsInteger="1" minValue="2500" maxValue="55000"/>
    </cacheField>
    <cacheField name="profit" numFmtId="1">
      <sharedItems containsSemiMixedTypes="0" containsString="0" containsNumber="1" containsInteger="1" minValue="2500" maxValue="23000"/>
    </cacheField>
    <cacheField name="profit_margin %" numFmtId="9">
      <sharedItems containsSemiMixedTypes="0" containsString="0" containsNumber="1" minValue="0.2857142857142857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RD001"/>
    <x v="0"/>
    <x v="0"/>
    <x v="0"/>
    <s v="Laptop"/>
    <s v="New"/>
    <n v="75000"/>
    <n v="52000"/>
    <n v="23000"/>
    <n v="0.30666666666666664"/>
  </r>
  <r>
    <s v="ORD002"/>
    <x v="1"/>
    <x v="1"/>
    <x v="1"/>
    <s v="Chair"/>
    <s v="Returning"/>
    <n v="12000"/>
    <n v="8000"/>
    <n v="4000"/>
    <n v="0.33333333333333331"/>
  </r>
  <r>
    <s v="ORD003"/>
    <x v="2"/>
    <x v="2"/>
    <x v="0"/>
    <s v="Mobile"/>
    <s v="New"/>
    <n v="30000"/>
    <n v="21000"/>
    <n v="9000"/>
    <n v="0.3"/>
  </r>
  <r>
    <s v="ORD004"/>
    <x v="2"/>
    <x v="3"/>
    <x v="2"/>
    <s v="Shirt"/>
    <s v="Returning"/>
    <n v="5000"/>
    <n v="2500"/>
    <n v="2500"/>
    <n v="0.5"/>
  </r>
  <r>
    <s v="ORD005"/>
    <x v="3"/>
    <x v="0"/>
    <x v="1"/>
    <s v="Table"/>
    <s v="New"/>
    <n v="20000"/>
    <n v="14000"/>
    <n v="6000"/>
    <n v="0.3"/>
  </r>
  <r>
    <s v="ORD006"/>
    <x v="4"/>
    <x v="1"/>
    <x v="0"/>
    <s v="Laptop"/>
    <s v="Returning"/>
    <n v="78000"/>
    <n v="55000"/>
    <n v="23000"/>
    <n v="0.29487179487179488"/>
  </r>
  <r>
    <s v="ORD007"/>
    <x v="5"/>
    <x v="2"/>
    <x v="2"/>
    <s v="Jeans"/>
    <s v="New"/>
    <n v="7000"/>
    <n v="3500"/>
    <n v="3500"/>
    <n v="0.5"/>
  </r>
  <r>
    <s v="ORD008"/>
    <x v="6"/>
    <x v="3"/>
    <x v="0"/>
    <s v="Mobile"/>
    <s v="New"/>
    <n v="28000"/>
    <n v="20000"/>
    <n v="8000"/>
    <n v="0.2857142857142857"/>
  </r>
  <r>
    <s v="ORD009"/>
    <x v="7"/>
    <x v="0"/>
    <x v="2"/>
    <s v="Jacket"/>
    <s v="Returning"/>
    <n v="9000"/>
    <n v="4500"/>
    <n v="4500"/>
    <n v="0.5"/>
  </r>
  <r>
    <s v="ORD010"/>
    <x v="8"/>
    <x v="1"/>
    <x v="1"/>
    <s v="Sofa"/>
    <s v="New"/>
    <n v="45000"/>
    <n v="30000"/>
    <n v="15000"/>
    <n v="0.333333333333333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5E6B1-A21E-494E-B76B-555BC2A55A29}" name="PivotTable8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L14:M19" firstHeaderRow="1" firstDataRow="1" firstDataCol="1"/>
  <pivotFields count="10">
    <pivotField showAll="0"/>
    <pivotField numFmtId="14"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9" showAll="0"/>
  </pivotFields>
  <rowFields count="1">
    <field x="2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revenue" fld="6" baseField="0" baseItem="0"/>
  </dataFields>
  <formats count="6"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2" type="button" dataOnly="0" labelOnly="1" outline="0" axis="axisRow" fieldPosition="0"/>
    </format>
    <format dxfId="41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121A1-4083-4D5E-9ED6-3B181F1712B3}" name="PivotTable5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B14:C18" firstHeaderRow="1" firstDataRow="1" firstDataCol="1"/>
  <pivotFields count="10">
    <pivotField showAll="0"/>
    <pivotField numFmtId="14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9" showAll="0"/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revenue" fld="6" baseField="0" baseItem="0"/>
  </dataFields>
  <formats count="10">
    <format dxfId="85">
      <pivotArea collapsedLevelsAreSubtotals="1" fieldPosition="0">
        <references count="1">
          <reference field="3" count="0"/>
        </references>
      </pivotArea>
    </format>
    <format dxfId="86">
      <pivotArea dataOnly="0" labelOnly="1" fieldPosition="0">
        <references count="1">
          <reference field="3" count="0"/>
        </references>
      </pivotArea>
    </format>
    <format dxfId="87">
      <pivotArea collapsedLevelsAreSubtotals="1" fieldPosition="0">
        <references count="1">
          <reference field="3" count="0"/>
        </references>
      </pivotArea>
    </format>
    <format dxfId="88">
      <pivotArea dataOnly="0" labelOnly="1" fieldPosition="0">
        <references count="1">
          <reference field="3" count="0"/>
        </references>
      </pivotArea>
    </format>
    <format dxfId="84">
      <pivotArea type="all" dataOnly="0" outline="0" fieldPosition="0"/>
    </format>
    <format dxfId="79">
      <pivotArea outline="0" collapsedLevelsAreSubtotals="1" fieldPosition="0"/>
    </format>
    <format dxfId="78">
      <pivotArea field="3" type="button" dataOnly="0" labelOnly="1" outline="0" axis="axisRow" fieldPosition="0"/>
    </format>
    <format dxfId="77">
      <pivotArea dataOnly="0" labelOnly="1" fieldPosition="0">
        <references count="1">
          <reference field="3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6DA42-0402-490E-8EEF-200944F22FF0}" name="PivotTable4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orders_date">
  <location ref="B18:C28" firstHeaderRow="1" firstDataRow="1" firstDataCol="1"/>
  <pivotFields count="10">
    <pivotField showAll="0"/>
    <pivotField axis="axisRow"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9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6" baseField="0" baseItem="0"/>
  </dataFields>
  <formats count="6">
    <format dxfId="90">
      <pivotArea grandRow="1" outline="0" collapsedLevelsAreSubtotals="1" fieldPosition="0"/>
    </format>
    <format dxfId="91">
      <pivotArea dataOnly="0" labelOnly="1" grandRow="1" outline="0" fieldPosition="0"/>
    </format>
    <format dxfId="92">
      <pivotArea field="3" type="button" dataOnly="0" labelOnly="1" outline="0"/>
    </format>
    <format dxfId="93">
      <pivotArea dataOnly="0" labelOnly="1" outline="0" axis="axisValues" fieldPosition="0"/>
    </format>
    <format dxfId="94">
      <pivotArea field="2" type="button" dataOnly="0" labelOnly="1" outline="0"/>
    </format>
    <format dxfId="89">
      <pivotArea dataOnly="0" labelOnly="1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69F5B-83A6-4CB6-9368-F14515C4F2FC}" name="PivotTable2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B10:C15" firstHeaderRow="1" firstDataRow="1" firstDataCol="1"/>
  <pivotFields count="10">
    <pivotField showAll="0"/>
    <pivotField numFmtId="14"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9" showAll="0"/>
  </pivotFields>
  <rowFields count="1">
    <field x="2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revenue" fld="6" baseField="0" baseItem="0"/>
  </dataFields>
  <formats count="7">
    <format dxfId="99">
      <pivotArea grandRow="1" outline="0" collapsedLevelsAreSubtotals="1" fieldPosition="0"/>
    </format>
    <format dxfId="100">
      <pivotArea dataOnly="0" labelOnly="1" grandRow="1" outline="0" fieldPosition="0"/>
    </format>
    <format dxfId="101">
      <pivotArea field="3" type="button" dataOnly="0" labelOnly="1" outline="0"/>
    </format>
    <format dxfId="102">
      <pivotArea dataOnly="0" labelOnly="1" outline="0" axis="axisValues" fieldPosition="0"/>
    </format>
    <format dxfId="98">
      <pivotArea collapsedLevelsAreSubtotals="1" fieldPosition="0">
        <references count="1">
          <reference field="2" count="0"/>
        </references>
      </pivotArea>
    </format>
    <format dxfId="97">
      <pivotArea dataOnly="0" labelOnly="1" fieldPosition="0">
        <references count="1">
          <reference field="2" count="0"/>
        </references>
      </pivotArea>
    </format>
    <format dxfId="96">
      <pivotArea field="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E1BBD-4096-44F1-A81C-4DF67C296104}" name="PivotTable1" cacheId="1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B3:C7" firstHeaderRow="1" firstDataRow="1" firstDataCol="1"/>
  <pivotFields count="10">
    <pivotField showAll="0"/>
    <pivotField numFmtId="14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1" showAll="0"/>
    <pivotField numFmtId="9" showAll="0"/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revenue" fld="6" baseField="0" baseItem="0"/>
  </dataFields>
  <formats count="8">
    <format dxfId="110">
      <pivotArea collapsedLevelsAreSubtotals="1" fieldPosition="0">
        <references count="1">
          <reference field="3" count="0"/>
        </references>
      </pivotArea>
    </format>
    <format dxfId="109">
      <pivotArea dataOnly="0" labelOnly="1" fieldPosition="0">
        <references count="1">
          <reference field="3" count="0"/>
        </references>
      </pivotArea>
    </format>
    <format dxfId="108">
      <pivotArea collapsedLevelsAreSubtotals="1" fieldPosition="0">
        <references count="1">
          <reference field="3" count="0"/>
        </references>
      </pivotArea>
    </format>
    <format dxfId="107">
      <pivotArea dataOnly="0" labelOnly="1" fieldPosition="0">
        <references count="1">
          <reference field="3" count="0"/>
        </references>
      </pivotArea>
    </format>
    <format dxfId="106">
      <pivotArea grandRow="1" outline="0" collapsedLevelsAreSubtotals="1" fieldPosition="0"/>
    </format>
    <format dxfId="105">
      <pivotArea dataOnly="0" labelOnly="1" grandRow="1" outline="0" fieldPosition="0"/>
    </format>
    <format dxfId="104">
      <pivotArea field="3" type="button" dataOnly="0" labelOnly="1" outline="0" axis="axisRow" fieldPosition="0"/>
    </format>
    <format dxfId="1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B27FE-35A9-424F-9A8B-58C8F92D2E0A}" name="orders" displayName="orders" ref="A1:J11" totalsRowShown="0">
  <autoFilter ref="A1:J11" xr:uid="{2E1B27FE-35A9-424F-9A8B-58C8F92D2E0A}"/>
  <tableColumns count="10">
    <tableColumn id="1" xr3:uid="{AC36396C-F404-4A1A-B5A9-876691D402D2}" name="order_id"/>
    <tableColumn id="2" xr3:uid="{B55C8CED-CDF5-4352-90D0-AFEC5AB59590}" name="order_date" dataDxfId="95"/>
    <tableColumn id="3" xr3:uid="{0CB39831-E035-4042-A36D-D2D2ED11233C}" name="region"/>
    <tableColumn id="4" xr3:uid="{01A3EA7A-C8DF-4953-9973-37F7254DC254}" name="category"/>
    <tableColumn id="5" xr3:uid="{9FD0607C-1549-41A3-8AAC-57658885A743}" name="product"/>
    <tableColumn id="6" xr3:uid="{73C44F68-0DB8-45C0-A4DA-3B22758CC022}" name="customer_type"/>
    <tableColumn id="7" xr3:uid="{AA0216D7-EE7A-4A87-B5B4-BF06FAD058CE}" name="revenue"/>
    <tableColumn id="8" xr3:uid="{DE72D017-F477-4BC6-B855-597E80E878FE}" name="cost"/>
    <tableColumn id="9" xr3:uid="{DF019BC0-0962-4DBF-AA06-C30C37E9FACE}" name="profit" dataDxfId="111" dataCellStyle="Percent">
      <calculatedColumnFormula>orders[[#This Row],[revenue]]-orders[[#This Row],[cost]]</calculatedColumnFormula>
    </tableColumn>
    <tableColumn id="10" xr3:uid="{A117ACB7-3430-4116-9F77-4652C518E920}" name="profit_margin %">
      <calculatedColumnFormula>I2/G2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205" zoomScaleNormal="205" workbookViewId="0">
      <selection activeCell="C18" sqref="C18"/>
    </sheetView>
  </sheetViews>
  <sheetFormatPr defaultRowHeight="14.4" x14ac:dyDescent="0.3"/>
  <cols>
    <col min="1" max="1" width="10.33203125" customWidth="1"/>
    <col min="2" max="2" width="12.5546875" customWidth="1"/>
    <col min="4" max="4" width="10.33203125" customWidth="1"/>
    <col min="5" max="5" width="9.5546875" customWidth="1"/>
    <col min="6" max="6" width="15.88671875" customWidth="1"/>
    <col min="7" max="7" width="10.109375" customWidth="1"/>
    <col min="9" max="9" width="9.44140625" style="2" bestFit="1" customWidth="1"/>
    <col min="10" max="10" width="14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35</v>
      </c>
      <c r="J1" t="s">
        <v>36</v>
      </c>
    </row>
    <row r="2" spans="1:10" x14ac:dyDescent="0.3">
      <c r="A2" t="s">
        <v>8</v>
      </c>
      <c r="B2" s="22">
        <v>45658</v>
      </c>
      <c r="C2" t="s">
        <v>9</v>
      </c>
      <c r="D2" t="s">
        <v>10</v>
      </c>
      <c r="E2" t="s">
        <v>11</v>
      </c>
      <c r="F2" t="s">
        <v>12</v>
      </c>
      <c r="G2">
        <v>75000</v>
      </c>
      <c r="H2">
        <v>52000</v>
      </c>
      <c r="I2" s="3">
        <f>orders[[#This Row],[revenue]]-orders[[#This Row],[cost]]</f>
        <v>23000</v>
      </c>
      <c r="J2" s="1">
        <f>I2/G2</f>
        <v>0.30666666666666664</v>
      </c>
    </row>
    <row r="3" spans="1:10" x14ac:dyDescent="0.3">
      <c r="A3" t="s">
        <v>13</v>
      </c>
      <c r="B3" s="22">
        <v>45659</v>
      </c>
      <c r="C3" t="s">
        <v>14</v>
      </c>
      <c r="D3" t="s">
        <v>15</v>
      </c>
      <c r="E3" t="s">
        <v>16</v>
      </c>
      <c r="F3" t="s">
        <v>17</v>
      </c>
      <c r="G3">
        <v>12000</v>
      </c>
      <c r="H3">
        <v>8000</v>
      </c>
      <c r="I3" s="3">
        <f>orders[[#This Row],[revenue]]-orders[[#This Row],[cost]]</f>
        <v>4000</v>
      </c>
      <c r="J3" s="1">
        <f t="shared" ref="J3:J11" si="0">I3/G3</f>
        <v>0.33333333333333331</v>
      </c>
    </row>
    <row r="4" spans="1:10" x14ac:dyDescent="0.3">
      <c r="A4" t="s">
        <v>18</v>
      </c>
      <c r="B4" s="22">
        <v>45660</v>
      </c>
      <c r="C4" t="s">
        <v>19</v>
      </c>
      <c r="D4" t="s">
        <v>10</v>
      </c>
      <c r="E4" t="s">
        <v>20</v>
      </c>
      <c r="F4" t="s">
        <v>12</v>
      </c>
      <c r="G4">
        <v>30000</v>
      </c>
      <c r="H4">
        <v>21000</v>
      </c>
      <c r="I4" s="3">
        <f>orders[[#This Row],[revenue]]-orders[[#This Row],[cost]]</f>
        <v>9000</v>
      </c>
      <c r="J4" s="1">
        <f t="shared" si="0"/>
        <v>0.3</v>
      </c>
    </row>
    <row r="5" spans="1:10" x14ac:dyDescent="0.3">
      <c r="A5" t="s">
        <v>21</v>
      </c>
      <c r="B5" s="22">
        <v>45660</v>
      </c>
      <c r="C5" t="s">
        <v>22</v>
      </c>
      <c r="D5" t="s">
        <v>23</v>
      </c>
      <c r="E5" t="s">
        <v>24</v>
      </c>
      <c r="F5" t="s">
        <v>17</v>
      </c>
      <c r="G5">
        <v>5000</v>
      </c>
      <c r="H5">
        <v>2500</v>
      </c>
      <c r="I5" s="3">
        <f>orders[[#This Row],[revenue]]-orders[[#This Row],[cost]]</f>
        <v>2500</v>
      </c>
      <c r="J5" s="1">
        <f t="shared" si="0"/>
        <v>0.5</v>
      </c>
    </row>
    <row r="6" spans="1:10" x14ac:dyDescent="0.3">
      <c r="A6" t="s">
        <v>25</v>
      </c>
      <c r="B6" s="22">
        <v>45661</v>
      </c>
      <c r="C6" t="s">
        <v>9</v>
      </c>
      <c r="D6" t="s">
        <v>15</v>
      </c>
      <c r="E6" t="s">
        <v>26</v>
      </c>
      <c r="F6" t="s">
        <v>12</v>
      </c>
      <c r="G6">
        <v>20000</v>
      </c>
      <c r="H6">
        <v>14000</v>
      </c>
      <c r="I6" s="3">
        <f>orders[[#This Row],[revenue]]-orders[[#This Row],[cost]]</f>
        <v>6000</v>
      </c>
      <c r="J6" s="1">
        <f t="shared" si="0"/>
        <v>0.3</v>
      </c>
    </row>
    <row r="7" spans="1:10" x14ac:dyDescent="0.3">
      <c r="A7" t="s">
        <v>27</v>
      </c>
      <c r="B7" s="22">
        <v>45662</v>
      </c>
      <c r="C7" t="s">
        <v>14</v>
      </c>
      <c r="D7" t="s">
        <v>10</v>
      </c>
      <c r="E7" t="s">
        <v>11</v>
      </c>
      <c r="F7" t="s">
        <v>17</v>
      </c>
      <c r="G7">
        <v>78000</v>
      </c>
      <c r="H7">
        <v>55000</v>
      </c>
      <c r="I7" s="3">
        <f>orders[[#This Row],[revenue]]-orders[[#This Row],[cost]]</f>
        <v>23000</v>
      </c>
      <c r="J7" s="1">
        <f t="shared" si="0"/>
        <v>0.29487179487179488</v>
      </c>
    </row>
    <row r="8" spans="1:10" x14ac:dyDescent="0.3">
      <c r="A8" t="s">
        <v>28</v>
      </c>
      <c r="B8" s="22">
        <v>45663</v>
      </c>
      <c r="C8" t="s">
        <v>19</v>
      </c>
      <c r="D8" t="s">
        <v>23</v>
      </c>
      <c r="E8" t="s">
        <v>29</v>
      </c>
      <c r="F8" t="s">
        <v>12</v>
      </c>
      <c r="G8">
        <v>7000</v>
      </c>
      <c r="H8">
        <v>3500</v>
      </c>
      <c r="I8" s="3">
        <f>orders[[#This Row],[revenue]]-orders[[#This Row],[cost]]</f>
        <v>3500</v>
      </c>
      <c r="J8" s="1">
        <f t="shared" si="0"/>
        <v>0.5</v>
      </c>
    </row>
    <row r="9" spans="1:10" x14ac:dyDescent="0.3">
      <c r="A9" t="s">
        <v>30</v>
      </c>
      <c r="B9" s="22">
        <v>45664</v>
      </c>
      <c r="C9" t="s">
        <v>22</v>
      </c>
      <c r="D9" t="s">
        <v>10</v>
      </c>
      <c r="E9" t="s">
        <v>20</v>
      </c>
      <c r="F9" t="s">
        <v>12</v>
      </c>
      <c r="G9">
        <v>28000</v>
      </c>
      <c r="H9">
        <v>20000</v>
      </c>
      <c r="I9" s="3">
        <f>orders[[#This Row],[revenue]]-orders[[#This Row],[cost]]</f>
        <v>8000</v>
      </c>
      <c r="J9" s="1">
        <f t="shared" si="0"/>
        <v>0.2857142857142857</v>
      </c>
    </row>
    <row r="10" spans="1:10" x14ac:dyDescent="0.3">
      <c r="A10" t="s">
        <v>31</v>
      </c>
      <c r="B10" s="22">
        <v>45665</v>
      </c>
      <c r="C10" t="s">
        <v>9</v>
      </c>
      <c r="D10" t="s">
        <v>23</v>
      </c>
      <c r="E10" t="s">
        <v>32</v>
      </c>
      <c r="F10" t="s">
        <v>17</v>
      </c>
      <c r="G10">
        <v>9000</v>
      </c>
      <c r="H10">
        <v>4500</v>
      </c>
      <c r="I10" s="3">
        <f>orders[[#This Row],[revenue]]-orders[[#This Row],[cost]]</f>
        <v>4500</v>
      </c>
      <c r="J10" s="1">
        <f t="shared" si="0"/>
        <v>0.5</v>
      </c>
    </row>
    <row r="11" spans="1:10" x14ac:dyDescent="0.3">
      <c r="A11" t="s">
        <v>33</v>
      </c>
      <c r="B11" s="22">
        <v>45666</v>
      </c>
      <c r="C11" t="s">
        <v>14</v>
      </c>
      <c r="D11" t="s">
        <v>15</v>
      </c>
      <c r="E11" t="s">
        <v>34</v>
      </c>
      <c r="F11" t="s">
        <v>12</v>
      </c>
      <c r="G11">
        <v>45000</v>
      </c>
      <c r="H11">
        <v>30000</v>
      </c>
      <c r="I11" s="3">
        <f>orders[[#This Row],[revenue]]-orders[[#This Row],[cost]]</f>
        <v>15000</v>
      </c>
      <c r="J11" s="1">
        <f t="shared" si="0"/>
        <v>0.33333333333333331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CC30-869D-49EC-9AF0-B74B7BB697C6}">
  <dimension ref="B2:M19"/>
  <sheetViews>
    <sheetView showGridLines="0" tabSelected="1" zoomScale="130" zoomScaleNormal="130" workbookViewId="0">
      <selection activeCell="E23" sqref="E23"/>
    </sheetView>
  </sheetViews>
  <sheetFormatPr defaultRowHeight="14.4" x14ac:dyDescent="0.3"/>
  <cols>
    <col min="2" max="2" width="12.88671875" bestFit="1" customWidth="1"/>
    <col min="3" max="3" width="14.6640625" bestFit="1" customWidth="1"/>
    <col min="4" max="4" width="13.77734375" bestFit="1" customWidth="1"/>
    <col min="5" max="5" width="22.77734375" customWidth="1"/>
    <col min="6" max="6" width="7.33203125" customWidth="1"/>
    <col min="7" max="7" width="29.44140625" customWidth="1"/>
    <col min="8" max="8" width="15.44140625" customWidth="1"/>
    <col min="10" max="10" width="14.6640625" bestFit="1" customWidth="1"/>
    <col min="12" max="12" width="10.77734375" bestFit="1" customWidth="1"/>
    <col min="13" max="13" width="14.6640625" bestFit="1" customWidth="1"/>
  </cols>
  <sheetData>
    <row r="2" spans="2:13" x14ac:dyDescent="0.3">
      <c r="G2" s="26" t="s">
        <v>37</v>
      </c>
      <c r="H2" s="26" t="s">
        <v>38</v>
      </c>
    </row>
    <row r="3" spans="2:13" ht="15" customHeight="1" x14ac:dyDescent="0.3">
      <c r="G3" s="23" t="s">
        <v>39</v>
      </c>
      <c r="H3" s="23">
        <f>SUM(orders[revenue])</f>
        <v>309000</v>
      </c>
    </row>
    <row r="4" spans="2:13" ht="13.2" customHeight="1" x14ac:dyDescent="0.3">
      <c r="G4" s="23" t="s">
        <v>40</v>
      </c>
      <c r="H4" s="24">
        <f>SUM(orders[profit])</f>
        <v>98500</v>
      </c>
    </row>
    <row r="5" spans="2:13" ht="13.2" customHeight="1" x14ac:dyDescent="0.3">
      <c r="G5" s="23" t="s">
        <v>53</v>
      </c>
      <c r="H5" s="25">
        <f>AVERAGE(orders[profit_margin %])</f>
        <v>0.36539194139194142</v>
      </c>
    </row>
    <row r="6" spans="2:13" ht="10.199999999999999" customHeight="1" x14ac:dyDescent="0.3">
      <c r="G6" s="23" t="s">
        <v>41</v>
      </c>
      <c r="H6" s="23">
        <f>COUNTA(orders[order_id])</f>
        <v>10</v>
      </c>
    </row>
    <row r="7" spans="2:13" ht="10.199999999999999" customHeight="1" x14ac:dyDescent="0.3">
      <c r="E7" s="23"/>
      <c r="F7" s="23"/>
    </row>
    <row r="13" spans="2:13" x14ac:dyDescent="0.3">
      <c r="B13" s="35" t="s">
        <v>51</v>
      </c>
      <c r="C13" s="35"/>
      <c r="D13" s="35"/>
      <c r="E13" s="35"/>
      <c r="L13" s="35" t="s">
        <v>52</v>
      </c>
      <c r="M13" s="35"/>
    </row>
    <row r="14" spans="2:13" x14ac:dyDescent="0.3">
      <c r="B14" s="27" t="s">
        <v>3</v>
      </c>
      <c r="C14" s="28" t="s">
        <v>43</v>
      </c>
      <c r="D14" s="7" t="s">
        <v>45</v>
      </c>
      <c r="E14" s="7" t="s">
        <v>44</v>
      </c>
      <c r="L14" s="27" t="s">
        <v>49</v>
      </c>
      <c r="M14" s="28" t="s">
        <v>43</v>
      </c>
    </row>
    <row r="15" spans="2:13" x14ac:dyDescent="0.3">
      <c r="B15" s="29" t="s">
        <v>10</v>
      </c>
      <c r="C15" s="30">
        <v>211000</v>
      </c>
      <c r="D15" s="31">
        <f>C15/$C$18</f>
        <v>0.68284789644012944</v>
      </c>
      <c r="E15" s="32" t="s">
        <v>46</v>
      </c>
      <c r="L15" s="33" t="s">
        <v>14</v>
      </c>
      <c r="M15" s="34">
        <v>135000</v>
      </c>
    </row>
    <row r="16" spans="2:13" x14ac:dyDescent="0.3">
      <c r="B16" s="29" t="s">
        <v>15</v>
      </c>
      <c r="C16" s="30">
        <v>77000</v>
      </c>
      <c r="D16" s="31">
        <f>C16/$C$18</f>
        <v>0.24919093851132687</v>
      </c>
      <c r="E16" s="32" t="s">
        <v>47</v>
      </c>
      <c r="L16" s="33" t="s">
        <v>9</v>
      </c>
      <c r="M16" s="34">
        <v>104000</v>
      </c>
    </row>
    <row r="17" spans="2:13" x14ac:dyDescent="0.3">
      <c r="B17" s="29" t="s">
        <v>23</v>
      </c>
      <c r="C17" s="30">
        <v>21000</v>
      </c>
      <c r="D17" s="31">
        <f>C17/$C$18</f>
        <v>6.7961165048543687E-2</v>
      </c>
      <c r="E17" s="32" t="s">
        <v>48</v>
      </c>
      <c r="L17" s="33" t="s">
        <v>19</v>
      </c>
      <c r="M17" s="34">
        <v>37000</v>
      </c>
    </row>
    <row r="18" spans="2:13" x14ac:dyDescent="0.3">
      <c r="B18" s="33" t="s">
        <v>42</v>
      </c>
      <c r="C18" s="34">
        <v>309000</v>
      </c>
      <c r="D18" s="31"/>
      <c r="E18" s="28"/>
      <c r="L18" s="33" t="s">
        <v>22</v>
      </c>
      <c r="M18" s="34">
        <v>33000</v>
      </c>
    </row>
    <row r="19" spans="2:13" x14ac:dyDescent="0.3">
      <c r="L19" s="33" t="s">
        <v>42</v>
      </c>
      <c r="M19" s="34">
        <v>309000</v>
      </c>
    </row>
  </sheetData>
  <mergeCells count="2">
    <mergeCell ref="B13:E13"/>
    <mergeCell ref="L13:M13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6E46-B59C-4090-9565-9E22491D68A0}">
  <dimension ref="B3:E28"/>
  <sheetViews>
    <sheetView showGridLines="0" zoomScaleNormal="100" workbookViewId="0">
      <selection activeCell="H38" sqref="H38"/>
    </sheetView>
  </sheetViews>
  <sheetFormatPr defaultRowHeight="14.4" x14ac:dyDescent="0.3"/>
  <cols>
    <col min="2" max="2" width="13.5546875" bestFit="1" customWidth="1"/>
    <col min="3" max="3" width="14.44140625" bestFit="1" customWidth="1"/>
    <col min="4" max="4" width="14.6640625" customWidth="1"/>
    <col min="5" max="5" width="22.33203125" bestFit="1" customWidth="1"/>
  </cols>
  <sheetData>
    <row r="3" spans="2:5" x14ac:dyDescent="0.3">
      <c r="B3" s="16" t="s">
        <v>3</v>
      </c>
      <c r="C3" s="17" t="s">
        <v>43</v>
      </c>
      <c r="D3" s="13" t="s">
        <v>45</v>
      </c>
      <c r="E3" s="13" t="s">
        <v>44</v>
      </c>
    </row>
    <row r="4" spans="2:5" x14ac:dyDescent="0.3">
      <c r="B4" s="10" t="s">
        <v>10</v>
      </c>
      <c r="C4" s="11">
        <v>211000</v>
      </c>
      <c r="D4" s="12">
        <f xml:space="preserve"> C4 / $C$7</f>
        <v>0.68284789644012944</v>
      </c>
      <c r="E4" s="18" t="s">
        <v>46</v>
      </c>
    </row>
    <row r="5" spans="2:5" x14ac:dyDescent="0.3">
      <c r="B5" s="10" t="s">
        <v>15</v>
      </c>
      <c r="C5" s="11">
        <v>77000</v>
      </c>
      <c r="D5" s="12">
        <f t="shared" ref="D5:D7" si="0" xml:space="preserve"> C5 / $C$7</f>
        <v>0.24919093851132687</v>
      </c>
      <c r="E5" s="18" t="s">
        <v>47</v>
      </c>
    </row>
    <row r="6" spans="2:5" x14ac:dyDescent="0.3">
      <c r="B6" s="10" t="s">
        <v>23</v>
      </c>
      <c r="C6" s="11">
        <v>21000</v>
      </c>
      <c r="D6" s="12">
        <f t="shared" si="0"/>
        <v>6.7961165048543687E-2</v>
      </c>
      <c r="E6" s="18" t="s">
        <v>48</v>
      </c>
    </row>
    <row r="7" spans="2:5" x14ac:dyDescent="0.3">
      <c r="B7" s="15" t="s">
        <v>42</v>
      </c>
      <c r="C7" s="14">
        <v>309000</v>
      </c>
      <c r="D7" s="12"/>
      <c r="E7" s="4"/>
    </row>
    <row r="10" spans="2:5" x14ac:dyDescent="0.3">
      <c r="B10" s="20" t="s">
        <v>49</v>
      </c>
      <c r="C10" s="17" t="s">
        <v>43</v>
      </c>
    </row>
    <row r="11" spans="2:5" x14ac:dyDescent="0.3">
      <c r="B11" s="8" t="s">
        <v>14</v>
      </c>
      <c r="C11" s="9">
        <v>135000</v>
      </c>
    </row>
    <row r="12" spans="2:5" x14ac:dyDescent="0.3">
      <c r="B12" s="8" t="s">
        <v>9</v>
      </c>
      <c r="C12" s="9">
        <v>104000</v>
      </c>
    </row>
    <row r="13" spans="2:5" x14ac:dyDescent="0.3">
      <c r="B13" s="8" t="s">
        <v>19</v>
      </c>
      <c r="C13" s="9">
        <v>37000</v>
      </c>
    </row>
    <row r="14" spans="2:5" x14ac:dyDescent="0.3">
      <c r="B14" s="8" t="s">
        <v>22</v>
      </c>
      <c r="C14" s="9">
        <v>33000</v>
      </c>
    </row>
    <row r="15" spans="2:5" x14ac:dyDescent="0.3">
      <c r="B15" s="15" t="s">
        <v>42</v>
      </c>
      <c r="C15" s="14">
        <v>309000</v>
      </c>
    </row>
    <row r="18" spans="2:3" x14ac:dyDescent="0.3">
      <c r="B18" s="5" t="s">
        <v>50</v>
      </c>
      <c r="C18" s="17" t="s">
        <v>43</v>
      </c>
    </row>
    <row r="19" spans="2:3" x14ac:dyDescent="0.3">
      <c r="B19" s="21">
        <v>45658</v>
      </c>
      <c r="C19" s="6">
        <v>75000</v>
      </c>
    </row>
    <row r="20" spans="2:3" x14ac:dyDescent="0.3">
      <c r="B20" s="21">
        <v>45659</v>
      </c>
      <c r="C20" s="6">
        <v>12000</v>
      </c>
    </row>
    <row r="21" spans="2:3" x14ac:dyDescent="0.3">
      <c r="B21" s="21">
        <v>45660</v>
      </c>
      <c r="C21" s="6">
        <v>35000</v>
      </c>
    </row>
    <row r="22" spans="2:3" x14ac:dyDescent="0.3">
      <c r="B22" s="21">
        <v>45661</v>
      </c>
      <c r="C22" s="6">
        <v>20000</v>
      </c>
    </row>
    <row r="23" spans="2:3" x14ac:dyDescent="0.3">
      <c r="B23" s="21">
        <v>45662</v>
      </c>
      <c r="C23" s="6">
        <v>78000</v>
      </c>
    </row>
    <row r="24" spans="2:3" x14ac:dyDescent="0.3">
      <c r="B24" s="21">
        <v>45663</v>
      </c>
      <c r="C24" s="6">
        <v>7000</v>
      </c>
    </row>
    <row r="25" spans="2:3" x14ac:dyDescent="0.3">
      <c r="B25" s="21">
        <v>45664</v>
      </c>
      <c r="C25" s="6">
        <v>28000</v>
      </c>
    </row>
    <row r="26" spans="2:3" x14ac:dyDescent="0.3">
      <c r="B26" s="21">
        <v>45665</v>
      </c>
      <c r="C26" s="6">
        <v>9000</v>
      </c>
    </row>
    <row r="27" spans="2:3" x14ac:dyDescent="0.3">
      <c r="B27" s="21">
        <v>45666</v>
      </c>
      <c r="C27" s="6">
        <v>45000</v>
      </c>
    </row>
    <row r="28" spans="2:3" x14ac:dyDescent="0.3">
      <c r="B28" s="19" t="s">
        <v>42</v>
      </c>
      <c r="C28" s="14">
        <v>309000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orders_data</vt:lpstr>
      <vt:lpstr>executive_summary</vt:lpstr>
      <vt:lpstr>pivot_summary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2026-03-22T03:19:22Z</dcterms:created>
  <dcterms:modified xsi:type="dcterms:W3CDTF">2026-03-22T05:10:46Z</dcterms:modified>
</cp:coreProperties>
</file>