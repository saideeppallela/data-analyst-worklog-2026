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D:\Github -Excel\day55\"/>
    </mc:Choice>
  </mc:AlternateContent>
  <xr:revisionPtr revIDLastSave="0" documentId="13_ncr:1_{3B8AE39E-8D08-4F3F-8D94-5F0E7967D3B3}" xr6:coauthVersionLast="47" xr6:coauthVersionMax="47" xr10:uidLastSave="{00000000-0000-0000-0000-000000000000}"/>
  <bookViews>
    <workbookView xWindow="30600" yWindow="-120" windowWidth="29040" windowHeight="15720" activeTab="1" xr2:uid="{00000000-000D-0000-FFFF-FFFF00000000}"/>
  </bookViews>
  <sheets>
    <sheet name="sales_data" sheetId="1" r:id="rId1"/>
    <sheet name="pivot summary" sheetId="2" r:id="rId2"/>
    <sheet name="Dashboard" sheetId="3" r:id="rId3"/>
  </sheets>
  <definedNames>
    <definedName name="Slicer_category">#N/A</definedName>
    <definedName name="Slicer_customer_type">#N/A</definedName>
    <definedName name="Slicer_region">#N/A</definedName>
  </definedNames>
  <calcPr calcId="191029"/>
  <pivotCaches>
    <pivotCache cacheId="6"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1" l="1"/>
  <c r="J4" i="1"/>
  <c r="J5" i="1"/>
  <c r="J6" i="1"/>
  <c r="J7" i="1"/>
  <c r="J8" i="1"/>
  <c r="J9" i="1"/>
  <c r="J10" i="1"/>
  <c r="J11" i="1"/>
  <c r="J12" i="1"/>
  <c r="J13" i="1"/>
  <c r="I3" i="1"/>
  <c r="I4" i="1"/>
  <c r="I5" i="1"/>
  <c r="I6" i="1"/>
  <c r="I7" i="1"/>
  <c r="I8" i="1"/>
  <c r="I9" i="1"/>
  <c r="I10" i="1"/>
  <c r="I11" i="1"/>
  <c r="I12" i="1"/>
  <c r="I13" i="1"/>
  <c r="J2" i="1"/>
  <c r="I2" i="1"/>
</calcChain>
</file>

<file path=xl/sharedStrings.xml><?xml version="1.0" encoding="utf-8"?>
<sst xmlns="http://schemas.openxmlformats.org/spreadsheetml/2006/main" count="96" uniqueCount="49">
  <si>
    <t>order_id</t>
  </si>
  <si>
    <t>order_date</t>
  </si>
  <si>
    <t>region</t>
  </si>
  <si>
    <t>category</t>
  </si>
  <si>
    <t>product</t>
  </si>
  <si>
    <t>customer_type</t>
  </si>
  <si>
    <t>revenue</t>
  </si>
  <si>
    <t>cost</t>
  </si>
  <si>
    <t>ORD101</t>
  </si>
  <si>
    <t>North</t>
  </si>
  <si>
    <t>Electronics</t>
  </si>
  <si>
    <t>Laptop</t>
  </si>
  <si>
    <t>New</t>
  </si>
  <si>
    <t>ORD102</t>
  </si>
  <si>
    <t>South</t>
  </si>
  <si>
    <t>Furniture</t>
  </si>
  <si>
    <t>Chair</t>
  </si>
  <si>
    <t>Returning</t>
  </si>
  <si>
    <t>ORD103</t>
  </si>
  <si>
    <t>West</t>
  </si>
  <si>
    <t>Mobile</t>
  </si>
  <si>
    <t>ORD104</t>
  </si>
  <si>
    <t>East</t>
  </si>
  <si>
    <t>Clothing</t>
  </si>
  <si>
    <t>Shirt</t>
  </si>
  <si>
    <t>ORD105</t>
  </si>
  <si>
    <t>Table</t>
  </si>
  <si>
    <t>ORD106</t>
  </si>
  <si>
    <t>ORD107</t>
  </si>
  <si>
    <t>Jeans</t>
  </si>
  <si>
    <t>ORD108</t>
  </si>
  <si>
    <t>ORD109</t>
  </si>
  <si>
    <t>Jacket</t>
  </si>
  <si>
    <t>ORD110</t>
  </si>
  <si>
    <t>Sofa</t>
  </si>
  <si>
    <t>ORD111</t>
  </si>
  <si>
    <t>Tablet</t>
  </si>
  <si>
    <t>ORD112</t>
  </si>
  <si>
    <t>Bed</t>
  </si>
  <si>
    <t>profit</t>
  </si>
  <si>
    <t>profit_margin</t>
  </si>
  <si>
    <t>Total Revenue</t>
  </si>
  <si>
    <t>Total Profit</t>
  </si>
  <si>
    <t>Total Orders</t>
  </si>
  <si>
    <t>KPI</t>
  </si>
  <si>
    <t>Category Performance</t>
  </si>
  <si>
    <t>Region</t>
  </si>
  <si>
    <t>Region Performance</t>
  </si>
  <si>
    <t>Trend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</si>
</sst>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Calibri"/>
      <family val="2"/>
      <scheme val="minor"/>
    </font>
    <font>
      <sz val="18"/>
      <color theme="1"/>
      <name val="Calibri"/>
      <family val="2"/>
      <scheme val="minor"/>
    </font>
    <font>
      <sz val="24"/>
      <color theme="1"/>
      <name val="Calibri"/>
      <family val="2"/>
      <scheme val="minor"/>
    </font>
    <font>
      <b/>
      <sz val="24"/>
      <color theme="1"/>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9" fontId="0" fillId="0" borderId="0" xfId="1" applyFont="1"/>
    <xf numFmtId="14" fontId="0" fillId="0" borderId="0" xfId="0" applyNumberFormat="1"/>
    <xf numFmtId="0" fontId="0" fillId="0" borderId="0" xfId="0" pivotButton="1"/>
    <xf numFmtId="0" fontId="0" fillId="0" borderId="0" xfId="0" applyAlignment="1">
      <alignment horizontal="left"/>
    </xf>
    <xf numFmtId="0" fontId="3" fillId="0" borderId="0" xfId="0" applyNumberFormat="1" applyFont="1"/>
    <xf numFmtId="0" fontId="0" fillId="2" borderId="0" xfId="0" applyFill="1" applyAlignment="1">
      <alignment horizontal="center"/>
    </xf>
    <xf numFmtId="3" fontId="3" fillId="0" borderId="0" xfId="0" applyNumberFormat="1" applyFont="1"/>
    <xf numFmtId="0" fontId="2" fillId="2" borderId="0" xfId="0" applyFont="1" applyFill="1" applyAlignment="1">
      <alignment horizontal="center"/>
    </xf>
    <xf numFmtId="16" fontId="0" fillId="0" borderId="0" xfId="0" applyNumberFormat="1" applyAlignment="1">
      <alignment horizontal="left"/>
    </xf>
    <xf numFmtId="0" fontId="5" fillId="3" borderId="0" xfId="0" applyFont="1" applyFill="1"/>
    <xf numFmtId="0" fontId="0" fillId="3" borderId="0" xfId="0" applyFill="1"/>
    <xf numFmtId="0" fontId="6" fillId="3" borderId="0" xfId="0" applyFont="1" applyFill="1" applyAlignment="1">
      <alignment horizontal="left"/>
    </xf>
    <xf numFmtId="3" fontId="6" fillId="3" borderId="0" xfId="0" applyNumberFormat="1" applyFont="1" applyFill="1"/>
    <xf numFmtId="0" fontId="4" fillId="3" borderId="0" xfId="0" applyFont="1" applyFill="1"/>
  </cellXfs>
  <cellStyles count="2">
    <cellStyle name="Normal" xfId="0" builtinId="0"/>
    <cellStyle name="Percent" xfId="1" builtinId="5"/>
  </cellStyles>
  <dxfs count="171">
    <dxf>
      <font>
        <sz val="14"/>
      </font>
    </dxf>
    <dxf>
      <font>
        <b val="0"/>
      </font>
    </dxf>
    <dxf>
      <numFmt numFmtId="3" formatCode="#,##0"/>
    </dxf>
    <dxf>
      <numFmt numFmtId="3" formatCode="#,##0"/>
    </dxf>
    <dxf>
      <numFmt numFmtId="3" formatCode="#,##0"/>
    </dxf>
    <dxf>
      <font>
        <b/>
      </font>
    </dxf>
    <dxf>
      <font>
        <sz val="24"/>
      </font>
    </dxf>
    <dxf>
      <font>
        <sz val="24"/>
      </font>
    </dxf>
    <dxf>
      <font>
        <sz val="24"/>
      </font>
    </dxf>
    <dxf>
      <font>
        <sz val="24"/>
      </font>
    </dxf>
    <dxf>
      <font>
        <sz val="24"/>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sz val="14"/>
      </font>
    </dxf>
    <dxf>
      <font>
        <b val="0"/>
      </font>
    </dxf>
    <dxf>
      <numFmt numFmtId="3" formatCode="#,##0"/>
    </dxf>
    <dxf>
      <numFmt numFmtId="21" formatCode="dd/mmm"/>
    </dxf>
    <dxf>
      <font>
        <sz val="14"/>
      </font>
    </dxf>
    <dxf>
      <font>
        <b val="0"/>
      </font>
    </dxf>
    <dxf>
      <numFmt numFmtId="3" formatCode="#,##0"/>
    </dxf>
    <dxf>
      <numFmt numFmtId="3" formatCode="#,##0"/>
    </dxf>
    <dxf>
      <numFmt numFmtId="3" formatCode="#,##0"/>
    </dxf>
    <dxf>
      <font>
        <sz val="14"/>
      </font>
    </dxf>
    <dxf>
      <font>
        <b val="0"/>
      </font>
    </dxf>
    <dxf>
      <numFmt numFmtId="3" formatCode="#,##0"/>
    </dxf>
    <dxf>
      <numFmt numFmtId="3" formatCode="#,##0"/>
    </dxf>
    <dxf>
      <numFmt numFmtId="3" formatCode="#,##0"/>
    </dxf>
    <dxf>
      <font>
        <sz val="14"/>
      </font>
    </dxf>
    <dxf>
      <font>
        <b val="0"/>
      </font>
    </dxf>
    <dxf>
      <numFmt numFmtId="3" formatCode="#,##0"/>
    </dxf>
    <dxf>
      <numFmt numFmtId="3" formatCode="#,##0"/>
    </dxf>
    <dxf>
      <font>
        <sz val="14"/>
      </font>
    </dxf>
    <dxf>
      <font>
        <b val="0"/>
      </font>
    </dxf>
    <dxf>
      <numFmt numFmtId="3" formatCode="#,##0"/>
    </dxf>
    <dxf>
      <numFmt numFmtId="3" formatCode="#,##0"/>
    </dxf>
    <dxf>
      <numFmt numFmtId="3" formatCode="#,##0"/>
    </dxf>
    <dxf>
      <font>
        <b/>
      </font>
    </dxf>
    <dxf>
      <font>
        <sz val="24"/>
      </font>
    </dxf>
    <dxf>
      <font>
        <sz val="24"/>
      </font>
    </dxf>
    <dxf>
      <font>
        <sz val="24"/>
      </font>
    </dxf>
    <dxf>
      <font>
        <sz val="24"/>
      </font>
    </dxf>
    <dxf>
      <font>
        <sz val="24"/>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sz val="14"/>
      </font>
    </dxf>
    <dxf>
      <font>
        <b val="0"/>
      </font>
    </dxf>
    <dxf>
      <numFmt numFmtId="3" formatCode="#,##0"/>
    </dxf>
    <dxf>
      <numFmt numFmtId="21" formatCode="dd/mmm"/>
    </dxf>
    <dxf>
      <font>
        <sz val="14"/>
      </font>
    </dxf>
    <dxf>
      <font>
        <b val="0"/>
      </font>
    </dxf>
    <dxf>
      <numFmt numFmtId="3" formatCode="#,##0"/>
    </dxf>
    <dxf>
      <numFmt numFmtId="3" formatCode="#,##0"/>
    </dxf>
    <dxf>
      <numFmt numFmtId="3" formatCode="#,##0"/>
    </dxf>
    <dxf>
      <font>
        <sz val="14"/>
      </font>
    </dxf>
    <dxf>
      <font>
        <b val="0"/>
      </font>
    </dxf>
    <dxf>
      <numFmt numFmtId="3" formatCode="#,##0"/>
    </dxf>
    <dxf>
      <numFmt numFmtId="3" formatCode="#,##0"/>
    </dxf>
    <dxf>
      <numFmt numFmtId="3" formatCode="#,##0"/>
    </dxf>
    <dxf>
      <font>
        <sz val="14"/>
      </font>
    </dxf>
    <dxf>
      <font>
        <b val="0"/>
      </font>
    </dxf>
    <dxf>
      <numFmt numFmtId="3" formatCode="#,##0"/>
    </dxf>
    <dxf>
      <numFmt numFmtId="3"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sz val="14"/>
      </font>
    </dxf>
    <dxf>
      <font>
        <b val="0"/>
      </font>
    </dxf>
    <dxf>
      <numFmt numFmtId="3" formatCode="#,##0"/>
    </dxf>
    <dxf>
      <numFmt numFmtId="3" formatCode="#,##0"/>
    </dxf>
    <dxf>
      <numFmt numFmtId="3" formatCode="#,##0"/>
    </dxf>
    <dxf>
      <font>
        <b/>
      </font>
    </dxf>
    <dxf>
      <font>
        <sz val="24"/>
      </font>
    </dxf>
    <dxf>
      <font>
        <sz val="24"/>
      </font>
    </dxf>
    <dxf>
      <font>
        <sz val="24"/>
      </font>
    </dxf>
    <dxf>
      <font>
        <sz val="24"/>
      </font>
    </dxf>
    <dxf>
      <font>
        <sz val="24"/>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sz val="14"/>
      </font>
    </dxf>
    <dxf>
      <font>
        <b val="0"/>
      </font>
    </dxf>
    <dxf>
      <numFmt numFmtId="3" formatCode="#,##0"/>
    </dxf>
    <dxf>
      <numFmt numFmtId="3" formatCode="#,##0"/>
    </dxf>
    <dxf>
      <numFmt numFmtId="3" formatCode="#,##0"/>
    </dxf>
    <dxf>
      <font>
        <b/>
      </font>
    </dxf>
    <dxf>
      <font>
        <sz val="24"/>
      </font>
    </dxf>
    <dxf>
      <font>
        <sz val="24"/>
      </font>
    </dxf>
    <dxf>
      <font>
        <sz val="24"/>
      </font>
    </dxf>
    <dxf>
      <font>
        <sz val="24"/>
      </font>
    </dxf>
    <dxf>
      <font>
        <sz val="24"/>
      </font>
    </dxf>
    <dxf>
      <font>
        <sz val="14"/>
      </font>
    </dxf>
    <dxf>
      <font>
        <b val="0"/>
      </font>
    </dxf>
    <dxf>
      <numFmt numFmtId="3" formatCode="#,##0"/>
    </dxf>
    <dxf>
      <numFmt numFmtId="3" formatCode="#,##0"/>
    </dxf>
    <dxf>
      <numFmt numFmtId="3" formatCode="#,##0"/>
    </dxf>
    <dxf>
      <font>
        <sz val="14"/>
      </font>
    </dxf>
    <dxf>
      <font>
        <b val="0"/>
      </font>
    </dxf>
    <dxf>
      <numFmt numFmtId="3" formatCode="#,##0"/>
    </dxf>
    <dxf>
      <numFmt numFmtId="3" formatCode="#,##0"/>
    </dxf>
    <dxf>
      <numFmt numFmtId="3" formatCode="#,##0"/>
    </dxf>
    <dxf>
      <font>
        <sz val="14"/>
      </font>
    </dxf>
    <dxf>
      <font>
        <b val="0"/>
      </font>
    </dxf>
    <dxf>
      <numFmt numFmtId="3" formatCode="#,##0"/>
    </dxf>
    <dxf>
      <numFmt numFmtId="3" formatCode="#,##0"/>
    </dxf>
    <dxf>
      <font>
        <sz val="14"/>
      </font>
    </dxf>
    <dxf>
      <font>
        <b val="0"/>
      </font>
    </dxf>
    <dxf>
      <numFmt numFmtId="3" formatCode="#,##0"/>
    </dxf>
    <dxf>
      <numFmt numFmtId="3" formatCode="#,##0"/>
    </dxf>
    <dxf>
      <numFmt numFmtId="3" formatCode="#,##0"/>
    </dxf>
    <dxf>
      <font>
        <b/>
      </font>
    </dxf>
    <dxf>
      <font>
        <sz val="24"/>
      </font>
    </dxf>
    <dxf>
      <font>
        <sz val="24"/>
      </font>
    </dxf>
    <dxf>
      <font>
        <sz val="24"/>
      </font>
    </dxf>
    <dxf>
      <font>
        <sz val="24"/>
      </font>
    </dxf>
    <dxf>
      <font>
        <sz val="24"/>
      </font>
    </dxf>
    <dxf>
      <font>
        <sz val="14"/>
      </font>
    </dxf>
    <dxf>
      <font>
        <b val="0"/>
      </font>
    </dxf>
    <dxf>
      <numFmt numFmtId="3" formatCode="#,##0"/>
    </dxf>
    <dxf>
      <numFmt numFmtId="3" formatCode="#,##0"/>
    </dxf>
    <dxf>
      <numFmt numFmtId="3" formatCode="#,##0"/>
    </dxf>
    <dxf>
      <font>
        <sz val="14"/>
      </font>
    </dxf>
    <dxf>
      <font>
        <b val="0"/>
      </font>
    </dxf>
    <dxf>
      <numFmt numFmtId="3" formatCode="#,##0"/>
    </dxf>
    <dxf>
      <numFmt numFmtId="3" formatCode="#,##0"/>
    </dxf>
    <dxf>
      <numFmt numFmtId="3" formatCode="#,##0"/>
    </dxf>
    <dxf>
      <font>
        <sz val="14"/>
      </font>
    </dxf>
    <dxf>
      <font>
        <b val="0"/>
      </font>
    </dxf>
    <dxf>
      <numFmt numFmtId="3" formatCode="#,##0"/>
    </dxf>
    <dxf>
      <numFmt numFmtId="3" formatCode="#,##0"/>
    </dxf>
    <dxf>
      <font>
        <sz val="24"/>
      </font>
    </dxf>
    <dxf>
      <font>
        <sz val="24"/>
      </font>
    </dxf>
    <dxf>
      <font>
        <sz val="24"/>
      </font>
    </dxf>
    <dxf>
      <font>
        <sz val="24"/>
      </font>
    </dxf>
    <dxf>
      <font>
        <sz val="24"/>
      </font>
    </dxf>
    <dxf>
      <numFmt numFmtId="3" formatCode="#,##0"/>
    </dxf>
    <dxf>
      <numFmt numFmtId="3" formatCode="#,##0"/>
    </dxf>
    <dxf>
      <font>
        <sz val="14"/>
      </font>
    </dxf>
    <dxf>
      <font>
        <b val="0"/>
      </font>
    </dxf>
    <dxf>
      <numFmt numFmtId="3" formatCode="#,##0"/>
    </dxf>
    <dxf>
      <numFmt numFmtId="3" formatCode="#,##0"/>
    </dxf>
    <dxf>
      <font>
        <sz val="14"/>
      </font>
    </dxf>
    <dxf>
      <font>
        <b val="0"/>
      </font>
    </dxf>
    <dxf>
      <numFmt numFmtId="3" formatCode="#,##0"/>
    </dxf>
    <dxf>
      <numFmt numFmtId="21" formatCode="dd/mmm"/>
    </dxf>
    <dxf>
      <font>
        <b/>
      </font>
    </dxf>
    <dxf>
      <font>
        <sz val="14"/>
      </font>
    </dxf>
    <dxf>
      <font>
        <b val="0"/>
      </font>
    </dxf>
    <dxf>
      <numFmt numFmtId="3" formatCode="#,##0"/>
    </dxf>
    <dxf>
      <numFmt numFmtId="3" formatCode="#,##0"/>
    </dxf>
    <dxf>
      <numFmt numFmtId="3" formatCode="#,##0"/>
    </dxf>
    <dxf>
      <font>
        <sz val="14"/>
      </font>
    </dxf>
    <dxf>
      <font>
        <b val="0"/>
      </font>
    </dxf>
    <dxf>
      <numFmt numFmtId="3" formatCode="#,##0"/>
    </dxf>
    <dxf>
      <numFmt numFmtId="3" formatCode="#,##0"/>
    </dxf>
    <dxf>
      <numFmt numFmtId="3" formatCode="#,##0"/>
    </dxf>
    <dxf>
      <numFmt numFmtId="3" formatCode="#,##0"/>
    </dxf>
    <dxf>
      <font>
        <b val="0"/>
      </font>
    </dxf>
    <dxf>
      <font>
        <sz val="14"/>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 summary!PivotTable4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Trend (Feb 2025)</a:t>
            </a:r>
            <a:endParaRPr lang="en-US"/>
          </a:p>
        </c:rich>
      </c:tx>
      <c:layout>
        <c:manualLayout>
          <c:xMode val="edge"/>
          <c:yMode val="edge"/>
          <c:x val="0.24323967747337227"/>
          <c:y val="1.85126067936893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summary'!$C$22</c:f>
              <c:strCache>
                <c:ptCount val="1"/>
                <c:pt idx="0">
                  <c:v>Total</c:v>
                </c:pt>
              </c:strCache>
            </c:strRef>
          </c:tx>
          <c:spPr>
            <a:ln w="34925" cap="rnd">
              <a:solidFill>
                <a:schemeClr val="accent1"/>
              </a:solidFill>
              <a:round/>
            </a:ln>
            <a:effectLst/>
          </c:spPr>
          <c:marker>
            <c:symbol val="none"/>
          </c:marker>
          <c:cat>
            <c:strRef>
              <c:f>'pivot summary'!$B$23:$B$34</c:f>
              <c:strCache>
                <c:ptCount val="12"/>
                <c:pt idx="0">
                  <c:v>01-02-2025</c:v>
                </c:pt>
                <c:pt idx="1">
                  <c:v>02-02-2025</c:v>
                </c:pt>
                <c:pt idx="2">
                  <c:v>03-02-2025</c:v>
                </c:pt>
                <c:pt idx="3">
                  <c:v>04-02-2025</c:v>
                </c:pt>
                <c:pt idx="4">
                  <c:v>05-02-2025</c:v>
                </c:pt>
                <c:pt idx="5">
                  <c:v>06-02-2025</c:v>
                </c:pt>
                <c:pt idx="6">
                  <c:v>07-02-2025</c:v>
                </c:pt>
                <c:pt idx="7">
                  <c:v>08-02-2025</c:v>
                </c:pt>
                <c:pt idx="8">
                  <c:v>09-02-2025</c:v>
                </c:pt>
                <c:pt idx="9">
                  <c:v>10-02-2025</c:v>
                </c:pt>
                <c:pt idx="10">
                  <c:v>11-02-2025</c:v>
                </c:pt>
                <c:pt idx="11">
                  <c:v>12-02-2025</c:v>
                </c:pt>
              </c:strCache>
            </c:strRef>
          </c:cat>
          <c:val>
            <c:numRef>
              <c:f>'pivot summary'!$C$23:$C$34</c:f>
              <c:numCache>
                <c:formatCode>#,##0</c:formatCode>
                <c:ptCount val="12"/>
                <c:pt idx="0">
                  <c:v>80000</c:v>
                </c:pt>
                <c:pt idx="1">
                  <c:v>15000</c:v>
                </c:pt>
                <c:pt idx="2">
                  <c:v>32000</c:v>
                </c:pt>
                <c:pt idx="3">
                  <c:v>6000</c:v>
                </c:pt>
                <c:pt idx="4">
                  <c:v>25000</c:v>
                </c:pt>
                <c:pt idx="5">
                  <c:v>85000</c:v>
                </c:pt>
                <c:pt idx="6">
                  <c:v>9000</c:v>
                </c:pt>
                <c:pt idx="7">
                  <c:v>30000</c:v>
                </c:pt>
                <c:pt idx="8">
                  <c:v>11000</c:v>
                </c:pt>
                <c:pt idx="9">
                  <c:v>50000</c:v>
                </c:pt>
                <c:pt idx="10">
                  <c:v>27000</c:v>
                </c:pt>
                <c:pt idx="11">
                  <c:v>60000</c:v>
                </c:pt>
              </c:numCache>
            </c:numRef>
          </c:val>
          <c:smooth val="0"/>
          <c:extLst>
            <c:ext xmlns:c16="http://schemas.microsoft.com/office/drawing/2014/chart" uri="{C3380CC4-5D6E-409C-BE32-E72D297353CC}">
              <c16:uniqueId val="{00000000-3CCA-4A20-BF59-AF8D21900F4B}"/>
            </c:ext>
          </c:extLst>
        </c:ser>
        <c:dLbls>
          <c:dLblPos val="t"/>
          <c:showLegendKey val="0"/>
          <c:showVal val="0"/>
          <c:showCatName val="0"/>
          <c:showSerName val="0"/>
          <c:showPercent val="0"/>
          <c:showBubbleSize val="0"/>
        </c:dLbls>
        <c:smooth val="0"/>
        <c:axId val="896461871"/>
        <c:axId val="896461391"/>
      </c:lineChart>
      <c:dateAx>
        <c:axId val="896461871"/>
        <c:scaling>
          <c:orientation val="minMax"/>
        </c:scaling>
        <c:delete val="0"/>
        <c:axPos val="b"/>
        <c:numFmt formatCode="[$-14009]dd\ mmmm\ 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461391"/>
        <c:crosses val="autoZero"/>
        <c:auto val="0"/>
        <c:lblOffset val="100"/>
        <c:baseTimeUnit val="days"/>
        <c:majorUnit val="2"/>
      </c:dateAx>
      <c:valAx>
        <c:axId val="89646139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461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 summary!PivotTable2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vs Profit by Category</a:t>
            </a:r>
            <a:endParaRPr lang="en-IN"/>
          </a:p>
        </c:rich>
      </c:tx>
      <c:layout>
        <c:manualLayout>
          <c:xMode val="edge"/>
          <c:yMode val="edge"/>
          <c:x val="0.165310777006582"/>
          <c:y val="5.65054284512989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summary'!$C$9</c:f>
              <c:strCache>
                <c:ptCount val="1"/>
                <c:pt idx="0">
                  <c:v>Total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summary'!$B$10:$B$12</c:f>
              <c:strCache>
                <c:ptCount val="3"/>
                <c:pt idx="0">
                  <c:v>Electronics</c:v>
                </c:pt>
                <c:pt idx="1">
                  <c:v>Furniture</c:v>
                </c:pt>
                <c:pt idx="2">
                  <c:v>Clothing</c:v>
                </c:pt>
              </c:strCache>
            </c:strRef>
          </c:cat>
          <c:val>
            <c:numRef>
              <c:f>'pivot summary'!$C$10:$C$12</c:f>
              <c:numCache>
                <c:formatCode>#,##0</c:formatCode>
                <c:ptCount val="3"/>
                <c:pt idx="0">
                  <c:v>254000</c:v>
                </c:pt>
                <c:pt idx="1">
                  <c:v>150000</c:v>
                </c:pt>
                <c:pt idx="2">
                  <c:v>26000</c:v>
                </c:pt>
              </c:numCache>
            </c:numRef>
          </c:val>
          <c:extLst>
            <c:ext xmlns:c16="http://schemas.microsoft.com/office/drawing/2014/chart" uri="{C3380CC4-5D6E-409C-BE32-E72D297353CC}">
              <c16:uniqueId val="{00000000-C6E2-40D2-AE0F-930C3C1C063D}"/>
            </c:ext>
          </c:extLst>
        </c:ser>
        <c:ser>
          <c:idx val="1"/>
          <c:order val="1"/>
          <c:tx>
            <c:strRef>
              <c:f>'pivot summary'!$D$9</c:f>
              <c:strCache>
                <c:ptCount val="1"/>
                <c:pt idx="0">
                  <c:v>Total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summary'!$B$10:$B$12</c:f>
              <c:strCache>
                <c:ptCount val="3"/>
                <c:pt idx="0">
                  <c:v>Electronics</c:v>
                </c:pt>
                <c:pt idx="1">
                  <c:v>Furniture</c:v>
                </c:pt>
                <c:pt idx="2">
                  <c:v>Clothing</c:v>
                </c:pt>
              </c:strCache>
            </c:strRef>
          </c:cat>
          <c:val>
            <c:numRef>
              <c:f>'pivot summary'!$D$10:$D$12</c:f>
              <c:numCache>
                <c:formatCode>#,##0</c:formatCode>
                <c:ptCount val="3"/>
                <c:pt idx="0">
                  <c:v>77000</c:v>
                </c:pt>
                <c:pt idx="1">
                  <c:v>46000</c:v>
                </c:pt>
                <c:pt idx="2">
                  <c:v>13000</c:v>
                </c:pt>
              </c:numCache>
            </c:numRef>
          </c:val>
          <c:extLst>
            <c:ext xmlns:c16="http://schemas.microsoft.com/office/drawing/2014/chart" uri="{C3380CC4-5D6E-409C-BE32-E72D297353CC}">
              <c16:uniqueId val="{00000004-C6E2-40D2-AE0F-930C3C1C063D}"/>
            </c:ext>
          </c:extLst>
        </c:ser>
        <c:dLbls>
          <c:showLegendKey val="0"/>
          <c:showVal val="0"/>
          <c:showCatName val="0"/>
          <c:showSerName val="0"/>
          <c:showPercent val="0"/>
          <c:showBubbleSize val="0"/>
        </c:dLbls>
        <c:gapWidth val="182"/>
        <c:axId val="896398031"/>
        <c:axId val="896400911"/>
      </c:barChart>
      <c:catAx>
        <c:axId val="89639803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400911"/>
        <c:crosses val="autoZero"/>
        <c:auto val="1"/>
        <c:lblAlgn val="ctr"/>
        <c:lblOffset val="100"/>
        <c:noMultiLvlLbl val="0"/>
      </c:catAx>
      <c:valAx>
        <c:axId val="896400911"/>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398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 summary!PivotTable3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ysClr val="windowText" lastClr="000000">
                    <a:lumMod val="65000"/>
                    <a:lumOff val="35000"/>
                  </a:sysClr>
                </a:solidFill>
              </a:rPr>
              <a:t>Revenue vs Profit by Region</a:t>
            </a:r>
          </a:p>
          <a:p>
            <a:pPr>
              <a:defRPr/>
            </a:pPr>
            <a:endParaRPr lang="en-IN"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93952531214671"/>
          <c:y val="0.31483105562560393"/>
          <c:w val="0.50272313494402587"/>
          <c:h val="0.53313373500043237"/>
        </c:manualLayout>
      </c:layout>
      <c:barChart>
        <c:barDir val="col"/>
        <c:grouping val="clustered"/>
        <c:varyColors val="0"/>
        <c:ser>
          <c:idx val="0"/>
          <c:order val="0"/>
          <c:tx>
            <c:strRef>
              <c:f>'pivot summary'!$C$15</c:f>
              <c:strCache>
                <c:ptCount val="1"/>
                <c:pt idx="0">
                  <c:v>Total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summary'!$B$16:$B$19</c:f>
              <c:strCache>
                <c:ptCount val="4"/>
                <c:pt idx="0">
                  <c:v>South</c:v>
                </c:pt>
                <c:pt idx="1">
                  <c:v>North</c:v>
                </c:pt>
                <c:pt idx="2">
                  <c:v>East</c:v>
                </c:pt>
                <c:pt idx="3">
                  <c:v>West</c:v>
                </c:pt>
              </c:strCache>
            </c:strRef>
          </c:cat>
          <c:val>
            <c:numRef>
              <c:f>'pivot summary'!$C$16:$C$19</c:f>
              <c:numCache>
                <c:formatCode>#,##0</c:formatCode>
                <c:ptCount val="4"/>
                <c:pt idx="0">
                  <c:v>150000</c:v>
                </c:pt>
                <c:pt idx="1">
                  <c:v>116000</c:v>
                </c:pt>
                <c:pt idx="2">
                  <c:v>96000</c:v>
                </c:pt>
                <c:pt idx="3">
                  <c:v>68000</c:v>
                </c:pt>
              </c:numCache>
            </c:numRef>
          </c:val>
          <c:extLst>
            <c:ext xmlns:c16="http://schemas.microsoft.com/office/drawing/2014/chart" uri="{C3380CC4-5D6E-409C-BE32-E72D297353CC}">
              <c16:uniqueId val="{00000000-4F72-4E8A-B50D-F07DF80DC4C5}"/>
            </c:ext>
          </c:extLst>
        </c:ser>
        <c:ser>
          <c:idx val="1"/>
          <c:order val="1"/>
          <c:tx>
            <c:strRef>
              <c:f>'pivot summary'!$D$15</c:f>
              <c:strCache>
                <c:ptCount val="1"/>
                <c:pt idx="0">
                  <c:v>Total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summary'!$B$16:$B$19</c:f>
              <c:strCache>
                <c:ptCount val="4"/>
                <c:pt idx="0">
                  <c:v>South</c:v>
                </c:pt>
                <c:pt idx="1">
                  <c:v>North</c:v>
                </c:pt>
                <c:pt idx="2">
                  <c:v>East</c:v>
                </c:pt>
                <c:pt idx="3">
                  <c:v>West</c:v>
                </c:pt>
              </c:strCache>
            </c:strRef>
          </c:cat>
          <c:val>
            <c:numRef>
              <c:f>'pivot summary'!$D$16:$D$19</c:f>
              <c:numCache>
                <c:formatCode>General</c:formatCode>
                <c:ptCount val="4"/>
                <c:pt idx="0">
                  <c:v>46000</c:v>
                </c:pt>
                <c:pt idx="1">
                  <c:v>36500</c:v>
                </c:pt>
                <c:pt idx="2">
                  <c:v>30000</c:v>
                </c:pt>
                <c:pt idx="3">
                  <c:v>23500</c:v>
                </c:pt>
              </c:numCache>
            </c:numRef>
          </c:val>
          <c:extLst>
            <c:ext xmlns:c16="http://schemas.microsoft.com/office/drawing/2014/chart" uri="{C3380CC4-5D6E-409C-BE32-E72D297353CC}">
              <c16:uniqueId val="{00000001-4F72-4E8A-B50D-F07DF80DC4C5}"/>
            </c:ext>
          </c:extLst>
        </c:ser>
        <c:dLbls>
          <c:dLblPos val="outEnd"/>
          <c:showLegendKey val="0"/>
          <c:showVal val="1"/>
          <c:showCatName val="0"/>
          <c:showSerName val="0"/>
          <c:showPercent val="0"/>
          <c:showBubbleSize val="0"/>
        </c:dLbls>
        <c:gapWidth val="219"/>
        <c:overlap val="-27"/>
        <c:axId val="896418191"/>
        <c:axId val="896434991"/>
      </c:barChart>
      <c:catAx>
        <c:axId val="896418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434991"/>
        <c:crosses val="autoZero"/>
        <c:auto val="1"/>
        <c:lblAlgn val="ctr"/>
        <c:lblOffset val="100"/>
        <c:noMultiLvlLbl val="0"/>
      </c:catAx>
      <c:valAx>
        <c:axId val="89643499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418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 summary!PivotTable4</c:name>
    <c:fmtId val="5"/>
  </c:pivotSource>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IN" sz="2000" b="1" i="0" u="none" strike="noStrike" baseline="0">
                <a:solidFill>
                  <a:schemeClr val="tx1"/>
                </a:solidFill>
              </a:rPr>
              <a:t>Revenue Trend (Feb 2025)</a:t>
            </a:r>
            <a:endParaRPr lang="en-US" sz="2000" b="1">
              <a:solidFill>
                <a:schemeClr val="tx1"/>
              </a:solidFill>
            </a:endParaRPr>
          </a:p>
        </c:rich>
      </c:tx>
      <c:layout>
        <c:manualLayout>
          <c:xMode val="edge"/>
          <c:yMode val="edge"/>
          <c:x val="0.42126092078271116"/>
          <c:y val="1.8512434147170454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3492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3492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1293461075516E-2"/>
          <c:y val="0.15960429763226014"/>
          <c:w val="0.95488247890738687"/>
          <c:h val="0.76563667575732286"/>
        </c:manualLayout>
      </c:layout>
      <c:lineChart>
        <c:grouping val="standard"/>
        <c:varyColors val="0"/>
        <c:ser>
          <c:idx val="0"/>
          <c:order val="0"/>
          <c:tx>
            <c:strRef>
              <c:f>'pivot summary'!$C$22</c:f>
              <c:strCache>
                <c:ptCount val="1"/>
                <c:pt idx="0">
                  <c:v>Total</c:v>
                </c:pt>
              </c:strCache>
            </c:strRef>
          </c:tx>
          <c:spPr>
            <a:ln w="3492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summary'!$B$23:$B$34</c:f>
              <c:strCache>
                <c:ptCount val="12"/>
                <c:pt idx="0">
                  <c:v>01-02-2025</c:v>
                </c:pt>
                <c:pt idx="1">
                  <c:v>02-02-2025</c:v>
                </c:pt>
                <c:pt idx="2">
                  <c:v>03-02-2025</c:v>
                </c:pt>
                <c:pt idx="3">
                  <c:v>04-02-2025</c:v>
                </c:pt>
                <c:pt idx="4">
                  <c:v>05-02-2025</c:v>
                </c:pt>
                <c:pt idx="5">
                  <c:v>06-02-2025</c:v>
                </c:pt>
                <c:pt idx="6">
                  <c:v>07-02-2025</c:v>
                </c:pt>
                <c:pt idx="7">
                  <c:v>08-02-2025</c:v>
                </c:pt>
                <c:pt idx="8">
                  <c:v>09-02-2025</c:v>
                </c:pt>
                <c:pt idx="9">
                  <c:v>10-02-2025</c:v>
                </c:pt>
                <c:pt idx="10">
                  <c:v>11-02-2025</c:v>
                </c:pt>
                <c:pt idx="11">
                  <c:v>12-02-2025</c:v>
                </c:pt>
              </c:strCache>
            </c:strRef>
          </c:cat>
          <c:val>
            <c:numRef>
              <c:f>'pivot summary'!$C$23:$C$34</c:f>
              <c:numCache>
                <c:formatCode>#,##0</c:formatCode>
                <c:ptCount val="12"/>
                <c:pt idx="0">
                  <c:v>80000</c:v>
                </c:pt>
                <c:pt idx="1">
                  <c:v>15000</c:v>
                </c:pt>
                <c:pt idx="2">
                  <c:v>32000</c:v>
                </c:pt>
                <c:pt idx="3">
                  <c:v>6000</c:v>
                </c:pt>
                <c:pt idx="4">
                  <c:v>25000</c:v>
                </c:pt>
                <c:pt idx="5">
                  <c:v>85000</c:v>
                </c:pt>
                <c:pt idx="6">
                  <c:v>9000</c:v>
                </c:pt>
                <c:pt idx="7">
                  <c:v>30000</c:v>
                </c:pt>
                <c:pt idx="8">
                  <c:v>11000</c:v>
                </c:pt>
                <c:pt idx="9">
                  <c:v>50000</c:v>
                </c:pt>
                <c:pt idx="10">
                  <c:v>27000</c:v>
                </c:pt>
                <c:pt idx="11">
                  <c:v>60000</c:v>
                </c:pt>
              </c:numCache>
            </c:numRef>
          </c:val>
          <c:smooth val="0"/>
          <c:extLst>
            <c:ext xmlns:c16="http://schemas.microsoft.com/office/drawing/2014/chart" uri="{C3380CC4-5D6E-409C-BE32-E72D297353CC}">
              <c16:uniqueId val="{00000000-5439-44A7-A2F9-D18AFC18E638}"/>
            </c:ext>
          </c:extLst>
        </c:ser>
        <c:dLbls>
          <c:dLblPos val="t"/>
          <c:showLegendKey val="0"/>
          <c:showVal val="1"/>
          <c:showCatName val="0"/>
          <c:showSerName val="0"/>
          <c:showPercent val="0"/>
          <c:showBubbleSize val="0"/>
        </c:dLbls>
        <c:smooth val="0"/>
        <c:axId val="896461871"/>
        <c:axId val="896461391"/>
      </c:lineChart>
      <c:dateAx>
        <c:axId val="896461871"/>
        <c:scaling>
          <c:orientation val="minMax"/>
        </c:scaling>
        <c:delete val="0"/>
        <c:axPos val="b"/>
        <c:numFmt formatCode="[$-14009]dd\ mmmm\ 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896461391"/>
        <c:crosses val="autoZero"/>
        <c:auto val="0"/>
        <c:lblOffset val="100"/>
        <c:baseTimeUnit val="days"/>
        <c:majorUnit val="2"/>
      </c:dateAx>
      <c:valAx>
        <c:axId val="89646139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896461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 summary!PivotTable2</c:name>
    <c:fmtId val="4"/>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IN" sz="1800" b="1" i="0" u="none" strike="noStrike" baseline="0">
                <a:solidFill>
                  <a:schemeClr val="tx1"/>
                </a:solidFill>
              </a:rPr>
              <a:t>Revenue vs Profit by Category</a:t>
            </a:r>
            <a:endParaRPr lang="en-IN" sz="1800" b="1">
              <a:solidFill>
                <a:schemeClr val="tx1"/>
              </a:solidFill>
            </a:endParaRPr>
          </a:p>
        </c:rich>
      </c:tx>
      <c:layout>
        <c:manualLayout>
          <c:xMode val="edge"/>
          <c:yMode val="edge"/>
          <c:x val="0.24855143530612042"/>
          <c:y val="4.785953795415486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summary'!$C$9</c:f>
              <c:strCache>
                <c:ptCount val="1"/>
                <c:pt idx="0">
                  <c:v>Total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summary'!$B$10:$B$12</c:f>
              <c:strCache>
                <c:ptCount val="3"/>
                <c:pt idx="0">
                  <c:v>Electronics</c:v>
                </c:pt>
                <c:pt idx="1">
                  <c:v>Furniture</c:v>
                </c:pt>
                <c:pt idx="2">
                  <c:v>Clothing</c:v>
                </c:pt>
              </c:strCache>
            </c:strRef>
          </c:cat>
          <c:val>
            <c:numRef>
              <c:f>'pivot summary'!$C$10:$C$12</c:f>
              <c:numCache>
                <c:formatCode>#,##0</c:formatCode>
                <c:ptCount val="3"/>
                <c:pt idx="0">
                  <c:v>254000</c:v>
                </c:pt>
                <c:pt idx="1">
                  <c:v>150000</c:v>
                </c:pt>
                <c:pt idx="2">
                  <c:v>26000</c:v>
                </c:pt>
              </c:numCache>
            </c:numRef>
          </c:val>
          <c:extLst>
            <c:ext xmlns:c16="http://schemas.microsoft.com/office/drawing/2014/chart" uri="{C3380CC4-5D6E-409C-BE32-E72D297353CC}">
              <c16:uniqueId val="{00000000-EA26-445E-B6EB-6354D349C0B4}"/>
            </c:ext>
          </c:extLst>
        </c:ser>
        <c:ser>
          <c:idx val="1"/>
          <c:order val="1"/>
          <c:tx>
            <c:strRef>
              <c:f>'pivot summary'!$D$9</c:f>
              <c:strCache>
                <c:ptCount val="1"/>
                <c:pt idx="0">
                  <c:v>Total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summary'!$B$10:$B$12</c:f>
              <c:strCache>
                <c:ptCount val="3"/>
                <c:pt idx="0">
                  <c:v>Electronics</c:v>
                </c:pt>
                <c:pt idx="1">
                  <c:v>Furniture</c:v>
                </c:pt>
                <c:pt idx="2">
                  <c:v>Clothing</c:v>
                </c:pt>
              </c:strCache>
            </c:strRef>
          </c:cat>
          <c:val>
            <c:numRef>
              <c:f>'pivot summary'!$D$10:$D$12</c:f>
              <c:numCache>
                <c:formatCode>#,##0</c:formatCode>
                <c:ptCount val="3"/>
                <c:pt idx="0">
                  <c:v>77000</c:v>
                </c:pt>
                <c:pt idx="1">
                  <c:v>46000</c:v>
                </c:pt>
                <c:pt idx="2">
                  <c:v>13000</c:v>
                </c:pt>
              </c:numCache>
            </c:numRef>
          </c:val>
          <c:extLst>
            <c:ext xmlns:c16="http://schemas.microsoft.com/office/drawing/2014/chart" uri="{C3380CC4-5D6E-409C-BE32-E72D297353CC}">
              <c16:uniqueId val="{00000001-EA26-445E-B6EB-6354D349C0B4}"/>
            </c:ext>
          </c:extLst>
        </c:ser>
        <c:dLbls>
          <c:showLegendKey val="0"/>
          <c:showVal val="0"/>
          <c:showCatName val="0"/>
          <c:showSerName val="0"/>
          <c:showPercent val="0"/>
          <c:showBubbleSize val="0"/>
        </c:dLbls>
        <c:gapWidth val="182"/>
        <c:axId val="896398031"/>
        <c:axId val="896400911"/>
      </c:barChart>
      <c:catAx>
        <c:axId val="89639803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896400911"/>
        <c:crosses val="autoZero"/>
        <c:auto val="1"/>
        <c:lblAlgn val="ctr"/>
        <c:lblOffset val="100"/>
        <c:noMultiLvlLbl val="0"/>
      </c:catAx>
      <c:valAx>
        <c:axId val="896400911"/>
        <c:scaling>
          <c:orientation val="minMax"/>
        </c:scaling>
        <c:delete val="0"/>
        <c:axPos val="b"/>
        <c:numFmt formatCode="#,##0" sourceLinked="1"/>
        <c:majorTickMark val="out"/>
        <c:minorTickMark val="none"/>
        <c:tickLblPos val="nextTo"/>
        <c:spPr>
          <a:solidFill>
            <a:schemeClr val="bg1"/>
          </a:solid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896398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 summary!PivotTable3</c:name>
    <c:fmtId val="2"/>
  </c:pivotSource>
  <c:chart>
    <c:title>
      <c:tx>
        <c:rich>
          <a:bodyPr rot="0" spcFirstLastPara="1" vertOverflow="ellipsis" vert="horz" wrap="square" anchor="ctr" anchorCtr="1"/>
          <a:lstStyle/>
          <a:p>
            <a:pPr>
              <a:defRPr lang="en-US" sz="1800" b="1" i="0" u="none" strike="noStrike" kern="1200" spc="0" baseline="0">
                <a:solidFill>
                  <a:schemeClr val="tx1"/>
                </a:solidFill>
                <a:latin typeface="+mn-lt"/>
                <a:ea typeface="+mn-ea"/>
                <a:cs typeface="+mn-cs"/>
              </a:defRPr>
            </a:pPr>
            <a:r>
              <a:rPr lang="en-IN" sz="1800" b="1"/>
              <a:t>Revenue vs Profit by Region</a:t>
            </a:r>
          </a:p>
          <a:p>
            <a:pPr>
              <a:defRPr sz="1800" b="1"/>
            </a:pPr>
            <a:endParaRPr lang="en-IN" sz="1800" b="1"/>
          </a:p>
        </c:rich>
      </c:tx>
      <c:layout>
        <c:manualLayout>
          <c:xMode val="edge"/>
          <c:yMode val="edge"/>
          <c:x val="0.19006183697761789"/>
          <c:y val="2.6718017621268946E-2"/>
        </c:manualLayout>
      </c:layout>
      <c:overlay val="0"/>
      <c:spPr>
        <a:noFill/>
        <a:ln>
          <a:noFill/>
        </a:ln>
        <a:effectLst/>
      </c:spPr>
      <c:txPr>
        <a:bodyPr rot="0" spcFirstLastPara="1" vertOverflow="ellipsis" vert="horz" wrap="square" anchor="ctr" anchorCtr="1"/>
        <a:lstStyle/>
        <a:p>
          <a:pPr>
            <a:defRPr lang="en-US"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93952531214671"/>
          <c:y val="0.31483105562560393"/>
          <c:w val="0.50272313494402587"/>
          <c:h val="0.53313373500043237"/>
        </c:manualLayout>
      </c:layout>
      <c:barChart>
        <c:barDir val="col"/>
        <c:grouping val="clustered"/>
        <c:varyColors val="0"/>
        <c:ser>
          <c:idx val="0"/>
          <c:order val="0"/>
          <c:tx>
            <c:strRef>
              <c:f>'pivot summary'!$C$15</c:f>
              <c:strCache>
                <c:ptCount val="1"/>
                <c:pt idx="0">
                  <c:v>Total Revenue</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summary'!$B$16:$B$19</c:f>
              <c:strCache>
                <c:ptCount val="4"/>
                <c:pt idx="0">
                  <c:v>South</c:v>
                </c:pt>
                <c:pt idx="1">
                  <c:v>North</c:v>
                </c:pt>
                <c:pt idx="2">
                  <c:v>East</c:v>
                </c:pt>
                <c:pt idx="3">
                  <c:v>West</c:v>
                </c:pt>
              </c:strCache>
            </c:strRef>
          </c:cat>
          <c:val>
            <c:numRef>
              <c:f>'pivot summary'!$C$16:$C$19</c:f>
              <c:numCache>
                <c:formatCode>#,##0</c:formatCode>
                <c:ptCount val="4"/>
                <c:pt idx="0">
                  <c:v>150000</c:v>
                </c:pt>
                <c:pt idx="1">
                  <c:v>116000</c:v>
                </c:pt>
                <c:pt idx="2">
                  <c:v>96000</c:v>
                </c:pt>
                <c:pt idx="3">
                  <c:v>68000</c:v>
                </c:pt>
              </c:numCache>
            </c:numRef>
          </c:val>
          <c:extLst>
            <c:ext xmlns:c16="http://schemas.microsoft.com/office/drawing/2014/chart" uri="{C3380CC4-5D6E-409C-BE32-E72D297353CC}">
              <c16:uniqueId val="{00000000-905E-4C90-A2CE-A02CFEE0175D}"/>
            </c:ext>
          </c:extLst>
        </c:ser>
        <c:ser>
          <c:idx val="1"/>
          <c:order val="1"/>
          <c:tx>
            <c:strRef>
              <c:f>'pivot summary'!$D$15</c:f>
              <c:strCache>
                <c:ptCount val="1"/>
                <c:pt idx="0">
                  <c:v>Total Profit</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lang="en-US"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summary'!$B$16:$B$19</c:f>
              <c:strCache>
                <c:ptCount val="4"/>
                <c:pt idx="0">
                  <c:v>South</c:v>
                </c:pt>
                <c:pt idx="1">
                  <c:v>North</c:v>
                </c:pt>
                <c:pt idx="2">
                  <c:v>East</c:v>
                </c:pt>
                <c:pt idx="3">
                  <c:v>West</c:v>
                </c:pt>
              </c:strCache>
            </c:strRef>
          </c:cat>
          <c:val>
            <c:numRef>
              <c:f>'pivot summary'!$D$16:$D$19</c:f>
              <c:numCache>
                <c:formatCode>General</c:formatCode>
                <c:ptCount val="4"/>
                <c:pt idx="0">
                  <c:v>46000</c:v>
                </c:pt>
                <c:pt idx="1">
                  <c:v>36500</c:v>
                </c:pt>
                <c:pt idx="2">
                  <c:v>30000</c:v>
                </c:pt>
                <c:pt idx="3">
                  <c:v>23500</c:v>
                </c:pt>
              </c:numCache>
            </c:numRef>
          </c:val>
          <c:extLst>
            <c:ext xmlns:c16="http://schemas.microsoft.com/office/drawing/2014/chart" uri="{C3380CC4-5D6E-409C-BE32-E72D297353CC}">
              <c16:uniqueId val="{00000001-905E-4C90-A2CE-A02CFEE0175D}"/>
            </c:ext>
          </c:extLst>
        </c:ser>
        <c:dLbls>
          <c:dLblPos val="outEnd"/>
          <c:showLegendKey val="0"/>
          <c:showVal val="1"/>
          <c:showCatName val="0"/>
          <c:showSerName val="0"/>
          <c:showPercent val="0"/>
          <c:showBubbleSize val="0"/>
        </c:dLbls>
        <c:gapWidth val="219"/>
        <c:overlap val="-27"/>
        <c:axId val="896418191"/>
        <c:axId val="896434991"/>
      </c:barChart>
      <c:catAx>
        <c:axId val="8964181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400" b="1" i="0" u="none" strike="noStrike" kern="1200" baseline="0">
                <a:solidFill>
                  <a:schemeClr val="tx1"/>
                </a:solidFill>
                <a:latin typeface="+mn-lt"/>
                <a:ea typeface="+mn-ea"/>
                <a:cs typeface="+mn-cs"/>
              </a:defRPr>
            </a:pPr>
            <a:endParaRPr lang="en-US"/>
          </a:p>
        </c:txPr>
        <c:crossAx val="896434991"/>
        <c:crosses val="autoZero"/>
        <c:auto val="1"/>
        <c:lblAlgn val="ctr"/>
        <c:lblOffset val="100"/>
        <c:noMultiLvlLbl val="0"/>
      </c:catAx>
      <c:valAx>
        <c:axId val="896434991"/>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400" b="1" i="0" u="none" strike="noStrike" kern="1200" baseline="0">
                <a:solidFill>
                  <a:schemeClr val="tx1"/>
                </a:solidFill>
                <a:latin typeface="+mn-lt"/>
                <a:ea typeface="+mn-ea"/>
                <a:cs typeface="+mn-cs"/>
              </a:defRPr>
            </a:pPr>
            <a:endParaRPr lang="en-US"/>
          </a:p>
        </c:txPr>
        <c:crossAx val="896418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4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4</xdr:col>
      <xdr:colOff>605001</xdr:colOff>
      <xdr:row>4</xdr:row>
      <xdr:rowOff>48545</xdr:rowOff>
    </xdr:from>
    <xdr:to>
      <xdr:col>7</xdr:col>
      <xdr:colOff>608680</xdr:colOff>
      <xdr:row>10</xdr:row>
      <xdr:rowOff>207252</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118245B7-B40B-C799-4291-EE45071D7F9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670803" y="832157"/>
              <a:ext cx="1838325" cy="14021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605003</xdr:colOff>
      <xdr:row>12</xdr:row>
      <xdr:rowOff>57018</xdr:rowOff>
    </xdr:from>
    <xdr:to>
      <xdr:col>8</xdr:col>
      <xdr:colOff>16818</xdr:colOff>
      <xdr:row>17</xdr:row>
      <xdr:rowOff>206396</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3353123C-3145-0815-BFBE-C6524443B64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670805" y="2543897"/>
              <a:ext cx="1861185" cy="1160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570253</xdr:colOff>
      <xdr:row>18</xdr:row>
      <xdr:rowOff>215528</xdr:rowOff>
    </xdr:from>
    <xdr:to>
      <xdr:col>7</xdr:col>
      <xdr:colOff>564407</xdr:colOff>
      <xdr:row>23</xdr:row>
      <xdr:rowOff>21808</xdr:rowOff>
    </xdr:to>
    <mc:AlternateContent xmlns:mc="http://schemas.openxmlformats.org/markup-compatibility/2006">
      <mc:Choice xmlns:a14="http://schemas.microsoft.com/office/drawing/2010/main" Requires="a14">
        <xdr:graphicFrame macro="">
          <xdr:nvGraphicFramePr>
            <xdr:cNvPr id="4" name="customer_type">
              <a:extLst>
                <a:ext uri="{FF2B5EF4-FFF2-40B4-BE49-F238E27FC236}">
                  <a16:creationId xmlns:a16="http://schemas.microsoft.com/office/drawing/2014/main" id="{6C8A1E36-2612-52C3-7A14-38241902E36A}"/>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dr:sp macro="" textlink="">
          <xdr:nvSpPr>
            <xdr:cNvPr id="0" name=""/>
            <xdr:cNvSpPr>
              <a:spLocks noTextEdit="1"/>
            </xdr:cNvSpPr>
          </xdr:nvSpPr>
          <xdr:spPr>
            <a:xfrm>
              <a:off x="3637960" y="3936321"/>
              <a:ext cx="1824990" cy="9098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229913</xdr:colOff>
      <xdr:row>1</xdr:row>
      <xdr:rowOff>176442</xdr:rowOff>
    </xdr:from>
    <xdr:to>
      <xdr:col>14</xdr:col>
      <xdr:colOff>308741</xdr:colOff>
      <xdr:row>11</xdr:row>
      <xdr:rowOff>165275</xdr:rowOff>
    </xdr:to>
    <xdr:graphicFrame macro="">
      <xdr:nvGraphicFramePr>
        <xdr:cNvPr id="5" name="Chart 4">
          <a:extLst>
            <a:ext uri="{FF2B5EF4-FFF2-40B4-BE49-F238E27FC236}">
              <a16:creationId xmlns:a16="http://schemas.microsoft.com/office/drawing/2014/main" id="{5DED1CDC-C3A4-EAD6-B308-CFA95B3493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306639</xdr:colOff>
      <xdr:row>22</xdr:row>
      <xdr:rowOff>140707</xdr:rowOff>
    </xdr:from>
    <xdr:to>
      <xdr:col>15</xdr:col>
      <xdr:colOff>2758</xdr:colOff>
      <xdr:row>34</xdr:row>
      <xdr:rowOff>86448</xdr:rowOff>
    </xdr:to>
    <xdr:graphicFrame macro="">
      <xdr:nvGraphicFramePr>
        <xdr:cNvPr id="7" name="Chart 6">
          <a:extLst>
            <a:ext uri="{FF2B5EF4-FFF2-40B4-BE49-F238E27FC236}">
              <a16:creationId xmlns:a16="http://schemas.microsoft.com/office/drawing/2014/main" id="{5B89AFBF-69B0-6D3B-BBC7-84A9DA5D4D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388422</xdr:colOff>
      <xdr:row>12</xdr:row>
      <xdr:rowOff>34683</xdr:rowOff>
    </xdr:from>
    <xdr:to>
      <xdr:col>14</xdr:col>
      <xdr:colOff>93870</xdr:colOff>
      <xdr:row>22</xdr:row>
      <xdr:rowOff>24370</xdr:rowOff>
    </xdr:to>
    <xdr:graphicFrame macro="">
      <xdr:nvGraphicFramePr>
        <xdr:cNvPr id="8" name="Chart 7">
          <a:extLst>
            <a:ext uri="{FF2B5EF4-FFF2-40B4-BE49-F238E27FC236}">
              <a16:creationId xmlns:a16="http://schemas.microsoft.com/office/drawing/2014/main" id="{F339EE14-F961-0A0F-2742-DAB7A5F71E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20</xdr:col>
      <xdr:colOff>558837</xdr:colOff>
      <xdr:row>10</xdr:row>
      <xdr:rowOff>277010</xdr:rowOff>
    </xdr:from>
    <xdr:to>
      <xdr:col>25</xdr:col>
      <xdr:colOff>474233</xdr:colOff>
      <xdr:row>18</xdr:row>
      <xdr:rowOff>101077</xdr:rowOff>
    </xdr:to>
    <mc:AlternateContent xmlns:mc="http://schemas.openxmlformats.org/markup-compatibility/2006">
      <mc:Choice xmlns:a14="http://schemas.microsoft.com/office/drawing/2010/main" Requires="a14">
        <xdr:graphicFrame macro="">
          <xdr:nvGraphicFramePr>
            <xdr:cNvPr id="2" name="region 1">
              <a:extLst>
                <a:ext uri="{FF2B5EF4-FFF2-40B4-BE49-F238E27FC236}">
                  <a16:creationId xmlns:a16="http://schemas.microsoft.com/office/drawing/2014/main" id="{6A03866A-3C78-4181-B22E-76274088D4B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5783121" y="3326915"/>
              <a:ext cx="2982922" cy="1699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560856</xdr:colOff>
      <xdr:row>5</xdr:row>
      <xdr:rowOff>1008530</xdr:rowOff>
    </xdr:from>
    <xdr:to>
      <xdr:col>25</xdr:col>
      <xdr:colOff>457536</xdr:colOff>
      <xdr:row>10</xdr:row>
      <xdr:rowOff>186691</xdr:rowOff>
    </xdr:to>
    <mc:AlternateContent xmlns:mc="http://schemas.openxmlformats.org/markup-compatibility/2006">
      <mc:Choice xmlns:a14="http://schemas.microsoft.com/office/drawing/2010/main" Requires="a14">
        <xdr:graphicFrame macro="">
          <xdr:nvGraphicFramePr>
            <xdr:cNvPr id="3" name="category 1">
              <a:extLst>
                <a:ext uri="{FF2B5EF4-FFF2-40B4-BE49-F238E27FC236}">
                  <a16:creationId xmlns:a16="http://schemas.microsoft.com/office/drawing/2014/main" id="{FF9358E3-B561-47FB-AF13-5B2307CBAA3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5787045" y="1905309"/>
              <a:ext cx="2958491" cy="13293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550655</xdr:colOff>
      <xdr:row>18</xdr:row>
      <xdr:rowOff>168089</xdr:rowOff>
    </xdr:from>
    <xdr:to>
      <xdr:col>25</xdr:col>
      <xdr:colOff>474458</xdr:colOff>
      <xdr:row>22</xdr:row>
      <xdr:rowOff>168089</xdr:rowOff>
    </xdr:to>
    <mc:AlternateContent xmlns:mc="http://schemas.openxmlformats.org/markup-compatibility/2006">
      <mc:Choice xmlns:a14="http://schemas.microsoft.com/office/drawing/2010/main" Requires="a14">
        <xdr:graphicFrame macro="">
          <xdr:nvGraphicFramePr>
            <xdr:cNvPr id="4" name="customer_type 1">
              <a:extLst>
                <a:ext uri="{FF2B5EF4-FFF2-40B4-BE49-F238E27FC236}">
                  <a16:creationId xmlns:a16="http://schemas.microsoft.com/office/drawing/2014/main" id="{84138A6E-AB0C-44D9-9372-5F9ACA0C5E41}"/>
                </a:ext>
              </a:extLst>
            </xdr:cNvPr>
            <xdr:cNvGraphicFramePr/>
          </xdr:nvGraphicFramePr>
          <xdr:xfrm>
            <a:off x="0" y="0"/>
            <a:ext cx="0" cy="0"/>
          </xdr:xfrm>
          <a:graphic>
            <a:graphicData uri="http://schemas.microsoft.com/office/drawing/2010/slicer">
              <sle:slicer xmlns:sle="http://schemas.microsoft.com/office/drawing/2010/slicer" name="customer_type 1"/>
            </a:graphicData>
          </a:graphic>
        </xdr:graphicFrame>
      </mc:Choice>
      <mc:Fallback>
        <xdr:sp macro="" textlink="">
          <xdr:nvSpPr>
            <xdr:cNvPr id="0" name=""/>
            <xdr:cNvSpPr>
              <a:spLocks noTextEdit="1"/>
            </xdr:cNvSpPr>
          </xdr:nvSpPr>
          <xdr:spPr>
            <a:xfrm>
              <a:off x="15782559" y="5101087"/>
              <a:ext cx="2983709" cy="8334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5938</xdr:colOff>
      <xdr:row>24</xdr:row>
      <xdr:rowOff>67235</xdr:rowOff>
    </xdr:from>
    <xdr:to>
      <xdr:col>25</xdr:col>
      <xdr:colOff>459442</xdr:colOff>
      <xdr:row>45</xdr:row>
      <xdr:rowOff>168089</xdr:rowOff>
    </xdr:to>
    <xdr:graphicFrame macro="">
      <xdr:nvGraphicFramePr>
        <xdr:cNvPr id="5" name="Chart 4">
          <a:extLst>
            <a:ext uri="{FF2B5EF4-FFF2-40B4-BE49-F238E27FC236}">
              <a16:creationId xmlns:a16="http://schemas.microsoft.com/office/drawing/2014/main" id="{CB69E9B4-3E92-418D-8A10-AB85D2FBB8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18603</xdr:colOff>
      <xdr:row>6</xdr:row>
      <xdr:rowOff>11206</xdr:rowOff>
    </xdr:from>
    <xdr:to>
      <xdr:col>9</xdr:col>
      <xdr:colOff>1165411</xdr:colOff>
      <xdr:row>23</xdr:row>
      <xdr:rowOff>16922</xdr:rowOff>
    </xdr:to>
    <xdr:graphicFrame macro="">
      <xdr:nvGraphicFramePr>
        <xdr:cNvPr id="6" name="Chart 5">
          <a:extLst>
            <a:ext uri="{FF2B5EF4-FFF2-40B4-BE49-F238E27FC236}">
              <a16:creationId xmlns:a16="http://schemas.microsoft.com/office/drawing/2014/main" id="{411DE85B-7D05-46E2-BB09-BE5005222F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227701</xdr:colOff>
      <xdr:row>5</xdr:row>
      <xdr:rowOff>1008529</xdr:rowOff>
    </xdr:from>
    <xdr:to>
      <xdr:col>20</xdr:col>
      <xdr:colOff>401730</xdr:colOff>
      <xdr:row>22</xdr:row>
      <xdr:rowOff>158787</xdr:rowOff>
    </xdr:to>
    <xdr:graphicFrame macro="">
      <xdr:nvGraphicFramePr>
        <xdr:cNvPr id="7" name="Chart 6">
          <a:extLst>
            <a:ext uri="{FF2B5EF4-FFF2-40B4-BE49-F238E27FC236}">
              <a16:creationId xmlns:a16="http://schemas.microsoft.com/office/drawing/2014/main" id="{D82D819D-90EC-4BD2-9876-7933812A82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552674</xdr:colOff>
      <xdr:row>5</xdr:row>
      <xdr:rowOff>69140</xdr:rowOff>
    </xdr:from>
    <xdr:to>
      <xdr:col>25</xdr:col>
      <xdr:colOff>403412</xdr:colOff>
      <xdr:row>5</xdr:row>
      <xdr:rowOff>599402</xdr:rowOff>
    </xdr:to>
    <xdr:sp macro="" textlink="">
      <xdr:nvSpPr>
        <xdr:cNvPr id="8" name="TextBox 7">
          <a:extLst>
            <a:ext uri="{FF2B5EF4-FFF2-40B4-BE49-F238E27FC236}">
              <a16:creationId xmlns:a16="http://schemas.microsoft.com/office/drawing/2014/main" id="{11F5170F-C4FE-E810-12B6-D0E3E5C05EAF}"/>
            </a:ext>
          </a:extLst>
        </xdr:cNvPr>
        <xdr:cNvSpPr txBox="1"/>
      </xdr:nvSpPr>
      <xdr:spPr>
        <a:xfrm>
          <a:off x="1157792" y="965611"/>
          <a:ext cx="17488796" cy="530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a:solidFill>
                <a:schemeClr val="tx1"/>
              </a:solidFill>
            </a:rPr>
            <a:t>Sales Revenue &amp; Profit Analysis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04.4024125" createdVersion="8" refreshedVersion="8" minRefreshableVersion="3" recordCount="12" xr:uid="{FC6B7C91-21FC-4BBA-8DC4-39178956557D}">
  <cacheSource type="worksheet">
    <worksheetSource name="sales_data"/>
  </cacheSource>
  <cacheFields count="10">
    <cacheField name="order_id" numFmtId="0">
      <sharedItems/>
    </cacheField>
    <cacheField name="order_date" numFmtId="14">
      <sharedItems containsSemiMixedTypes="0" containsNonDate="0" containsDate="1" containsString="0" minDate="2025-02-01T00:00:00" maxDate="2025-02-13T00:00:00" count="12">
        <d v="2025-02-01T00:00:00"/>
        <d v="2025-02-02T00:00:00"/>
        <d v="2025-02-03T00:00:00"/>
        <d v="2025-02-04T00:00:00"/>
        <d v="2025-02-05T00:00:00"/>
        <d v="2025-02-06T00:00:00"/>
        <d v="2025-02-07T00:00:00"/>
        <d v="2025-02-08T00:00:00"/>
        <d v="2025-02-09T00:00:00"/>
        <d v="2025-02-10T00:00:00"/>
        <d v="2025-02-11T00:00:00"/>
        <d v="2025-02-12T00:00:00"/>
      </sharedItems>
    </cacheField>
    <cacheField name="region" numFmtId="0">
      <sharedItems count="4">
        <s v="North"/>
        <s v="South"/>
        <s v="West"/>
        <s v="East"/>
      </sharedItems>
    </cacheField>
    <cacheField name="category" numFmtId="0">
      <sharedItems count="3">
        <s v="Electronics"/>
        <s v="Furniture"/>
        <s v="Clothing"/>
      </sharedItems>
    </cacheField>
    <cacheField name="product" numFmtId="0">
      <sharedItems/>
    </cacheField>
    <cacheField name="customer_type" numFmtId="0">
      <sharedItems count="2">
        <s v="New"/>
        <s v="Returning"/>
      </sharedItems>
    </cacheField>
    <cacheField name="revenue" numFmtId="0">
      <sharedItems containsSemiMixedTypes="0" containsString="0" containsNumber="1" containsInteger="1" minValue="6000" maxValue="85000"/>
    </cacheField>
    <cacheField name="cost" numFmtId="0">
      <sharedItems containsSemiMixedTypes="0" containsString="0" containsNumber="1" containsInteger="1" minValue="3000" maxValue="60000"/>
    </cacheField>
    <cacheField name="profit" numFmtId="0">
      <sharedItems containsSemiMixedTypes="0" containsString="0" containsNumber="1" containsInteger="1" minValue="3000" maxValue="25000"/>
    </cacheField>
    <cacheField name="profit_margin" numFmtId="9">
      <sharedItems containsSemiMixedTypes="0" containsString="0" containsNumber="1" minValue="0.28000000000000003" maxValue="0.5"/>
    </cacheField>
  </cacheFields>
  <extLst>
    <ext xmlns:x14="http://schemas.microsoft.com/office/spreadsheetml/2009/9/main" uri="{725AE2AE-9491-48be-B2B4-4EB974FC3084}">
      <x14:pivotCacheDefinition pivotCacheId="3371905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s v="ORD101"/>
    <x v="0"/>
    <x v="0"/>
    <x v="0"/>
    <s v="Laptop"/>
    <x v="0"/>
    <n v="80000"/>
    <n v="56000"/>
    <n v="24000"/>
    <n v="0.3"/>
  </r>
  <r>
    <s v="ORD102"/>
    <x v="1"/>
    <x v="1"/>
    <x v="1"/>
    <s v="Chair"/>
    <x v="1"/>
    <n v="15000"/>
    <n v="9000"/>
    <n v="6000"/>
    <n v="0.4"/>
  </r>
  <r>
    <s v="ORD103"/>
    <x v="2"/>
    <x v="2"/>
    <x v="0"/>
    <s v="Mobile"/>
    <x v="0"/>
    <n v="32000"/>
    <n v="22000"/>
    <n v="10000"/>
    <n v="0.3125"/>
  </r>
  <r>
    <s v="ORD104"/>
    <x v="3"/>
    <x v="3"/>
    <x v="2"/>
    <s v="Shirt"/>
    <x v="1"/>
    <n v="6000"/>
    <n v="3000"/>
    <n v="3000"/>
    <n v="0.5"/>
  </r>
  <r>
    <s v="ORD105"/>
    <x v="4"/>
    <x v="0"/>
    <x v="1"/>
    <s v="Table"/>
    <x v="0"/>
    <n v="25000"/>
    <n v="18000"/>
    <n v="7000"/>
    <n v="0.28000000000000003"/>
  </r>
  <r>
    <s v="ORD106"/>
    <x v="5"/>
    <x v="1"/>
    <x v="0"/>
    <s v="Laptop"/>
    <x v="1"/>
    <n v="85000"/>
    <n v="60000"/>
    <n v="25000"/>
    <n v="0.29411764705882354"/>
  </r>
  <r>
    <s v="ORD107"/>
    <x v="6"/>
    <x v="2"/>
    <x v="2"/>
    <s v="Jeans"/>
    <x v="0"/>
    <n v="9000"/>
    <n v="4500"/>
    <n v="4500"/>
    <n v="0.5"/>
  </r>
  <r>
    <s v="ORD108"/>
    <x v="7"/>
    <x v="3"/>
    <x v="0"/>
    <s v="Mobile"/>
    <x v="0"/>
    <n v="30000"/>
    <n v="21000"/>
    <n v="9000"/>
    <n v="0.3"/>
  </r>
  <r>
    <s v="ORD109"/>
    <x v="8"/>
    <x v="0"/>
    <x v="2"/>
    <s v="Jacket"/>
    <x v="1"/>
    <n v="11000"/>
    <n v="5500"/>
    <n v="5500"/>
    <n v="0.5"/>
  </r>
  <r>
    <s v="ORD110"/>
    <x v="9"/>
    <x v="1"/>
    <x v="1"/>
    <s v="Sofa"/>
    <x v="0"/>
    <n v="50000"/>
    <n v="35000"/>
    <n v="15000"/>
    <n v="0.3"/>
  </r>
  <r>
    <s v="ORD111"/>
    <x v="10"/>
    <x v="2"/>
    <x v="0"/>
    <s v="Tablet"/>
    <x v="1"/>
    <n v="27000"/>
    <n v="18000"/>
    <n v="9000"/>
    <n v="0.33333333333333331"/>
  </r>
  <r>
    <s v="ORD112"/>
    <x v="11"/>
    <x v="3"/>
    <x v="1"/>
    <s v="Bed"/>
    <x v="0"/>
    <n v="60000"/>
    <n v="42000"/>
    <n v="18000"/>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7AFA78-AB28-4171-A1DA-78D693F47685}" name="PivotTable4" cacheId="6" applyNumberFormats="0" applyBorderFormats="0" applyFontFormats="0" applyPatternFormats="0" applyAlignmentFormats="0" applyWidthHeightFormats="1" dataCaption="KPI" updatedVersion="8" minRefreshableVersion="3" useAutoFormatting="1" rowGrandTotals="0" colGrandTotals="0" itemPrintTitles="1" createdVersion="8" indent="0" outline="1" outlineData="1" multipleFieldFilters="0" chartFormat="6" rowHeaderCaption="order_date">
  <location ref="B22:C34" firstHeaderRow="1" firstDataRow="1" firstDataCol="1"/>
  <pivotFields count="10">
    <pivotField showAll="0"/>
    <pivotField axis="axisRow" numFmtId="14" showAll="0" sortType="ascending">
      <items count="13">
        <item x="0"/>
        <item x="1"/>
        <item x="2"/>
        <item x="3"/>
        <item x="4"/>
        <item x="5"/>
        <item x="6"/>
        <item x="7"/>
        <item x="8"/>
        <item x="9"/>
        <item x="10"/>
        <item x="11"/>
        <item t="default"/>
      </items>
    </pivotField>
    <pivotField showAll="0">
      <items count="5">
        <item x="3"/>
        <item x="0"/>
        <item x="1"/>
        <item x="2"/>
        <item t="default"/>
      </items>
    </pivotField>
    <pivotField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 dataField="1" showAll="0"/>
    <pivotField showAll="0"/>
    <pivotField showAll="0"/>
    <pivotField numFmtId="9" showAll="0"/>
  </pivotFields>
  <rowFields count="1">
    <field x="1"/>
  </rowFields>
  <rowItems count="12">
    <i>
      <x/>
    </i>
    <i>
      <x v="1"/>
    </i>
    <i>
      <x v="2"/>
    </i>
    <i>
      <x v="3"/>
    </i>
    <i>
      <x v="4"/>
    </i>
    <i>
      <x v="5"/>
    </i>
    <i>
      <x v="6"/>
    </i>
    <i>
      <x v="7"/>
    </i>
    <i>
      <x v="8"/>
    </i>
    <i>
      <x v="9"/>
    </i>
    <i>
      <x v="10"/>
    </i>
    <i>
      <x v="11"/>
    </i>
  </rowItems>
  <colItems count="1">
    <i/>
  </colItems>
  <dataFields count="1">
    <dataField name="Total Revenue" fld="6" baseField="0" baseItem="1" numFmtId="3"/>
  </dataFields>
  <formats count="4">
    <format dxfId="153">
      <pivotArea outline="0" collapsedLevelsAreSubtotals="1" fieldPosition="0"/>
    </format>
    <format dxfId="154">
      <pivotArea outline="0" collapsedLevelsAreSubtotals="1" fieldPosition="0"/>
    </format>
    <format dxfId="155">
      <pivotArea outline="0" fieldPosition="0">
        <references count="1">
          <reference field="4294967294" count="1">
            <x v="0"/>
          </reference>
        </references>
      </pivotArea>
    </format>
    <format dxfId="156">
      <pivotArea dataOnly="0" labelOnly="1" fieldPosition="0">
        <references count="1">
          <reference field="1" count="0"/>
        </references>
      </pivotArea>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14DE1C-DEFB-431E-A9BE-940DE225BE63}" name="PivotTable3" cacheId="6" applyNumberFormats="0" applyBorderFormats="0" applyFontFormats="0" applyPatternFormats="0" applyAlignmentFormats="0" applyWidthHeightFormats="1" dataCaption="KPI" updatedVersion="8" minRefreshableVersion="3" useAutoFormatting="1" rowGrandTotals="0" colGrandTotals="0" itemPrintTitles="1" createdVersion="8" indent="0" outline="1" outlineData="1" multipleFieldFilters="0" chartFormat="3" rowHeaderCaption="Region">
  <location ref="B15:D19" firstHeaderRow="0" firstDataRow="1" firstDataCol="1"/>
  <pivotFields count="10">
    <pivotField showAll="0"/>
    <pivotField numFmtId="14" showAll="0"/>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 dataField="1" showAll="0"/>
    <pivotField showAll="0"/>
    <pivotField dataField="1" showAll="0"/>
    <pivotField numFmtId="9" showAll="0"/>
  </pivotFields>
  <rowFields count="1">
    <field x="2"/>
  </rowFields>
  <rowItems count="4">
    <i>
      <x v="2"/>
    </i>
    <i>
      <x v="1"/>
    </i>
    <i>
      <x/>
    </i>
    <i>
      <x v="3"/>
    </i>
  </rowItems>
  <colFields count="1">
    <field x="-2"/>
  </colFields>
  <colItems count="2">
    <i>
      <x/>
    </i>
    <i i="1">
      <x v="1"/>
    </i>
  </colItems>
  <dataFields count="2">
    <dataField name="Total Revenue" fld="6" baseField="0" baseItem="1" numFmtId="3"/>
    <dataField name="Total Profit" fld="8" baseField="0" baseItem="2"/>
  </dataFields>
  <formats count="5">
    <format dxfId="163">
      <pivotArea outline="0" collapsedLevelsAreSubtotals="1" fieldPosition="0"/>
    </format>
    <format dxfId="164">
      <pivotArea outline="0" collapsedLevelsAreSubtotals="1" fieldPosition="0"/>
    </format>
    <format dxfId="165">
      <pivotArea outline="0" fieldPosition="0">
        <references count="1">
          <reference field="4294967294" count="1">
            <x v="0"/>
          </reference>
        </references>
      </pivotArea>
    </format>
    <format dxfId="148">
      <pivotArea collapsedLevelsAreSubtotals="1" fieldPosition="0">
        <references count="2">
          <reference field="4294967294" count="1" selected="0">
            <x v="1"/>
          </reference>
          <reference field="2" count="1">
            <x v="2"/>
          </reference>
        </references>
      </pivotArea>
    </format>
    <format dxfId="147">
      <pivotArea collapsedLevelsAreSubtotals="1" fieldPosition="0">
        <references count="2">
          <reference field="4294967294" count="1" selected="0">
            <x v="1"/>
          </reference>
          <reference field="2" count="1">
            <x v="3"/>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5B6D52-FE0E-4A05-A810-F956CBCDF5CA}" name="PivotTable2" cacheId="6" applyNumberFormats="0" applyBorderFormats="0" applyFontFormats="0" applyPatternFormats="0" applyAlignmentFormats="0" applyWidthHeightFormats="1" dataCaption="KPI" updatedVersion="8" minRefreshableVersion="3" useAutoFormatting="1" rowGrandTotals="0" colGrandTotals="0" itemPrintTitles="1" createdVersion="8" indent="0" outline="1" outlineData="1" multipleFieldFilters="0" chartFormat="5" rowHeaderCaption="category">
  <location ref="B9:D12" firstHeaderRow="0" firstDataRow="1" firstDataCol="1"/>
  <pivotFields count="10">
    <pivotField showAll="0"/>
    <pivotField numFmtId="14" showAll="0"/>
    <pivotField showAll="0">
      <items count="5">
        <item x="3"/>
        <item x="0"/>
        <item x="1"/>
        <item x="2"/>
        <item t="default"/>
      </items>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 dataField="1" showAll="0"/>
    <pivotField showAll="0"/>
    <pivotField dataField="1" showAll="0"/>
    <pivotField numFmtId="9" showAll="0"/>
  </pivotFields>
  <rowFields count="1">
    <field x="3"/>
  </rowFields>
  <rowItems count="3">
    <i>
      <x v="1"/>
    </i>
    <i>
      <x v="2"/>
    </i>
    <i>
      <x/>
    </i>
  </rowItems>
  <colFields count="1">
    <field x="-2"/>
  </colFields>
  <colItems count="2">
    <i>
      <x/>
    </i>
    <i i="1">
      <x v="1"/>
    </i>
  </colItems>
  <dataFields count="2">
    <dataField name="Total Revenue" fld="6" baseField="0" baseItem="1" numFmtId="3"/>
    <dataField name="Total Profit" fld="8" baseField="0" baseItem="2"/>
  </dataFields>
  <formats count="4">
    <format dxfId="149">
      <pivotArea outline="0" collapsedLevelsAreSubtotals="1" fieldPosition="0"/>
    </format>
    <format dxfId="150">
      <pivotArea outline="0" collapsedLevelsAreSubtotals="1" fieldPosition="0"/>
    </format>
    <format dxfId="151">
      <pivotArea outline="0" fieldPosition="0">
        <references count="1">
          <reference field="4294967294" count="1">
            <x v="0"/>
          </reference>
        </references>
      </pivotArea>
    </format>
    <format dxfId="152">
      <pivotArea collapsedLevelsAreSubtotals="1" fieldPosition="0">
        <references count="2">
          <reference field="4294967294" count="1" selected="0">
            <x v="1"/>
          </reference>
          <reference field="3" count="0"/>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612DD7-3ABA-496D-9FFB-7A433F6D5259}" name="PivotTable1" cacheId="6" dataOnRows="1" applyNumberFormats="0" applyBorderFormats="0" applyFontFormats="0" applyPatternFormats="0" applyAlignmentFormats="0" applyWidthHeightFormats="1" dataCaption="KPI" updatedVersion="8" minRefreshableVersion="3" useAutoFormatting="1" itemPrintTitles="1" createdVersion="8" indent="0" outline="1" outlineData="1" multipleFieldFilters="0">
  <location ref="B3:C6" firstHeaderRow="1" firstDataRow="1" firstDataCol="1"/>
  <pivotFields count="10">
    <pivotField dataField="1" showAll="0"/>
    <pivotField numFmtId="14" showAll="0"/>
    <pivotField showAll="0">
      <items count="5">
        <item x="3"/>
        <item x="0"/>
        <item x="1"/>
        <item x="2"/>
        <item t="default"/>
      </items>
    </pivotField>
    <pivotField showAll="0">
      <items count="4">
        <item x="2"/>
        <item x="0"/>
        <item x="1"/>
        <item t="default"/>
      </items>
    </pivotField>
    <pivotField showAll="0"/>
    <pivotField showAll="0">
      <items count="3">
        <item x="0"/>
        <item x="1"/>
        <item t="default"/>
      </items>
    </pivotField>
    <pivotField dataField="1" showAll="0"/>
    <pivotField showAll="0"/>
    <pivotField dataField="1" showAll="0"/>
    <pivotField numFmtId="9" showAll="0"/>
  </pivotFields>
  <rowFields count="1">
    <field x="-2"/>
  </rowFields>
  <rowItems count="3">
    <i>
      <x/>
    </i>
    <i i="1">
      <x v="1"/>
    </i>
    <i i="2">
      <x v="2"/>
    </i>
  </rowItems>
  <colItems count="1">
    <i/>
  </colItems>
  <dataFields count="3">
    <dataField name="Total Revenue" fld="6" baseField="0" baseItem="1" numFmtId="3"/>
    <dataField name="Total Orders" fld="0" subtotal="count" baseField="0" baseItem="1"/>
    <dataField name="Total Profit" fld="8" baseField="0" baseItem="2"/>
  </dataFields>
  <formats count="5">
    <format dxfId="170">
      <pivotArea outline="0" collapsedLevelsAreSubtotals="1" fieldPosition="0"/>
    </format>
    <format dxfId="169">
      <pivotArea outline="0" collapsedLevelsAreSubtotals="1" fieldPosition="0"/>
    </format>
    <format dxfId="168">
      <pivotArea collapsedLevelsAreSubtotals="1" fieldPosition="0">
        <references count="1">
          <reference field="4294967294" count="1">
            <x v="0"/>
          </reference>
        </references>
      </pivotArea>
    </format>
    <format dxfId="167">
      <pivotArea outline="0" fieldPosition="0">
        <references count="1">
          <reference field="4294967294" count="1">
            <x v="0"/>
          </reference>
        </references>
      </pivotArea>
    </format>
    <format dxfId="16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012BF4-7F47-4C01-8EBB-6DBE34656477}" name="PivotTable5" cacheId="6" dataOnRows="1" applyNumberFormats="0" applyBorderFormats="0" applyFontFormats="0" applyPatternFormats="0" applyAlignmentFormats="0" applyWidthHeightFormats="1" dataCaption="KPI" updatedVersion="8" minRefreshableVersion="3" useAutoFormatting="1" itemPrintTitles="1" createdVersion="8" indent="0" outline="1" outlineData="1" multipleFieldFilters="0">
  <location ref="K9:L12" firstHeaderRow="1" firstDataRow="1" firstDataCol="1"/>
  <pivotFields count="10">
    <pivotField dataField="1" showAll="0"/>
    <pivotField numFmtId="14" showAll="0"/>
    <pivotField showAll="0">
      <items count="5">
        <item x="3"/>
        <item x="0"/>
        <item x="1"/>
        <item x="2"/>
        <item t="default"/>
      </items>
    </pivotField>
    <pivotField showAll="0">
      <items count="4">
        <item x="2"/>
        <item x="0"/>
        <item x="1"/>
        <item t="default"/>
      </items>
    </pivotField>
    <pivotField showAll="0"/>
    <pivotField showAll="0">
      <items count="3">
        <item x="0"/>
        <item x="1"/>
        <item t="default"/>
      </items>
    </pivotField>
    <pivotField dataField="1" showAll="0"/>
    <pivotField showAll="0"/>
    <pivotField dataField="1" showAll="0"/>
    <pivotField numFmtId="9" showAll="0"/>
  </pivotFields>
  <rowFields count="1">
    <field x="-2"/>
  </rowFields>
  <rowItems count="3">
    <i>
      <x/>
    </i>
    <i i="1">
      <x v="1"/>
    </i>
    <i i="2">
      <x v="2"/>
    </i>
  </rowItems>
  <colItems count="1">
    <i/>
  </colItems>
  <dataFields count="3">
    <dataField name="Total Revenue" fld="6" baseField="0" baseItem="1" numFmtId="3"/>
    <dataField name="Total Orders" fld="0" subtotal="count" baseField="0" baseItem="1"/>
    <dataField name="Total Profit" fld="8" baseField="0" baseItem="2"/>
  </dataFields>
  <formats count="18">
    <format dxfId="158">
      <pivotArea outline="0" collapsedLevelsAreSubtotals="1" fieldPosition="0"/>
    </format>
    <format dxfId="159">
      <pivotArea outline="0" collapsedLevelsAreSubtotals="1" fieldPosition="0"/>
    </format>
    <format dxfId="160">
      <pivotArea collapsedLevelsAreSubtotals="1" fieldPosition="0">
        <references count="1">
          <reference field="4294967294" count="1">
            <x v="0"/>
          </reference>
        </references>
      </pivotArea>
    </format>
    <format dxfId="161">
      <pivotArea outline="0" fieldPosition="0">
        <references count="1">
          <reference field="4294967294" count="1">
            <x v="0"/>
          </reference>
        </references>
      </pivotArea>
    </format>
    <format dxfId="162">
      <pivotArea outline="0" collapsedLevelsAreSubtotals="1" fieldPosition="0"/>
    </format>
    <format dxfId="157">
      <pivotArea dataOnly="0" outline="0" fieldPosition="0">
        <references count="1">
          <reference field="4294967294" count="3">
            <x v="0"/>
            <x v="1"/>
            <x v="2"/>
          </reference>
        </references>
      </pivotArea>
    </format>
    <format dxfId="146">
      <pivotArea type="all" dataOnly="0" outline="0" fieldPosition="0"/>
    </format>
    <format dxfId="145">
      <pivotArea outline="0" collapsedLevelsAreSubtotals="1" fieldPosition="0"/>
    </format>
    <format dxfId="144">
      <pivotArea field="-2" type="button" dataOnly="0" labelOnly="1" outline="0" axis="axisRow" fieldPosition="0"/>
    </format>
    <format dxfId="143">
      <pivotArea dataOnly="0" labelOnly="1" outline="0" fieldPosition="0">
        <references count="1">
          <reference field="4294967294" count="3">
            <x v="0"/>
            <x v="1"/>
            <x v="2"/>
          </reference>
        </references>
      </pivotArea>
    </format>
    <format dxfId="142">
      <pivotArea dataOnly="0" labelOnly="1" grandCol="1" outline="0" axis="axisCol" fieldPosition="0"/>
    </format>
    <format dxfId="91">
      <pivotArea field="-2" type="button" dataOnly="0" labelOnly="1" outline="0" axis="axisRow" fieldPosition="0"/>
    </format>
    <format dxfId="90">
      <pivotArea dataOnly="0" labelOnly="1" grandCol="1" outline="0" axis="axisCol" fieldPosition="0"/>
    </format>
    <format dxfId="76">
      <pivotArea type="all" dataOnly="0" outline="0" fieldPosition="0"/>
    </format>
    <format dxfId="75">
      <pivotArea outline="0" collapsedLevelsAreSubtotals="1" fieldPosition="0"/>
    </format>
    <format dxfId="74">
      <pivotArea field="-2" type="button" dataOnly="0" labelOnly="1" outline="0" axis="axisRow" fieldPosition="0"/>
    </format>
    <format dxfId="73">
      <pivotArea dataOnly="0" labelOnly="1" outline="0" fieldPosition="0">
        <references count="1">
          <reference field="4294967294" count="3">
            <x v="0"/>
            <x v="1"/>
            <x v="2"/>
          </reference>
        </references>
      </pivotArea>
    </format>
    <format dxfId="72">
      <pivotArea dataOnly="0" labelOnly="1" grandCol="1" outline="0" axis="axisCol"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BDCDEC9-0E28-4886-9B89-99B2042423E2}" sourceName="region">
  <pivotTables>
    <pivotTable tabId="2" name="PivotTable3"/>
    <pivotTable tabId="2" name="PivotTable1"/>
    <pivotTable tabId="2" name="PivotTable2"/>
    <pivotTable tabId="3" name="PivotTable5"/>
  </pivotTables>
  <data>
    <tabular pivotCacheId="337190567">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CC7B502-65D2-4E3D-BE7A-922D3255AD4A}" sourceName="category">
  <pivotTables>
    <pivotTable tabId="2" name="PivotTable2"/>
    <pivotTable tabId="2" name="PivotTable1"/>
    <pivotTable tabId="2" name="PivotTable3"/>
    <pivotTable tabId="3" name="PivotTable5"/>
  </pivotTables>
  <data>
    <tabular pivotCacheId="337190567">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157F9C9C-4F20-49C6-AC61-4C3E64E95BE8}" sourceName="customer_type">
  <pivotTables>
    <pivotTable tabId="2" name="PivotTable2"/>
    <pivotTable tabId="2" name="PivotTable1"/>
    <pivotTable tabId="2" name="PivotTable3"/>
    <pivotTable tabId="2" name="PivotTable4"/>
    <pivotTable tabId="3" name="PivotTable5"/>
  </pivotTables>
  <data>
    <tabular pivotCacheId="33719056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AC4D67D-1AF7-48F5-B079-889666ECF11C}" cache="Slicer_region" caption="region" rowHeight="234950"/>
  <slicer name="category" xr10:uid="{BB84A86D-7165-45AD-8C84-6CC085840E9E}" cache="Slicer_category" caption="category" rowHeight="234950"/>
  <slicer name="customer_type" xr10:uid="{70C01ED5-B598-41F2-A9CA-D7C882082085}" cache="Slicer_customer_type" caption="customer_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55B0CCB-4A2C-4285-84AF-E031F547D110}" cache="Slicer_region" caption="region" style="SlicerStyleOther2" rowHeight="288000"/>
  <slicer name="category 1" xr10:uid="{8C065780-1DE8-496D-A5A9-39F9FB250AC0}" cache="Slicer_category" caption="category" rowHeight="288000"/>
  <slicer name="customer_type 1" xr10:uid="{AD939672-33D7-4C4E-A430-F4F47951B675}" cache="Slicer_customer_type" caption="customer_typ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41D923-0247-4304-A8F8-7DF48822D4D0}" name="sales_data" displayName="sales_data" ref="A1:J13" totalsRowShown="0">
  <autoFilter ref="A1:J13" xr:uid="{9441D923-0247-4304-A8F8-7DF48822D4D0}"/>
  <tableColumns count="10">
    <tableColumn id="1" xr3:uid="{0F90E520-E0FD-4337-8FDA-8177FB18FB09}" name="order_id"/>
    <tableColumn id="2" xr3:uid="{C2D7DC34-8979-44A6-BAF2-288D419B5819}" name="order_date"/>
    <tableColumn id="3" xr3:uid="{3EA6578A-1268-4E3C-BA7B-CA4A00369E0E}" name="region"/>
    <tableColumn id="4" xr3:uid="{96056C00-0872-4C8F-B9D5-D0FC98698728}" name="category"/>
    <tableColumn id="5" xr3:uid="{E60B5552-8640-4A28-9A75-B7BDA3F15C27}" name="product"/>
    <tableColumn id="6" xr3:uid="{4EAF5CC6-7425-48D3-89C7-425AD66B22A2}" name="customer_type"/>
    <tableColumn id="7" xr3:uid="{BD96E7AE-99C8-49C4-BFB9-F0D802D08342}" name="revenue"/>
    <tableColumn id="8" xr3:uid="{13B5992C-4DFC-4FC8-A712-4E12CB4D6F78}" name="cost"/>
    <tableColumn id="9" xr3:uid="{6C242338-3C59-45AE-B423-67134AD60D20}" name="profit">
      <calculatedColumnFormula>sales_data[[#This Row],[revenue]]-sales_data[[#This Row],[cost]]</calculatedColumnFormula>
    </tableColumn>
    <tableColumn id="10" xr3:uid="{C177D433-87C0-48D6-8AD7-99D33B5A94AC}" name="profit_margin" dataCellStyle="Percent">
      <calculatedColumnFormula>sales_data[[#This Row],[profit]]/sales_data[[#This Row],[revenue]]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
  <sheetViews>
    <sheetView zoomScale="220" zoomScaleNormal="220" workbookViewId="0">
      <selection activeCell="C8" sqref="C8"/>
    </sheetView>
  </sheetViews>
  <sheetFormatPr defaultRowHeight="14.4" x14ac:dyDescent="0.3"/>
  <cols>
    <col min="1" max="1" width="10.33203125" customWidth="1"/>
    <col min="2" max="2" width="12.5546875" customWidth="1"/>
    <col min="4" max="4" width="10.33203125" customWidth="1"/>
    <col min="5" max="5" width="9.5546875" customWidth="1"/>
    <col min="6" max="6" width="15.88671875" customWidth="1"/>
    <col min="7" max="7" width="10.109375" customWidth="1"/>
    <col min="10" max="10" width="14.77734375" bestFit="1" customWidth="1"/>
  </cols>
  <sheetData>
    <row r="1" spans="1:10" x14ac:dyDescent="0.3">
      <c r="A1" t="s">
        <v>0</v>
      </c>
      <c r="B1" t="s">
        <v>1</v>
      </c>
      <c r="C1" t="s">
        <v>2</v>
      </c>
      <c r="D1" t="s">
        <v>3</v>
      </c>
      <c r="E1" t="s">
        <v>4</v>
      </c>
      <c r="F1" t="s">
        <v>5</v>
      </c>
      <c r="G1" t="s">
        <v>6</v>
      </c>
      <c r="H1" t="s">
        <v>7</v>
      </c>
      <c r="I1" t="s">
        <v>39</v>
      </c>
      <c r="J1" t="s">
        <v>40</v>
      </c>
    </row>
    <row r="2" spans="1:10" x14ac:dyDescent="0.3">
      <c r="A2" t="s">
        <v>8</v>
      </c>
      <c r="B2" s="2">
        <v>45689</v>
      </c>
      <c r="C2" t="s">
        <v>9</v>
      </c>
      <c r="D2" t="s">
        <v>10</v>
      </c>
      <c r="E2" t="s">
        <v>11</v>
      </c>
      <c r="F2" t="s">
        <v>12</v>
      </c>
      <c r="G2">
        <v>80000</v>
      </c>
      <c r="H2">
        <v>56000</v>
      </c>
      <c r="I2">
        <f>sales_data[[#This Row],[revenue]]-sales_data[[#This Row],[cost]]</f>
        <v>24000</v>
      </c>
      <c r="J2" s="1">
        <f>sales_data[[#This Row],[profit]]/sales_data[[#This Row],[revenue]]</f>
        <v>0.3</v>
      </c>
    </row>
    <row r="3" spans="1:10" x14ac:dyDescent="0.3">
      <c r="A3" t="s">
        <v>13</v>
      </c>
      <c r="B3" s="2">
        <v>45690</v>
      </c>
      <c r="C3" t="s">
        <v>14</v>
      </c>
      <c r="D3" t="s">
        <v>15</v>
      </c>
      <c r="E3" t="s">
        <v>16</v>
      </c>
      <c r="F3" t="s">
        <v>17</v>
      </c>
      <c r="G3">
        <v>15000</v>
      </c>
      <c r="H3">
        <v>9000</v>
      </c>
      <c r="I3">
        <f>sales_data[[#This Row],[revenue]]-sales_data[[#This Row],[cost]]</f>
        <v>6000</v>
      </c>
      <c r="J3" s="1">
        <f>sales_data[[#This Row],[profit]]/sales_data[[#This Row],[revenue]]</f>
        <v>0.4</v>
      </c>
    </row>
    <row r="4" spans="1:10" x14ac:dyDescent="0.3">
      <c r="A4" t="s">
        <v>18</v>
      </c>
      <c r="B4" s="2">
        <v>45691</v>
      </c>
      <c r="C4" t="s">
        <v>19</v>
      </c>
      <c r="D4" t="s">
        <v>10</v>
      </c>
      <c r="E4" t="s">
        <v>20</v>
      </c>
      <c r="F4" t="s">
        <v>12</v>
      </c>
      <c r="G4">
        <v>32000</v>
      </c>
      <c r="H4">
        <v>22000</v>
      </c>
      <c r="I4">
        <f>sales_data[[#This Row],[revenue]]-sales_data[[#This Row],[cost]]</f>
        <v>10000</v>
      </c>
      <c r="J4" s="1">
        <f>sales_data[[#This Row],[profit]]/sales_data[[#This Row],[revenue]]</f>
        <v>0.3125</v>
      </c>
    </row>
    <row r="5" spans="1:10" x14ac:dyDescent="0.3">
      <c r="A5" t="s">
        <v>21</v>
      </c>
      <c r="B5" s="2">
        <v>45692</v>
      </c>
      <c r="C5" t="s">
        <v>22</v>
      </c>
      <c r="D5" t="s">
        <v>23</v>
      </c>
      <c r="E5" t="s">
        <v>24</v>
      </c>
      <c r="F5" t="s">
        <v>17</v>
      </c>
      <c r="G5">
        <v>6000</v>
      </c>
      <c r="H5">
        <v>3000</v>
      </c>
      <c r="I5">
        <f>sales_data[[#This Row],[revenue]]-sales_data[[#This Row],[cost]]</f>
        <v>3000</v>
      </c>
      <c r="J5" s="1">
        <f>sales_data[[#This Row],[profit]]/sales_data[[#This Row],[revenue]]</f>
        <v>0.5</v>
      </c>
    </row>
    <row r="6" spans="1:10" x14ac:dyDescent="0.3">
      <c r="A6" t="s">
        <v>25</v>
      </c>
      <c r="B6" s="2">
        <v>45693</v>
      </c>
      <c r="C6" t="s">
        <v>9</v>
      </c>
      <c r="D6" t="s">
        <v>15</v>
      </c>
      <c r="E6" t="s">
        <v>26</v>
      </c>
      <c r="F6" t="s">
        <v>12</v>
      </c>
      <c r="G6">
        <v>25000</v>
      </c>
      <c r="H6">
        <v>18000</v>
      </c>
      <c r="I6">
        <f>sales_data[[#This Row],[revenue]]-sales_data[[#This Row],[cost]]</f>
        <v>7000</v>
      </c>
      <c r="J6" s="1">
        <f>sales_data[[#This Row],[profit]]/sales_data[[#This Row],[revenue]]</f>
        <v>0.28000000000000003</v>
      </c>
    </row>
    <row r="7" spans="1:10" x14ac:dyDescent="0.3">
      <c r="A7" t="s">
        <v>27</v>
      </c>
      <c r="B7" s="2">
        <v>45694</v>
      </c>
      <c r="C7" t="s">
        <v>14</v>
      </c>
      <c r="D7" t="s">
        <v>10</v>
      </c>
      <c r="E7" t="s">
        <v>11</v>
      </c>
      <c r="F7" t="s">
        <v>17</v>
      </c>
      <c r="G7">
        <v>85000</v>
      </c>
      <c r="H7">
        <v>60000</v>
      </c>
      <c r="I7">
        <f>sales_data[[#This Row],[revenue]]-sales_data[[#This Row],[cost]]</f>
        <v>25000</v>
      </c>
      <c r="J7" s="1">
        <f>sales_data[[#This Row],[profit]]/sales_data[[#This Row],[revenue]]</f>
        <v>0.29411764705882354</v>
      </c>
    </row>
    <row r="8" spans="1:10" x14ac:dyDescent="0.3">
      <c r="A8" t="s">
        <v>28</v>
      </c>
      <c r="B8" s="2">
        <v>45695</v>
      </c>
      <c r="C8" t="s">
        <v>19</v>
      </c>
      <c r="D8" t="s">
        <v>23</v>
      </c>
      <c r="E8" t="s">
        <v>29</v>
      </c>
      <c r="F8" t="s">
        <v>12</v>
      </c>
      <c r="G8">
        <v>9000</v>
      </c>
      <c r="H8">
        <v>4500</v>
      </c>
      <c r="I8">
        <f>sales_data[[#This Row],[revenue]]-sales_data[[#This Row],[cost]]</f>
        <v>4500</v>
      </c>
      <c r="J8" s="1">
        <f>sales_data[[#This Row],[profit]]/sales_data[[#This Row],[revenue]]</f>
        <v>0.5</v>
      </c>
    </row>
    <row r="9" spans="1:10" x14ac:dyDescent="0.3">
      <c r="A9" t="s">
        <v>30</v>
      </c>
      <c r="B9" s="2">
        <v>45696</v>
      </c>
      <c r="C9" t="s">
        <v>22</v>
      </c>
      <c r="D9" t="s">
        <v>10</v>
      </c>
      <c r="E9" t="s">
        <v>20</v>
      </c>
      <c r="F9" t="s">
        <v>12</v>
      </c>
      <c r="G9">
        <v>30000</v>
      </c>
      <c r="H9">
        <v>21000</v>
      </c>
      <c r="I9">
        <f>sales_data[[#This Row],[revenue]]-sales_data[[#This Row],[cost]]</f>
        <v>9000</v>
      </c>
      <c r="J9" s="1">
        <f>sales_data[[#This Row],[profit]]/sales_data[[#This Row],[revenue]]</f>
        <v>0.3</v>
      </c>
    </row>
    <row r="10" spans="1:10" x14ac:dyDescent="0.3">
      <c r="A10" t="s">
        <v>31</v>
      </c>
      <c r="B10" s="2">
        <v>45697</v>
      </c>
      <c r="C10" t="s">
        <v>9</v>
      </c>
      <c r="D10" t="s">
        <v>23</v>
      </c>
      <c r="E10" t="s">
        <v>32</v>
      </c>
      <c r="F10" t="s">
        <v>17</v>
      </c>
      <c r="G10">
        <v>11000</v>
      </c>
      <c r="H10">
        <v>5500</v>
      </c>
      <c r="I10">
        <f>sales_data[[#This Row],[revenue]]-sales_data[[#This Row],[cost]]</f>
        <v>5500</v>
      </c>
      <c r="J10" s="1">
        <f>sales_data[[#This Row],[profit]]/sales_data[[#This Row],[revenue]]</f>
        <v>0.5</v>
      </c>
    </row>
    <row r="11" spans="1:10" x14ac:dyDescent="0.3">
      <c r="A11" t="s">
        <v>33</v>
      </c>
      <c r="B11" s="2">
        <v>45698</v>
      </c>
      <c r="C11" t="s">
        <v>14</v>
      </c>
      <c r="D11" t="s">
        <v>15</v>
      </c>
      <c r="E11" t="s">
        <v>34</v>
      </c>
      <c r="F11" t="s">
        <v>12</v>
      </c>
      <c r="G11">
        <v>50000</v>
      </c>
      <c r="H11">
        <v>35000</v>
      </c>
      <c r="I11">
        <f>sales_data[[#This Row],[revenue]]-sales_data[[#This Row],[cost]]</f>
        <v>15000</v>
      </c>
      <c r="J11" s="1">
        <f>sales_data[[#This Row],[profit]]/sales_data[[#This Row],[revenue]]</f>
        <v>0.3</v>
      </c>
    </row>
    <row r="12" spans="1:10" x14ac:dyDescent="0.3">
      <c r="A12" t="s">
        <v>35</v>
      </c>
      <c r="B12" s="2">
        <v>45699</v>
      </c>
      <c r="C12" t="s">
        <v>19</v>
      </c>
      <c r="D12" t="s">
        <v>10</v>
      </c>
      <c r="E12" t="s">
        <v>36</v>
      </c>
      <c r="F12" t="s">
        <v>17</v>
      </c>
      <c r="G12">
        <v>27000</v>
      </c>
      <c r="H12">
        <v>18000</v>
      </c>
      <c r="I12">
        <f>sales_data[[#This Row],[revenue]]-sales_data[[#This Row],[cost]]</f>
        <v>9000</v>
      </c>
      <c r="J12" s="1">
        <f>sales_data[[#This Row],[profit]]/sales_data[[#This Row],[revenue]]</f>
        <v>0.33333333333333331</v>
      </c>
    </row>
    <row r="13" spans="1:10" x14ac:dyDescent="0.3">
      <c r="A13" t="s">
        <v>37</v>
      </c>
      <c r="B13" s="2">
        <v>45700</v>
      </c>
      <c r="C13" t="s">
        <v>22</v>
      </c>
      <c r="D13" t="s">
        <v>15</v>
      </c>
      <c r="E13" t="s">
        <v>38</v>
      </c>
      <c r="F13" t="s">
        <v>12</v>
      </c>
      <c r="G13">
        <v>60000</v>
      </c>
      <c r="H13">
        <v>42000</v>
      </c>
      <c r="I13">
        <f>sales_data[[#This Row],[revenue]]-sales_data[[#This Row],[cost]]</f>
        <v>18000</v>
      </c>
      <c r="J13" s="1">
        <f>sales_data[[#This Row],[profit]]/sales_data[[#This Row],[revenue]]</f>
        <v>0.3</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4C667-C22E-457C-9746-624AD0107B6A}">
  <dimension ref="B3:D34"/>
  <sheetViews>
    <sheetView showGridLines="0" tabSelected="1" zoomScale="145" zoomScaleNormal="145" workbookViewId="0">
      <selection activeCell="P13" sqref="P13"/>
    </sheetView>
  </sheetViews>
  <sheetFormatPr defaultRowHeight="14.4" x14ac:dyDescent="0.3"/>
  <cols>
    <col min="2" max="2" width="12.5546875" bestFit="1" customWidth="1"/>
    <col min="3" max="3" width="13.109375" bestFit="1" customWidth="1"/>
    <col min="4" max="4" width="10.33203125" bestFit="1" customWidth="1"/>
  </cols>
  <sheetData>
    <row r="3" spans="2:4" x14ac:dyDescent="0.3">
      <c r="B3" s="3" t="s">
        <v>44</v>
      </c>
    </row>
    <row r="4" spans="2:4" ht="18" x14ac:dyDescent="0.35">
      <c r="B4" s="4" t="s">
        <v>41</v>
      </c>
      <c r="C4" s="7">
        <v>430000</v>
      </c>
    </row>
    <row r="5" spans="2:4" ht="18" x14ac:dyDescent="0.35">
      <c r="B5" s="4" t="s">
        <v>43</v>
      </c>
      <c r="C5" s="7">
        <v>12</v>
      </c>
    </row>
    <row r="6" spans="2:4" ht="18" x14ac:dyDescent="0.35">
      <c r="B6" s="4" t="s">
        <v>42</v>
      </c>
      <c r="C6" s="7">
        <v>136000</v>
      </c>
    </row>
    <row r="8" spans="2:4" x14ac:dyDescent="0.3">
      <c r="B8" s="8" t="s">
        <v>45</v>
      </c>
      <c r="C8" s="8"/>
      <c r="D8" s="8"/>
    </row>
    <row r="9" spans="2:4" x14ac:dyDescent="0.3">
      <c r="B9" s="3" t="s">
        <v>3</v>
      </c>
      <c r="C9" t="s">
        <v>41</v>
      </c>
      <c r="D9" t="s">
        <v>42</v>
      </c>
    </row>
    <row r="10" spans="2:4" ht="18" x14ac:dyDescent="0.35">
      <c r="B10" s="4" t="s">
        <v>10</v>
      </c>
      <c r="C10" s="7">
        <v>254000</v>
      </c>
      <c r="D10" s="7">
        <v>77000</v>
      </c>
    </row>
    <row r="11" spans="2:4" ht="18" x14ac:dyDescent="0.35">
      <c r="B11" s="4" t="s">
        <v>15</v>
      </c>
      <c r="C11" s="7">
        <v>150000</v>
      </c>
      <c r="D11" s="7">
        <v>46000</v>
      </c>
    </row>
    <row r="12" spans="2:4" ht="18" x14ac:dyDescent="0.35">
      <c r="B12" s="4" t="s">
        <v>23</v>
      </c>
      <c r="C12" s="7">
        <v>26000</v>
      </c>
      <c r="D12" s="7">
        <v>13000</v>
      </c>
    </row>
    <row r="14" spans="2:4" x14ac:dyDescent="0.3">
      <c r="B14" s="8" t="s">
        <v>47</v>
      </c>
      <c r="C14" s="6"/>
      <c r="D14" s="6"/>
    </row>
    <row r="15" spans="2:4" x14ac:dyDescent="0.3">
      <c r="B15" s="3" t="s">
        <v>46</v>
      </c>
      <c r="C15" t="s">
        <v>41</v>
      </c>
      <c r="D15" t="s">
        <v>42</v>
      </c>
    </row>
    <row r="16" spans="2:4" ht="18" x14ac:dyDescent="0.35">
      <c r="B16" s="4" t="s">
        <v>14</v>
      </c>
      <c r="C16" s="7">
        <v>150000</v>
      </c>
      <c r="D16" s="7">
        <v>46000</v>
      </c>
    </row>
    <row r="17" spans="2:4" ht="18" x14ac:dyDescent="0.35">
      <c r="B17" s="4" t="s">
        <v>9</v>
      </c>
      <c r="C17" s="7">
        <v>116000</v>
      </c>
      <c r="D17" s="5">
        <v>36500</v>
      </c>
    </row>
    <row r="18" spans="2:4" ht="18" x14ac:dyDescent="0.35">
      <c r="B18" s="4" t="s">
        <v>22</v>
      </c>
      <c r="C18" s="7">
        <v>96000</v>
      </c>
      <c r="D18" s="5">
        <v>30000</v>
      </c>
    </row>
    <row r="19" spans="2:4" ht="18" x14ac:dyDescent="0.35">
      <c r="B19" s="4" t="s">
        <v>19</v>
      </c>
      <c r="C19" s="7">
        <v>68000</v>
      </c>
      <c r="D19" s="7">
        <v>23500</v>
      </c>
    </row>
    <row r="20" spans="2:4" ht="18" x14ac:dyDescent="0.35">
      <c r="D20" s="7"/>
    </row>
    <row r="21" spans="2:4" ht="18" x14ac:dyDescent="0.35">
      <c r="B21" s="8" t="s">
        <v>48</v>
      </c>
      <c r="C21" s="6"/>
      <c r="D21" s="7"/>
    </row>
    <row r="22" spans="2:4" x14ac:dyDescent="0.3">
      <c r="B22" s="3" t="s">
        <v>1</v>
      </c>
      <c r="C22" t="s">
        <v>41</v>
      </c>
    </row>
    <row r="23" spans="2:4" ht="18" x14ac:dyDescent="0.35">
      <c r="B23" s="9">
        <v>45689</v>
      </c>
      <c r="C23" s="7">
        <v>80000</v>
      </c>
    </row>
    <row r="24" spans="2:4" ht="18" x14ac:dyDescent="0.35">
      <c r="B24" s="9">
        <v>45690</v>
      </c>
      <c r="C24" s="7">
        <v>15000</v>
      </c>
    </row>
    <row r="25" spans="2:4" ht="18" x14ac:dyDescent="0.35">
      <c r="B25" s="9">
        <v>45691</v>
      </c>
      <c r="C25" s="7">
        <v>32000</v>
      </c>
    </row>
    <row r="26" spans="2:4" ht="18" x14ac:dyDescent="0.35">
      <c r="B26" s="9">
        <v>45692</v>
      </c>
      <c r="C26" s="7">
        <v>6000</v>
      </c>
    </row>
    <row r="27" spans="2:4" ht="18" x14ac:dyDescent="0.35">
      <c r="B27" s="9">
        <v>45693</v>
      </c>
      <c r="C27" s="7">
        <v>25000</v>
      </c>
    </row>
    <row r="28" spans="2:4" ht="18" x14ac:dyDescent="0.35">
      <c r="B28" s="9">
        <v>45694</v>
      </c>
      <c r="C28" s="7">
        <v>85000</v>
      </c>
    </row>
    <row r="29" spans="2:4" ht="18" x14ac:dyDescent="0.35">
      <c r="B29" s="9">
        <v>45695</v>
      </c>
      <c r="C29" s="7">
        <v>9000</v>
      </c>
    </row>
    <row r="30" spans="2:4" ht="18" x14ac:dyDescent="0.35">
      <c r="B30" s="9">
        <v>45696</v>
      </c>
      <c r="C30" s="7">
        <v>30000</v>
      </c>
    </row>
    <row r="31" spans="2:4" ht="18" x14ac:dyDescent="0.35">
      <c r="B31" s="9">
        <v>45697</v>
      </c>
      <c r="C31" s="7">
        <v>11000</v>
      </c>
    </row>
    <row r="32" spans="2:4" ht="18" x14ac:dyDescent="0.35">
      <c r="B32" s="9">
        <v>45698</v>
      </c>
      <c r="C32" s="7">
        <v>50000</v>
      </c>
    </row>
    <row r="33" spans="2:3" ht="18" x14ac:dyDescent="0.35">
      <c r="B33" s="9">
        <v>45699</v>
      </c>
      <c r="C33" s="7">
        <v>27000</v>
      </c>
    </row>
    <row r="34" spans="2:3" ht="18" x14ac:dyDescent="0.35">
      <c r="B34" s="9">
        <v>45700</v>
      </c>
      <c r="C34" s="7">
        <v>60000</v>
      </c>
    </row>
  </sheetData>
  <mergeCells count="3">
    <mergeCell ref="B8:D8"/>
    <mergeCell ref="B14:D14"/>
    <mergeCell ref="B21:C21"/>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0658D-68F2-49EB-8E66-5A1D21D0119F}">
  <dimension ref="K6:L20"/>
  <sheetViews>
    <sheetView showGridLines="0" topLeftCell="A4" zoomScale="80" zoomScaleNormal="80" workbookViewId="0">
      <selection activeCell="K17" sqref="K17"/>
    </sheetView>
  </sheetViews>
  <sheetFormatPr defaultRowHeight="14.4" x14ac:dyDescent="0.3"/>
  <cols>
    <col min="1" max="9" width="8.88671875" style="11"/>
    <col min="10" max="10" width="19.77734375" style="11" customWidth="1"/>
    <col min="11" max="11" width="28.77734375" style="11" bestFit="1" customWidth="1"/>
    <col min="12" max="12" width="18" style="11" bestFit="1" customWidth="1"/>
    <col min="13" max="18" width="8.88671875" style="11"/>
    <col min="19" max="19" width="13.77734375" style="11" customWidth="1"/>
    <col min="20" max="24" width="8.88671875" style="11"/>
    <col min="25" max="25" width="9.21875" style="11" customWidth="1"/>
    <col min="26" max="16384" width="8.88671875" style="11"/>
  </cols>
  <sheetData>
    <row r="6" spans="11:12" ht="82.8" customHeight="1" x14ac:dyDescent="0.3"/>
    <row r="7" spans="11:12" ht="9" customHeight="1" x14ac:dyDescent="0.3"/>
    <row r="9" spans="11:12" ht="31.2" x14ac:dyDescent="0.6">
      <c r="K9" s="10" t="s">
        <v>44</v>
      </c>
      <c r="L9" s="10"/>
    </row>
    <row r="10" spans="11:12" ht="31.2" x14ac:dyDescent="0.6">
      <c r="K10" s="12" t="s">
        <v>41</v>
      </c>
      <c r="L10" s="13">
        <v>430000</v>
      </c>
    </row>
    <row r="11" spans="11:12" ht="31.2" x14ac:dyDescent="0.6">
      <c r="K11" s="12" t="s">
        <v>43</v>
      </c>
      <c r="L11" s="13">
        <v>12</v>
      </c>
    </row>
    <row r="12" spans="11:12" ht="31.2" x14ac:dyDescent="0.6">
      <c r="K12" s="12" t="s">
        <v>42</v>
      </c>
      <c r="L12" s="13">
        <v>136000</v>
      </c>
    </row>
    <row r="20" spans="11:12" ht="23.4" x14ac:dyDescent="0.45">
      <c r="K20" s="14"/>
      <c r="L20" s="14"/>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pivot summary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saideep pallela</cp:lastModifiedBy>
  <dcterms:created xsi:type="dcterms:W3CDTF">2026-03-23T04:02:16Z</dcterms:created>
  <dcterms:modified xsi:type="dcterms:W3CDTF">2026-03-23T05:27:40Z</dcterms:modified>
</cp:coreProperties>
</file>