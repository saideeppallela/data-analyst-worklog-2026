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Github -Excel\day40\"/>
    </mc:Choice>
  </mc:AlternateContent>
  <xr:revisionPtr revIDLastSave="0" documentId="13_ncr:1_{7C3794AE-A7F1-4B0A-A6A7-66105CFBF46E}" xr6:coauthVersionLast="47" xr6:coauthVersionMax="47" xr10:uidLastSave="{00000000-0000-0000-0000-000000000000}"/>
  <bookViews>
    <workbookView xWindow="30600" yWindow="-120" windowWidth="29040" windowHeight="15720" xr2:uid="{00000000-000D-0000-FFFF-FFFF00000000}"/>
  </bookViews>
  <sheets>
    <sheet name="sales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2" i="1" l="1"/>
  <c r="N17" i="1"/>
  <c r="N12" i="1"/>
  <c r="N7" i="1"/>
  <c r="N2" i="1"/>
  <c r="I12" i="1"/>
  <c r="I7" i="1"/>
  <c r="I2" i="1"/>
  <c r="F3" i="1"/>
  <c r="F4" i="1"/>
  <c r="F5" i="1"/>
  <c r="F6" i="1"/>
  <c r="F7" i="1"/>
  <c r="F8" i="1"/>
  <c r="F9" i="1"/>
  <c r="F10" i="1"/>
  <c r="F11" i="1"/>
  <c r="F2" i="1"/>
  <c r="N24" i="1"/>
  <c r="N19" i="1"/>
  <c r="N14" i="1"/>
  <c r="N9" i="1"/>
  <c r="N4" i="1"/>
  <c r="I14" i="1"/>
  <c r="I9" i="1"/>
  <c r="I4" i="1"/>
</calcChain>
</file>

<file path=xl/sharedStrings.xml><?xml version="1.0" encoding="utf-8"?>
<sst xmlns="http://schemas.openxmlformats.org/spreadsheetml/2006/main" count="35" uniqueCount="23">
  <si>
    <t>order_id</t>
  </si>
  <si>
    <t>region</t>
  </si>
  <si>
    <t>product</t>
  </si>
  <si>
    <t>units_sold</t>
  </si>
  <si>
    <t>unit_price</t>
  </si>
  <si>
    <t>North</t>
  </si>
  <si>
    <t>Laptop</t>
  </si>
  <si>
    <t>South</t>
  </si>
  <si>
    <t>Mouse</t>
  </si>
  <si>
    <t>West</t>
  </si>
  <si>
    <t>Keyboard</t>
  </si>
  <si>
    <t>East</t>
  </si>
  <si>
    <t>Monitor</t>
  </si>
  <si>
    <t>Revenue</t>
  </si>
  <si>
    <t>KPI 1 Total Revenue</t>
  </si>
  <si>
    <t>KPI 2 Total Orders</t>
  </si>
  <si>
    <t>KPI 3 Average Order Value</t>
  </si>
  <si>
    <t>KPI 4 High Value Orders</t>
  </si>
  <si>
    <t>KPI 5 North Region Revenue</t>
  </si>
  <si>
    <t>DAY 40 – KPI CALCULATIONS (LEARNER LOG)
• Revenue column created using
=[@units_sold]*[@unit_price]
to calculate revenue per order.
• Total Revenue calculated using
=SUM(sales_kpi[Revenue])
to measure overall sales.
• Total Orders calculated using
=COUNTA(sales_kpi[order_id])
to count total transactions.
• Average Order Value calculated using
=AVERAGE(sales_kpi[Revenue])
to understand average revenue per order.
• High Value Orders calculated using
=COUNTIF(sales_kpi[Revenue],"&gt;100000")
to identify orders with revenue above 100000.
• Regional Revenue calculated using
=SUMIF(sales_kpi[region],"North",sales_kpi[Revenue])
to compare sales performance across regions.
These KPIs help summarize business performance for reporting and dashboards.</t>
  </si>
  <si>
    <t>KPI 6 South Region Revenue</t>
  </si>
  <si>
    <t>KPI 7 East Region Revenue</t>
  </si>
  <si>
    <t>KPI 8 West Region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</si>
</sst>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4" borderId="2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</cellXfs>
  <cellStyles count="1">
    <cellStyle name="Normal" xfId="0" builtinId="0"/>
  </cellStyles>
  <dxfs count="7">
    <dxf>
      <font>
        <b/>
      </font>
      <fill>
        <patternFill patternType="solid">
          <fgColor indexed="64"/>
          <bgColor theme="6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1D2F12-5D41-4DBE-A030-CB8276444056}" name="sales_kpi" displayName="sales_kpi" ref="A1:F11" totalsRowShown="0" dataDxfId="2">
  <autoFilter ref="A1:F11" xr:uid="{F11D2F12-5D41-4DBE-A030-CB8276444056}"/>
  <tableColumns count="6">
    <tableColumn id="1" xr3:uid="{8C7C2D11-2A2C-41AC-9CA3-5941BC14E3EF}" name="order_id" dataDxfId="6"/>
    <tableColumn id="2" xr3:uid="{B10F8412-F72D-4E91-88ED-4FD8D16E4218}" name="region" dataDxfId="5"/>
    <tableColumn id="3" xr3:uid="{4A28395E-B8F7-4BA7-9034-1AB27F2F4F16}" name="product" dataDxfId="4"/>
    <tableColumn id="4" xr3:uid="{844B4D4E-FA22-4689-BA39-117934CD60A6}" name="units_sold" dataDxfId="3"/>
    <tableColumn id="5" xr3:uid="{746772B0-F1DC-45EB-9D97-558DCCF1D3C2}" name="unit_price" dataDxfId="1"/>
    <tableColumn id="6" xr3:uid="{5798CC01-9C8A-483E-A424-7BDEA846630A}" name="Revenue" dataDxfId="0">
      <calculatedColumnFormula>sales_kpi[[#This Row],[units_sold]]*sales_kpi[[#This Row],[unit_price]]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7"/>
  <sheetViews>
    <sheetView showGridLines="0" tabSelected="1" zoomScaleNormal="100" workbookViewId="0">
      <selection activeCell="Q32" sqref="Q32"/>
    </sheetView>
  </sheetViews>
  <sheetFormatPr defaultRowHeight="14.4" x14ac:dyDescent="0.3"/>
  <cols>
    <col min="1" max="1" width="10.33203125" customWidth="1"/>
    <col min="3" max="3" width="9.5546875" customWidth="1"/>
    <col min="4" max="4" width="11.77734375" customWidth="1"/>
    <col min="5" max="5" width="11.6640625" customWidth="1"/>
    <col min="6" max="6" width="10.77734375" bestFit="1" customWidth="1"/>
    <col min="17" max="17" width="28.886718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13</v>
      </c>
      <c r="I1" s="3" t="s">
        <v>14</v>
      </c>
      <c r="J1" s="3"/>
      <c r="K1" s="3"/>
      <c r="L1" s="3"/>
      <c r="N1" s="3" t="s">
        <v>17</v>
      </c>
      <c r="O1" s="3"/>
      <c r="P1" s="3"/>
      <c r="Q1" s="3"/>
    </row>
    <row r="2" spans="1:17" x14ac:dyDescent="0.3">
      <c r="A2" s="1">
        <v>6001</v>
      </c>
      <c r="B2" s="1" t="s">
        <v>5</v>
      </c>
      <c r="C2" s="1" t="s">
        <v>6</v>
      </c>
      <c r="D2" s="1">
        <v>5</v>
      </c>
      <c r="E2" s="1">
        <v>75000</v>
      </c>
      <c r="F2" s="8">
        <f>sales_kpi[[#This Row],[units_sold]]*sales_kpi[[#This Row],[unit_price]]</f>
        <v>375000</v>
      </c>
      <c r="I2" s="5">
        <f>SUM(sales_kpi[Revenue])</f>
        <v>1489500</v>
      </c>
      <c r="J2" s="5"/>
      <c r="K2" s="5"/>
      <c r="L2" s="5"/>
      <c r="N2" s="5">
        <f>COUNTIF(sales_kpi[Revenue],"&gt;100000")</f>
        <v>5</v>
      </c>
      <c r="O2" s="5"/>
      <c r="P2" s="5"/>
      <c r="Q2" s="5"/>
    </row>
    <row r="3" spans="1:17" x14ac:dyDescent="0.3">
      <c r="A3" s="1">
        <v>6002</v>
      </c>
      <c r="B3" s="1" t="s">
        <v>7</v>
      </c>
      <c r="C3" s="1" t="s">
        <v>8</v>
      </c>
      <c r="D3" s="1">
        <v>40</v>
      </c>
      <c r="E3" s="1">
        <v>800</v>
      </c>
      <c r="F3" s="8">
        <f>sales_kpi[[#This Row],[units_sold]]*sales_kpi[[#This Row],[unit_price]]</f>
        <v>32000</v>
      </c>
      <c r="I3" s="5"/>
      <c r="J3" s="5"/>
      <c r="K3" s="5"/>
      <c r="L3" s="5"/>
      <c r="N3" s="5"/>
      <c r="O3" s="5"/>
      <c r="P3" s="5"/>
      <c r="Q3" s="5"/>
    </row>
    <row r="4" spans="1:17" x14ac:dyDescent="0.3">
      <c r="A4" s="1">
        <v>6003</v>
      </c>
      <c r="B4" s="1" t="s">
        <v>9</v>
      </c>
      <c r="C4" s="1" t="s">
        <v>10</v>
      </c>
      <c r="D4" s="1">
        <v>25</v>
      </c>
      <c r="E4" s="1">
        <v>1500</v>
      </c>
      <c r="F4" s="8">
        <f>sales_kpi[[#This Row],[units_sold]]*sales_kpi[[#This Row],[unit_price]]</f>
        <v>37500</v>
      </c>
      <c r="I4" s="4" t="str">
        <f ca="1">_xlfn.FORMULATEXT(I2)</f>
        <v>=SUM(sales_kpi[Revenue])</v>
      </c>
      <c r="J4" s="4"/>
      <c r="K4" s="4"/>
      <c r="L4" s="4"/>
      <c r="N4" s="4" t="str">
        <f ca="1">_xlfn.FORMULATEXT(N2)</f>
        <v>=COUNTIF(sales_kpi[Revenue],"&gt;100000")</v>
      </c>
      <c r="O4" s="4"/>
      <c r="P4" s="4"/>
      <c r="Q4" s="4"/>
    </row>
    <row r="5" spans="1:17" x14ac:dyDescent="0.3">
      <c r="A5" s="1">
        <v>6004</v>
      </c>
      <c r="B5" s="1" t="s">
        <v>11</v>
      </c>
      <c r="C5" s="1" t="s">
        <v>12</v>
      </c>
      <c r="D5" s="1">
        <v>12</v>
      </c>
      <c r="E5" s="1">
        <v>18000</v>
      </c>
      <c r="F5" s="8">
        <f>sales_kpi[[#This Row],[units_sold]]*sales_kpi[[#This Row],[unit_price]]</f>
        <v>216000</v>
      </c>
    </row>
    <row r="6" spans="1:17" x14ac:dyDescent="0.3">
      <c r="A6" s="1">
        <v>6005</v>
      </c>
      <c r="B6" s="1" t="s">
        <v>5</v>
      </c>
      <c r="C6" s="1" t="s">
        <v>6</v>
      </c>
      <c r="D6" s="1">
        <v>3</v>
      </c>
      <c r="E6" s="1">
        <v>76000</v>
      </c>
      <c r="F6" s="8">
        <f>sales_kpi[[#This Row],[units_sold]]*sales_kpi[[#This Row],[unit_price]]</f>
        <v>228000</v>
      </c>
      <c r="I6" s="3" t="s">
        <v>15</v>
      </c>
      <c r="J6" s="3"/>
      <c r="K6" s="3"/>
      <c r="L6" s="3"/>
      <c r="N6" s="3" t="s">
        <v>18</v>
      </c>
      <c r="O6" s="3"/>
      <c r="P6" s="3"/>
      <c r="Q6" s="3"/>
    </row>
    <row r="7" spans="1:17" x14ac:dyDescent="0.3">
      <c r="A7" s="1">
        <v>6006</v>
      </c>
      <c r="B7" s="1" t="s">
        <v>7</v>
      </c>
      <c r="C7" s="1" t="s">
        <v>8</v>
      </c>
      <c r="D7" s="1">
        <v>60</v>
      </c>
      <c r="E7" s="1">
        <v>750</v>
      </c>
      <c r="F7" s="8">
        <f>sales_kpi[[#This Row],[units_sold]]*sales_kpi[[#This Row],[unit_price]]</f>
        <v>45000</v>
      </c>
      <c r="I7" s="5">
        <f>COUNTA(sales_kpi[order_id])</f>
        <v>10</v>
      </c>
      <c r="J7" s="5"/>
      <c r="K7" s="5"/>
      <c r="L7" s="5"/>
      <c r="N7" s="5">
        <f>SUMIF(sales_kpi[region],"North",sales_kpi[Revenue])</f>
        <v>911000</v>
      </c>
      <c r="O7" s="5"/>
      <c r="P7" s="5"/>
      <c r="Q7" s="5"/>
    </row>
    <row r="8" spans="1:17" x14ac:dyDescent="0.3">
      <c r="A8" s="1">
        <v>6007</v>
      </c>
      <c r="B8" s="1" t="s">
        <v>9</v>
      </c>
      <c r="C8" s="1" t="s">
        <v>10</v>
      </c>
      <c r="D8" s="1">
        <v>20</v>
      </c>
      <c r="E8" s="1">
        <v>1600</v>
      </c>
      <c r="F8" s="8">
        <f>sales_kpi[[#This Row],[units_sold]]*sales_kpi[[#This Row],[unit_price]]</f>
        <v>32000</v>
      </c>
      <c r="I8" s="5"/>
      <c r="J8" s="5"/>
      <c r="K8" s="5"/>
      <c r="L8" s="5"/>
      <c r="N8" s="5"/>
      <c r="O8" s="5"/>
      <c r="P8" s="5"/>
      <c r="Q8" s="5"/>
    </row>
    <row r="9" spans="1:17" x14ac:dyDescent="0.3">
      <c r="A9" s="1">
        <v>6008</v>
      </c>
      <c r="B9" s="1" t="s">
        <v>11</v>
      </c>
      <c r="C9" s="1" t="s">
        <v>12</v>
      </c>
      <c r="D9" s="1">
        <v>10</v>
      </c>
      <c r="E9" s="1">
        <v>17500</v>
      </c>
      <c r="F9" s="8">
        <f>sales_kpi[[#This Row],[units_sold]]*sales_kpi[[#This Row],[unit_price]]</f>
        <v>175000</v>
      </c>
      <c r="I9" s="4" t="str">
        <f ca="1">_xlfn.FORMULATEXT(I7)</f>
        <v>=COUNTA(sales_kpi[order_id])</v>
      </c>
      <c r="J9" s="4"/>
      <c r="K9" s="4"/>
      <c r="L9" s="4"/>
      <c r="N9" s="4" t="str">
        <f ca="1">_xlfn.FORMULATEXT(N7)</f>
        <v>=SUMIF(sales_kpi[region],"North",sales_kpi[Revenue])</v>
      </c>
      <c r="O9" s="4"/>
      <c r="P9" s="4"/>
      <c r="Q9" s="4"/>
    </row>
    <row r="10" spans="1:17" x14ac:dyDescent="0.3">
      <c r="A10" s="1">
        <v>6009</v>
      </c>
      <c r="B10" s="1" t="s">
        <v>5</v>
      </c>
      <c r="C10" s="1" t="s">
        <v>6</v>
      </c>
      <c r="D10" s="1">
        <v>4</v>
      </c>
      <c r="E10" s="1">
        <v>77000</v>
      </c>
      <c r="F10" s="8">
        <f>sales_kpi[[#This Row],[units_sold]]*sales_kpi[[#This Row],[unit_price]]</f>
        <v>308000</v>
      </c>
    </row>
    <row r="11" spans="1:17" x14ac:dyDescent="0.3">
      <c r="A11" s="2">
        <v>6010</v>
      </c>
      <c r="B11" s="2" t="s">
        <v>7</v>
      </c>
      <c r="C11" s="2" t="s">
        <v>8</v>
      </c>
      <c r="D11" s="2">
        <v>50</v>
      </c>
      <c r="E11" s="2">
        <v>820</v>
      </c>
      <c r="F11" s="9">
        <f>sales_kpi[[#This Row],[units_sold]]*sales_kpi[[#This Row],[unit_price]]</f>
        <v>41000</v>
      </c>
      <c r="I11" s="3" t="s">
        <v>16</v>
      </c>
      <c r="J11" s="3"/>
      <c r="K11" s="3"/>
      <c r="L11" s="3"/>
      <c r="N11" s="3" t="s">
        <v>20</v>
      </c>
      <c r="O11" s="3"/>
      <c r="P11" s="3"/>
      <c r="Q11" s="3"/>
    </row>
    <row r="12" spans="1:17" x14ac:dyDescent="0.3">
      <c r="A12" s="6" t="s">
        <v>19</v>
      </c>
      <c r="B12" s="7"/>
      <c r="C12" s="7"/>
      <c r="D12" s="7"/>
      <c r="E12" s="7"/>
      <c r="F12" s="7"/>
      <c r="G12" s="7"/>
      <c r="I12" s="5">
        <f>AVERAGE(sales_kpi[Revenue])</f>
        <v>148950</v>
      </c>
      <c r="J12" s="5"/>
      <c r="K12" s="5"/>
      <c r="L12" s="5"/>
      <c r="N12" s="5">
        <f>SUMIF(sales_kpi[region],"South",sales_kpi[Revenue])</f>
        <v>118000</v>
      </c>
      <c r="O12" s="5"/>
      <c r="P12" s="5"/>
      <c r="Q12" s="5"/>
    </row>
    <row r="13" spans="1:17" x14ac:dyDescent="0.3">
      <c r="A13" s="7"/>
      <c r="B13" s="7"/>
      <c r="C13" s="7"/>
      <c r="D13" s="7"/>
      <c r="E13" s="7"/>
      <c r="F13" s="7"/>
      <c r="G13" s="7"/>
      <c r="I13" s="5"/>
      <c r="J13" s="5"/>
      <c r="K13" s="5"/>
      <c r="L13" s="5"/>
      <c r="N13" s="5"/>
      <c r="O13" s="5"/>
      <c r="P13" s="5"/>
      <c r="Q13" s="5"/>
    </row>
    <row r="14" spans="1:17" x14ac:dyDescent="0.3">
      <c r="A14" s="7"/>
      <c r="B14" s="7"/>
      <c r="C14" s="7"/>
      <c r="D14" s="7"/>
      <c r="E14" s="7"/>
      <c r="F14" s="7"/>
      <c r="G14" s="7"/>
      <c r="I14" s="4" t="str">
        <f ca="1">_xlfn.FORMULATEXT(I12)</f>
        <v>=AVERAGE(sales_kpi[Revenue])</v>
      </c>
      <c r="J14" s="4"/>
      <c r="K14" s="4"/>
      <c r="L14" s="4"/>
      <c r="N14" s="4" t="str">
        <f ca="1">_xlfn.FORMULATEXT(N12)</f>
        <v>=SUMIF(sales_kpi[region],"South",sales_kpi[Revenue])</v>
      </c>
      <c r="O14" s="4"/>
      <c r="P14" s="4"/>
      <c r="Q14" s="4"/>
    </row>
    <row r="15" spans="1:17" x14ac:dyDescent="0.3">
      <c r="A15" s="7"/>
      <c r="B15" s="7"/>
      <c r="C15" s="7"/>
      <c r="D15" s="7"/>
      <c r="E15" s="7"/>
      <c r="F15" s="7"/>
      <c r="G15" s="7"/>
    </row>
    <row r="16" spans="1:17" x14ac:dyDescent="0.3">
      <c r="A16" s="7"/>
      <c r="B16" s="7"/>
      <c r="C16" s="7"/>
      <c r="D16" s="7"/>
      <c r="E16" s="7"/>
      <c r="F16" s="7"/>
      <c r="G16" s="7"/>
      <c r="N16" s="3" t="s">
        <v>21</v>
      </c>
      <c r="O16" s="3"/>
      <c r="P16" s="3"/>
      <c r="Q16" s="3"/>
    </row>
    <row r="17" spans="1:17" x14ac:dyDescent="0.3">
      <c r="A17" s="7"/>
      <c r="B17" s="7"/>
      <c r="C17" s="7"/>
      <c r="D17" s="7"/>
      <c r="E17" s="7"/>
      <c r="F17" s="7"/>
      <c r="G17" s="7"/>
      <c r="N17" s="5">
        <f>SUMIF(sales_kpi[region],"East",sales_kpi[Revenue])</f>
        <v>391000</v>
      </c>
      <c r="O17" s="5"/>
      <c r="P17" s="5"/>
      <c r="Q17" s="5"/>
    </row>
    <row r="18" spans="1:17" x14ac:dyDescent="0.3">
      <c r="A18" s="7"/>
      <c r="B18" s="7"/>
      <c r="C18" s="7"/>
      <c r="D18" s="7"/>
      <c r="E18" s="7"/>
      <c r="F18" s="7"/>
      <c r="G18" s="7"/>
      <c r="N18" s="5"/>
      <c r="O18" s="5"/>
      <c r="P18" s="5"/>
      <c r="Q18" s="5"/>
    </row>
    <row r="19" spans="1:17" x14ac:dyDescent="0.3">
      <c r="A19" s="7"/>
      <c r="B19" s="7"/>
      <c r="C19" s="7"/>
      <c r="D19" s="7"/>
      <c r="E19" s="7"/>
      <c r="F19" s="7"/>
      <c r="G19" s="7"/>
      <c r="N19" s="4" t="str">
        <f ca="1">_xlfn.FORMULATEXT(N17)</f>
        <v>=SUMIF(sales_kpi[region],"East",sales_kpi[Revenue])</v>
      </c>
      <c r="O19" s="4"/>
      <c r="P19" s="4"/>
      <c r="Q19" s="4"/>
    </row>
    <row r="20" spans="1:17" x14ac:dyDescent="0.3">
      <c r="A20" s="7"/>
      <c r="B20" s="7"/>
      <c r="C20" s="7"/>
      <c r="D20" s="7"/>
      <c r="E20" s="7"/>
      <c r="F20" s="7"/>
      <c r="G20" s="7"/>
    </row>
    <row r="21" spans="1:17" x14ac:dyDescent="0.3">
      <c r="A21" s="7"/>
      <c r="B21" s="7"/>
      <c r="C21" s="7"/>
      <c r="D21" s="7"/>
      <c r="E21" s="7"/>
      <c r="F21" s="7"/>
      <c r="G21" s="7"/>
      <c r="N21" s="3" t="s">
        <v>22</v>
      </c>
      <c r="O21" s="3"/>
      <c r="P21" s="3"/>
      <c r="Q21" s="3"/>
    </row>
    <row r="22" spans="1:17" x14ac:dyDescent="0.3">
      <c r="A22" s="7"/>
      <c r="B22" s="7"/>
      <c r="C22" s="7"/>
      <c r="D22" s="7"/>
      <c r="E22" s="7"/>
      <c r="F22" s="7"/>
      <c r="G22" s="7"/>
      <c r="N22" s="5">
        <f>SUMIF(sales_kpi[region],"West",sales_kpi[Revenue])</f>
        <v>69500</v>
      </c>
      <c r="O22" s="5"/>
      <c r="P22" s="5"/>
      <c r="Q22" s="5"/>
    </row>
    <row r="23" spans="1:17" x14ac:dyDescent="0.3">
      <c r="A23" s="7"/>
      <c r="B23" s="7"/>
      <c r="C23" s="7"/>
      <c r="D23" s="7"/>
      <c r="E23" s="7"/>
      <c r="F23" s="7"/>
      <c r="G23" s="7"/>
      <c r="N23" s="5"/>
      <c r="O23" s="5"/>
      <c r="P23" s="5"/>
      <c r="Q23" s="5"/>
    </row>
    <row r="24" spans="1:17" x14ac:dyDescent="0.3">
      <c r="A24" s="7"/>
      <c r="B24" s="7"/>
      <c r="C24" s="7"/>
      <c r="D24" s="7"/>
      <c r="E24" s="7"/>
      <c r="F24" s="7"/>
      <c r="G24" s="7"/>
      <c r="N24" s="4" t="str">
        <f ca="1">_xlfn.FORMULATEXT(N22)</f>
        <v>=SUMIF(sales_kpi[region],"West",sales_kpi[Revenue])</v>
      </c>
      <c r="O24" s="4"/>
      <c r="P24" s="4"/>
      <c r="Q24" s="4"/>
    </row>
    <row r="25" spans="1:17" x14ac:dyDescent="0.3">
      <c r="A25" s="7"/>
      <c r="B25" s="7"/>
      <c r="C25" s="7"/>
      <c r="D25" s="7"/>
      <c r="E25" s="7"/>
      <c r="F25" s="7"/>
      <c r="G25" s="7"/>
    </row>
    <row r="26" spans="1:17" x14ac:dyDescent="0.3">
      <c r="A26" s="7"/>
      <c r="B26" s="7"/>
      <c r="C26" s="7"/>
      <c r="D26" s="7"/>
      <c r="E26" s="7"/>
      <c r="F26" s="7"/>
      <c r="G26" s="7"/>
    </row>
    <row r="27" spans="1:17" x14ac:dyDescent="0.3">
      <c r="A27" s="7"/>
      <c r="B27" s="7"/>
      <c r="C27" s="7"/>
      <c r="D27" s="7"/>
      <c r="E27" s="7"/>
      <c r="F27" s="7"/>
      <c r="G27" s="7"/>
    </row>
    <row r="28" spans="1:17" x14ac:dyDescent="0.3">
      <c r="A28" s="7"/>
      <c r="B28" s="7"/>
      <c r="C28" s="7"/>
      <c r="D28" s="7"/>
      <c r="E28" s="7"/>
      <c r="F28" s="7"/>
      <c r="G28" s="7"/>
    </row>
    <row r="29" spans="1:17" x14ac:dyDescent="0.3">
      <c r="A29" s="7"/>
      <c r="B29" s="7"/>
      <c r="C29" s="7"/>
      <c r="D29" s="7"/>
      <c r="E29" s="7"/>
      <c r="F29" s="7"/>
      <c r="G29" s="7"/>
    </row>
    <row r="30" spans="1:17" x14ac:dyDescent="0.3">
      <c r="A30" s="7"/>
      <c r="B30" s="7"/>
      <c r="C30" s="7"/>
      <c r="D30" s="7"/>
      <c r="E30" s="7"/>
      <c r="F30" s="7"/>
      <c r="G30" s="7"/>
    </row>
    <row r="31" spans="1:17" x14ac:dyDescent="0.3">
      <c r="A31" s="7"/>
      <c r="B31" s="7"/>
      <c r="C31" s="7"/>
      <c r="D31" s="7"/>
      <c r="E31" s="7"/>
      <c r="F31" s="7"/>
      <c r="G31" s="7"/>
    </row>
    <row r="32" spans="1:17" x14ac:dyDescent="0.3">
      <c r="A32" s="7"/>
      <c r="B32" s="7"/>
      <c r="C32" s="7"/>
      <c r="D32" s="7"/>
      <c r="E32" s="7"/>
      <c r="F32" s="7"/>
      <c r="G32" s="7"/>
    </row>
    <row r="33" spans="1:7" x14ac:dyDescent="0.3">
      <c r="A33" s="7"/>
      <c r="B33" s="7"/>
      <c r="C33" s="7"/>
      <c r="D33" s="7"/>
      <c r="E33" s="7"/>
      <c r="F33" s="7"/>
      <c r="G33" s="7"/>
    </row>
    <row r="34" spans="1:7" x14ac:dyDescent="0.3">
      <c r="A34" s="7"/>
      <c r="B34" s="7"/>
      <c r="C34" s="7"/>
      <c r="D34" s="7"/>
      <c r="E34" s="7"/>
      <c r="F34" s="7"/>
      <c r="G34" s="7"/>
    </row>
    <row r="35" spans="1:7" x14ac:dyDescent="0.3">
      <c r="A35" s="7"/>
      <c r="B35" s="7"/>
      <c r="C35" s="7"/>
      <c r="D35" s="7"/>
      <c r="E35" s="7"/>
      <c r="F35" s="7"/>
      <c r="G35" s="7"/>
    </row>
    <row r="36" spans="1:7" x14ac:dyDescent="0.3">
      <c r="A36" s="7"/>
      <c r="B36" s="7"/>
      <c r="C36" s="7"/>
      <c r="D36" s="7"/>
      <c r="E36" s="7"/>
      <c r="F36" s="7"/>
      <c r="G36" s="7"/>
    </row>
    <row r="37" spans="1:7" x14ac:dyDescent="0.3">
      <c r="A37" s="7"/>
      <c r="B37" s="7"/>
      <c r="C37" s="7"/>
      <c r="D37" s="7"/>
      <c r="E37" s="7"/>
      <c r="F37" s="7"/>
      <c r="G37" s="7"/>
    </row>
  </sheetData>
  <mergeCells count="25">
    <mergeCell ref="N21:Q21"/>
    <mergeCell ref="N22:Q23"/>
    <mergeCell ref="N24:Q24"/>
    <mergeCell ref="A12:G37"/>
    <mergeCell ref="N11:Q11"/>
    <mergeCell ref="N12:Q13"/>
    <mergeCell ref="N14:Q14"/>
    <mergeCell ref="N16:Q16"/>
    <mergeCell ref="N17:Q18"/>
    <mergeCell ref="N19:Q19"/>
    <mergeCell ref="I9:L9"/>
    <mergeCell ref="I11:L11"/>
    <mergeCell ref="I12:L13"/>
    <mergeCell ref="I14:L14"/>
    <mergeCell ref="N1:Q1"/>
    <mergeCell ref="N2:Q3"/>
    <mergeCell ref="N4:Q4"/>
    <mergeCell ref="N6:Q6"/>
    <mergeCell ref="N7:Q8"/>
    <mergeCell ref="N9:Q9"/>
    <mergeCell ref="I1:L1"/>
    <mergeCell ref="I2:L3"/>
    <mergeCell ref="I4:L4"/>
    <mergeCell ref="I6:L6"/>
    <mergeCell ref="I7:L8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saideep pallela</cp:lastModifiedBy>
  <dcterms:created xsi:type="dcterms:W3CDTF">2026-03-08T03:00:27Z</dcterms:created>
  <dcterms:modified xsi:type="dcterms:W3CDTF">2026-03-08T03:36:57Z</dcterms:modified>
</cp:coreProperties>
</file>