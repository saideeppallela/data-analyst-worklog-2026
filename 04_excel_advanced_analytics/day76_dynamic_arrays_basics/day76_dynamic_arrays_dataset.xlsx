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 - Worklog\Advance_Excel_phase4\"/>
    </mc:Choice>
  </mc:AlternateContent>
  <xr:revisionPtr revIDLastSave="0" documentId="13_ncr:1_{966AE984-72E2-4E8F-8AC1-31D042BEB3C6}" xr6:coauthVersionLast="47" xr6:coauthVersionMax="47" xr10:uidLastSave="{00000000-0000-0000-0000-000000000000}"/>
  <bookViews>
    <workbookView xWindow="30600" yWindow="-120" windowWidth="29040" windowHeight="15720" activeTab="1" xr2:uid="{00000000-000D-0000-FFFF-FFFF00000000}"/>
  </bookViews>
  <sheets>
    <sheet name="Sales_Data" sheetId="1" r:id="rId1"/>
    <sheet name="Dynamic_Array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2" l="1" a="1"/>
  <c r="AD3" i="2" s="1"/>
  <c r="AB20" i="2" a="1"/>
  <c r="AB20" i="2" s="1"/>
  <c r="AB9" i="2" a="1"/>
  <c r="AB9" i="2" s="1"/>
  <c r="AB2" i="2" a="1"/>
  <c r="AB2" i="2" s="1"/>
  <c r="S2" i="2" a="1"/>
  <c r="S2" i="2" s="1"/>
  <c r="S3" i="2" a="1"/>
  <c r="S3" i="2" s="1"/>
  <c r="J2" i="2" a="1"/>
  <c r="J2" i="2" s="1"/>
  <c r="J3" i="2" a="1"/>
  <c r="J3" i="2" s="1"/>
  <c r="A1" i="2" a="1"/>
  <c r="A1" i="2" s="1"/>
  <c r="A2" i="2" a="1"/>
  <c r="A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<sst xmlns="http://schemas.openxmlformats.org/spreadsheetml/2006/main" count="2514" uniqueCount="541">
  <si>
    <t>OrderID</t>
  </si>
  <si>
    <t>Product</t>
  </si>
  <si>
    <t>Category</t>
  </si>
  <si>
    <t>Region</t>
  </si>
  <si>
    <t>Month</t>
  </si>
  <si>
    <t>Sales_Amount</t>
  </si>
  <si>
    <t>Units_Sold</t>
  </si>
  <si>
    <t>Cost_Amount</t>
  </si>
  <si>
    <t>ORD0001</t>
  </si>
  <si>
    <t>Headphones</t>
  </si>
  <si>
    <t>Accessories</t>
  </si>
  <si>
    <t>North</t>
  </si>
  <si>
    <t>Mar-2025</t>
  </si>
  <si>
    <t>ORD0002</t>
  </si>
  <si>
    <t>South</t>
  </si>
  <si>
    <t>Nov-2025</t>
  </si>
  <si>
    <t>ORD0003</t>
  </si>
  <si>
    <t>East</t>
  </si>
  <si>
    <t>ORD0004</t>
  </si>
  <si>
    <t>Printer</t>
  </si>
  <si>
    <t>Peripherals</t>
  </si>
  <si>
    <t>West</t>
  </si>
  <si>
    <t>Dec-2025</t>
  </si>
  <si>
    <t>ORD0005</t>
  </si>
  <si>
    <t>Aug-2025</t>
  </si>
  <si>
    <t>ORD0006</t>
  </si>
  <si>
    <t>Tablet</t>
  </si>
  <si>
    <t>Electronics</t>
  </si>
  <si>
    <t>Apr-2025</t>
  </si>
  <si>
    <t>ORD0007</t>
  </si>
  <si>
    <t>ORD0008</t>
  </si>
  <si>
    <t>Laptop</t>
  </si>
  <si>
    <t>Feb-2025</t>
  </si>
  <si>
    <t>ORD0009</t>
  </si>
  <si>
    <t>Mouse</t>
  </si>
  <si>
    <t>Jul-2025</t>
  </si>
  <si>
    <t>ORD0010</t>
  </si>
  <si>
    <t>ORD0011</t>
  </si>
  <si>
    <t>Monitor</t>
  </si>
  <si>
    <t>ORD0012</t>
  </si>
  <si>
    <t>Oct-2025</t>
  </si>
  <si>
    <t>ORD0013</t>
  </si>
  <si>
    <t>ORD0014</t>
  </si>
  <si>
    <t>ORD0015</t>
  </si>
  <si>
    <t>Keyboard</t>
  </si>
  <si>
    <t>ORD0016</t>
  </si>
  <si>
    <t>ORD0017</t>
  </si>
  <si>
    <t>ORD0018</t>
  </si>
  <si>
    <t>Sep-2025</t>
  </si>
  <si>
    <t>ORD0019</t>
  </si>
  <si>
    <t>ORD0020</t>
  </si>
  <si>
    <t>ORD0021</t>
  </si>
  <si>
    <t>May-2025</t>
  </si>
  <si>
    <t>ORD0022</t>
  </si>
  <si>
    <t>Jun-2025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</si>
  <si>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</si>
  <si>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</si>
  <si>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</si>
  <si>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</si>
  <si>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</si>
  <si>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</si>
  <si>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</si>
  <si>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</si>
  <si>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</si>
  <si>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</si>
  <si>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</si>
  <si>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</si>
  <si>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</si>
  <si>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</si>
  <si>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</si>
  <si>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</si>
  <si>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Jan-2025</t>
  </si>
  <si>
    <t>ORD0039</t>
  </si>
  <si>
    <t>ORD0040</t>
  </si>
  <si>
    <t>ORD0041</t>
  </si>
  <si>
    <t>Phone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</si>
  <si>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</si>
  <si>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</si>
  <si>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</si>
  <si>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</si>
  <si>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</si>
  <si>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</si>
  <si>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</si>
  <si>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</si>
  <si>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</si>
  <si>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</si>
  <si>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</si>
  <si>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</si>
  <si>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</si>
  <si>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</si>
  <si>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</si>
  <si>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</si>
  <si>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</si>
  <si>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</si>
  <si>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</si>
  <si>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</si>
  <si>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</si>
  <si>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</si>
  <si>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</si>
  <si>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</si>
  <si>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</si>
  <si>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</si>
  <si>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</si>
  <si>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</si>
  <si>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</si>
  <si>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</si>
  <si>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</si>
  <si>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</si>
  <si>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</si>
  <si>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</si>
  <si>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</si>
  <si>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</si>
  <si>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</si>
  <si>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</si>
  <si>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</si>
  <si>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</si>
  <si>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</si>
  <si>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</si>
  <si>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</si>
  <si>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</si>
  <si>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</si>
  <si>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</si>
  <si>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</si>
  <si>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</si>
  <si>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</si>
  <si>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</si>
  <si>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</si>
  <si>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</si>
  <si>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</si>
  <si>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</si>
  <si>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</si>
  <si>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</si>
  <si>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</si>
  <si>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</si>
  <si>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</si>
  <si>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</si>
  <si>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</si>
  <si>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</si>
  <si>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</si>
  <si>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</si>
  <si>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</si>
  <si>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</si>
  <si>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</si>
  <si>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</si>
  <si>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</si>
  <si>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</si>
  <si>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</si>
  <si>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</si>
  <si>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</si>
  <si>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</si>
  <si>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</si>
  <si>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</si>
  <si>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</si>
  <si>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</si>
  <si>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</si>
  <si>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</si>
  <si>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</si>
  <si>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</si>
  <si>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</si>
  <si>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</si>
  <si>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</si>
  <si>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</si>
  <si>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</si>
  <si>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</si>
  <si>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</si>
  <si>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</si>
  <si>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</si>
  <si>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</si>
  <si>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</si>
  <si>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</si>
  <si>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</si>
  <si>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</si>
  <si>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</si>
  <si>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</si>
  <si>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</si>
  <si>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</si>
  <si>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</si>
  <si>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</si>
  <si>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</si>
  <si>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</si>
  <si>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</si>
  <si>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</si>
  <si>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</si>
  <si>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</si>
  <si>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</si>
  <si>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</si>
  <si>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</si>
  <si>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</si>
  <si>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</si>
  <si>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</si>
  <si>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</si>
  <si>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</si>
  <si>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</si>
  <si>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</si>
  <si>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</si>
  <si>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</si>
  <si>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</si>
  <si>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</si>
  <si>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</si>
  <si>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</si>
  <si>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</si>
  <si>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</si>
  <si>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</si>
  <si>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</si>
  <si>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</si>
  <si>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</si>
  <si>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</si>
  <si>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</si>
  <si>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</si>
  <si>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</si>
  <si>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</si>
  <si>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</si>
  <si>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</si>
  <si>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</si>
  <si>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</si>
  <si>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</si>
  <si>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</si>
  <si>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</si>
  <si>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</si>
  <si>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</si>
  <si>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</si>
  <si>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</si>
  <si>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</si>
  <si>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</si>
  <si>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</si>
  <si>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</si>
  <si>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</si>
  <si>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</si>
  <si>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</si>
  <si>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</si>
  <si>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</si>
  <si>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</si>
  <si>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</si>
  <si>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</si>
  <si>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</si>
  <si>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</si>
  <si>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</si>
  <si>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</si>
  <si>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</si>
  <si>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</si>
  <si>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</si>
  <si>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</si>
  <si>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</si>
  <si>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</si>
  <si>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</si>
  <si>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</si>
  <si>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</si>
  <si>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</si>
  <si>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</si>
  <si>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</si>
  <si>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</si>
  <si>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</si>
  <si>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</si>
  <si>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</si>
  <si>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</si>
  <si>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</si>
  <si>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</si>
  <si>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</si>
  <si>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</si>
  <si>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</si>
  <si>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</si>
  <si>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</si>
  <si>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</si>
  <si>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</si>
  <si>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</si>
  <si>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</si>
  <si>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</si>
  <si>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</si>
  <si>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</si>
  <si>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</si>
  <si>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</si>
  <si>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</si>
  <si>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</si>
  <si>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</si>
  <si>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</si>
  <si>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</si>
  <si>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</si>
  <si>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</si>
  <si>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</si>
  <si>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</si>
  <si>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</si>
  <si>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</si>
  <si>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</si>
  <si>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</si>
  <si>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</si>
  <si>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</si>
  <si>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</si>
  <si>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</si>
  <si>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</si>
  <si>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</si>
  <si>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</si>
  <si>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</si>
  <si>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</si>
  <si>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</si>
  <si>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</si>
  <si>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</si>
  <si>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</si>
  <si>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</si>
  <si>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</si>
  <si>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</si>
  <si>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</si>
  <si>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</si>
  <si>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</si>
  <si>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</si>
  <si>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</si>
  <si>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</si>
  <si>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</si>
  <si>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</si>
  <si>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</si>
  <si>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</si>
  <si>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</si>
  <si>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</si>
  <si>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</si>
  <si>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</si>
  <si>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</si>
  <si>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</si>
  <si>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</si>
  <si>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</si>
  <si>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</si>
  <si>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</si>
  <si>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</si>
  <si>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</si>
  <si>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</si>
  <si>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</si>
  <si>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</si>
  <si>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</si>
  <si>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</si>
  <si>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</si>
  <si>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</si>
  <si>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</si>
  <si>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</si>
  <si>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</si>
  <si>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</si>
  <si>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</si>
  <si>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</si>
  <si>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</si>
  <si>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</si>
  <si>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</si>
  <si>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</si>
  <si>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</si>
  <si>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</si>
  <si>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</si>
  <si>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</si>
  <si>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</si>
  <si>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</si>
  <si>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</si>
  <si>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</si>
  <si>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</si>
  <si>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</si>
  <si>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</si>
  <si>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</si>
  <si>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</si>
  <si>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</si>
  <si>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</si>
  <si>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</si>
  <si>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</si>
  <si>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</si>
  <si>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</si>
  <si>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</si>
  <si>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</si>
  <si>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</si>
  <si>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</si>
  <si>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</si>
  <si>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</si>
  <si>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</si>
  <si>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</si>
  <si>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</si>
  <si>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</si>
  <si>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</si>
  <si>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</si>
  <si>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</si>
  <si>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</si>
  <si>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</si>
  <si>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</si>
  <si>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</si>
  <si>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</si>
  <si>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</si>
  <si>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</si>
  <si>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</si>
  <si>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</si>
  <si>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</si>
  <si>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</si>
  <si>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</si>
  <si>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</si>
  <si>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</si>
  <si>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</si>
  <si>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</si>
  <si>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</si>
  <si>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</si>
  <si>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</si>
  <si>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</si>
  <si>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</si>
  <si>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</si>
  <si>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</si>
  <si>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</si>
  <si>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</si>
  <si>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</si>
  <si>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</si>
  <si>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</si>
  <si>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</si>
  <si>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</si>
  <si>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</si>
  <si>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</si>
  <si>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</si>
  <si>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</si>
  <si>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</si>
  <si>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</si>
  <si>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</si>
  <si>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</si>
  <si>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</si>
  <si>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</si>
  <si>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</si>
  <si>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</si>
  <si>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</si>
  <si>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</si>
  <si>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</si>
  <si>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</si>
  <si>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</si>
  <si>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</si>
  <si>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</si>
  <si>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</si>
  <si>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</si>
  <si>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</si>
  <si>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</si>
  <si>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</si>
  <si>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</si>
  <si>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</si>
  <si>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</si>
  <si>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</si>
  <si>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</si>
  <si>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</si>
  <si>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</si>
  <si>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</si>
  <si>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</si>
  <si>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</si>
  <si>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</si>
  <si>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</si>
  <si>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</si>
  <si>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</si>
  <si>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</si>
  <si>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</si>
  <si>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</si>
  <si>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</si>
  <si>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</si>
  <si>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</si>
  <si>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</si>
  <si>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</si>
  <si>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</si>
  <si>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</si>
  <si>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</si>
  <si>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</si>
  <si>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</si>
  <si>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</si>
  <si>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</si>
  <si>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</si>
  <si>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</si>
  <si>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</si>
  <si>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</si>
  <si>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</si>
  <si>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</si>
  <si>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</si>
  <si>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</si>
  <si>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</si>
  <si>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</si>
  <si>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</si>
  <si>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</si>
  <si>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</si>
  <si>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</si>
  <si>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</si>
  <si>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</si>
  <si>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</si>
  <si>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</si>
  <si>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</si>
  <si>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</si>
  <si>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</si>
  <si>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</si>
  <si>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</si>
  <si>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</si>
  <si>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</si>
  <si>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</si>
  <si>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</si>
  <si>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</si>
  <si>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</si>
  <si>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</si>
  <si>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</si>
  <si>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</si>
  <si>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</si>
  <si>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</si>
  <si>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</si>
  <si>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</si>
  <si>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</si>
  <si>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</si>
  <si>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</si>
  <si>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</si>
  <si>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</si>
  <si>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</si>
  <si>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</si>
  <si>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</si>
  <si>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</si>
  <si>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</si>
  <si>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</si>
  <si>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</si>
  <si>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</si>
  <si>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</si>
  <si>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</si>
  <si>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</si>
  <si>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</si>
  <si>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</si>
  <si>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</si>
  <si>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</si>
  <si>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</si>
  <si>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</si>
  <si>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</si>
  <si>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</si>
  <si>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</si>
  <si>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</si>
  <si>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</si>
  <si>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</si>
  <si>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</si>
  <si>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</si>
  <si>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</si>
  <si>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</si>
  <si>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</si>
  <si>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</si>
  <si>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</si>
  <si>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</si>
  <si>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</si>
  <si>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</si>
  <si>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</si>
  <si>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</si>
  <si>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</si>
  <si>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</si>
  <si>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</si>
  <si>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</si>
  <si>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</si>
  <si>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Electronics Orders</t>
  </si>
  <si>
    <t>Sorted Sales Descending</t>
  </si>
  <si>
    <t>Unique Regions</t>
  </si>
  <si>
    <t>Unique Products</t>
  </si>
  <si>
    <t>Sequence Numbers</t>
  </si>
  <si>
    <t>Month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</si>
</sst>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404BF8-D412-4EFA-BC56-964634C6E845}" name="SalesTable" displayName="SalesTable" ref="A1:H501" totalsRowShown="0">
  <autoFilter ref="A1:H501" xr:uid="{9A404BF8-D412-4EFA-BC56-964634C6E845}"/>
  <tableColumns count="8">
    <tableColumn id="1" xr3:uid="{1B9F465C-3775-426B-BDBE-C9007F617E84}" name="OrderID"/>
    <tableColumn id="2" xr3:uid="{A8220EE1-AC01-4189-8B2F-EC38A2C993E3}" name="Product"/>
    <tableColumn id="3" xr3:uid="{31ECC3EB-BF4A-4C5D-987D-BFC01B039959}" name="Category"/>
    <tableColumn id="4" xr3:uid="{E263E049-C9A8-4AC6-9173-BCFE7D3FD872}" name="Region"/>
    <tableColumn id="5" xr3:uid="{1E075C74-8D76-49BC-901D-2B70DBBFE5AE}" name="Month"/>
    <tableColumn id="6" xr3:uid="{D255247B-7C69-4BA2-8B4B-3E795ADB02B9}" name="Sales_Amount"/>
    <tableColumn id="7" xr3:uid="{02D2F725-006D-4161-9E4F-ADC867C0836C}" name="Units_Sold"/>
    <tableColumn id="8" xr3:uid="{02231040-505B-49B9-9677-011862559537}" name="Cost_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workbookViewId="0">
      <selection sqref="A1:H501"/>
    </sheetView>
  </sheetViews>
  <sheetFormatPr defaultRowHeight="14.4" x14ac:dyDescent="0.3"/>
  <cols>
    <col min="1" max="8" width="18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53800</v>
      </c>
      <c r="G2">
        <v>7</v>
      </c>
      <c r="H2">
        <v>33237.120000000003</v>
      </c>
    </row>
    <row r="3" spans="1:8" x14ac:dyDescent="0.3">
      <c r="A3" t="s">
        <v>13</v>
      </c>
      <c r="B3" t="s">
        <v>9</v>
      </c>
      <c r="C3" t="s">
        <v>10</v>
      </c>
      <c r="D3" t="s">
        <v>14</v>
      </c>
      <c r="E3" t="s">
        <v>15</v>
      </c>
      <c r="F3">
        <v>120418</v>
      </c>
      <c r="G3">
        <v>3</v>
      </c>
      <c r="H3">
        <v>88544.53</v>
      </c>
    </row>
    <row r="4" spans="1:8" x14ac:dyDescent="0.3">
      <c r="A4" t="s">
        <v>16</v>
      </c>
      <c r="B4" t="s">
        <v>9</v>
      </c>
      <c r="C4" t="s">
        <v>10</v>
      </c>
      <c r="D4" t="s">
        <v>17</v>
      </c>
      <c r="E4" t="s">
        <v>12</v>
      </c>
      <c r="F4">
        <v>130739</v>
      </c>
      <c r="G4">
        <v>7</v>
      </c>
      <c r="H4">
        <v>91422.66</v>
      </c>
    </row>
    <row r="5" spans="1:8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  <c r="F5">
        <v>54975</v>
      </c>
      <c r="G5">
        <v>9</v>
      </c>
      <c r="H5">
        <v>40814.03</v>
      </c>
    </row>
    <row r="6" spans="1:8" x14ac:dyDescent="0.3">
      <c r="A6" t="s">
        <v>23</v>
      </c>
      <c r="B6" t="s">
        <v>9</v>
      </c>
      <c r="C6" t="s">
        <v>10</v>
      </c>
      <c r="D6" t="s">
        <v>11</v>
      </c>
      <c r="E6" t="s">
        <v>24</v>
      </c>
      <c r="F6">
        <v>10878</v>
      </c>
      <c r="G6">
        <v>11</v>
      </c>
      <c r="H6">
        <v>7396.72</v>
      </c>
    </row>
    <row r="7" spans="1:8" x14ac:dyDescent="0.3">
      <c r="A7" t="s">
        <v>25</v>
      </c>
      <c r="B7" t="s">
        <v>26</v>
      </c>
      <c r="C7" t="s">
        <v>27</v>
      </c>
      <c r="D7" t="s">
        <v>14</v>
      </c>
      <c r="E7" t="s">
        <v>28</v>
      </c>
      <c r="F7">
        <v>120493</v>
      </c>
      <c r="G7">
        <v>8</v>
      </c>
      <c r="H7">
        <v>82909.570000000007</v>
      </c>
    </row>
    <row r="8" spans="1:8" x14ac:dyDescent="0.3">
      <c r="A8" t="s">
        <v>29</v>
      </c>
      <c r="B8" t="s">
        <v>26</v>
      </c>
      <c r="C8" t="s">
        <v>27</v>
      </c>
      <c r="D8" t="s">
        <v>17</v>
      </c>
      <c r="E8" t="s">
        <v>12</v>
      </c>
      <c r="F8">
        <v>130662</v>
      </c>
      <c r="G8">
        <v>10</v>
      </c>
      <c r="H8">
        <v>89628.82</v>
      </c>
    </row>
    <row r="9" spans="1:8" x14ac:dyDescent="0.3">
      <c r="A9" t="s">
        <v>30</v>
      </c>
      <c r="B9" t="s">
        <v>31</v>
      </c>
      <c r="C9" t="s">
        <v>27</v>
      </c>
      <c r="D9" t="s">
        <v>21</v>
      </c>
      <c r="E9" t="s">
        <v>32</v>
      </c>
      <c r="F9">
        <v>70506</v>
      </c>
      <c r="G9">
        <v>13</v>
      </c>
      <c r="H9">
        <v>44961.54</v>
      </c>
    </row>
    <row r="10" spans="1:8" x14ac:dyDescent="0.3">
      <c r="A10" t="s">
        <v>33</v>
      </c>
      <c r="B10" t="s">
        <v>34</v>
      </c>
      <c r="C10" t="s">
        <v>10</v>
      </c>
      <c r="D10" t="s">
        <v>11</v>
      </c>
      <c r="E10" t="s">
        <v>35</v>
      </c>
      <c r="F10">
        <v>21324</v>
      </c>
      <c r="G10">
        <v>13</v>
      </c>
      <c r="H10">
        <v>12904.79</v>
      </c>
    </row>
    <row r="11" spans="1:8" x14ac:dyDescent="0.3">
      <c r="A11" t="s">
        <v>36</v>
      </c>
      <c r="B11" t="s">
        <v>31</v>
      </c>
      <c r="C11" t="s">
        <v>27</v>
      </c>
      <c r="D11" t="s">
        <v>14</v>
      </c>
      <c r="E11" t="s">
        <v>15</v>
      </c>
      <c r="F11">
        <v>85760</v>
      </c>
      <c r="G11">
        <v>5</v>
      </c>
      <c r="H11">
        <v>55941.919999999998</v>
      </c>
    </row>
    <row r="12" spans="1:8" x14ac:dyDescent="0.3">
      <c r="A12" t="s">
        <v>37</v>
      </c>
      <c r="B12" t="s">
        <v>38</v>
      </c>
      <c r="C12" t="s">
        <v>20</v>
      </c>
      <c r="D12" t="s">
        <v>17</v>
      </c>
      <c r="E12" t="s">
        <v>12</v>
      </c>
      <c r="F12">
        <v>89991</v>
      </c>
      <c r="G12">
        <v>1</v>
      </c>
      <c r="H12">
        <v>60373.37</v>
      </c>
    </row>
    <row r="13" spans="1:8" x14ac:dyDescent="0.3">
      <c r="A13" t="s">
        <v>39</v>
      </c>
      <c r="B13" t="s">
        <v>19</v>
      </c>
      <c r="C13" t="s">
        <v>20</v>
      </c>
      <c r="D13" t="s">
        <v>21</v>
      </c>
      <c r="E13" t="s">
        <v>40</v>
      </c>
      <c r="F13">
        <v>65213</v>
      </c>
      <c r="G13">
        <v>7</v>
      </c>
      <c r="H13">
        <v>39930.04</v>
      </c>
    </row>
    <row r="14" spans="1:8" x14ac:dyDescent="0.3">
      <c r="A14" t="s">
        <v>41</v>
      </c>
      <c r="B14" t="s">
        <v>19</v>
      </c>
      <c r="C14" t="s">
        <v>20</v>
      </c>
      <c r="D14" t="s">
        <v>11</v>
      </c>
      <c r="E14" t="s">
        <v>40</v>
      </c>
      <c r="F14">
        <v>16900</v>
      </c>
      <c r="G14">
        <v>5</v>
      </c>
      <c r="H14">
        <v>11429.58</v>
      </c>
    </row>
    <row r="15" spans="1:8" x14ac:dyDescent="0.3">
      <c r="A15" t="s">
        <v>42</v>
      </c>
      <c r="B15" t="s">
        <v>38</v>
      </c>
      <c r="C15" t="s">
        <v>20</v>
      </c>
      <c r="D15" t="s">
        <v>14</v>
      </c>
      <c r="E15" t="s">
        <v>40</v>
      </c>
      <c r="F15">
        <v>115997</v>
      </c>
      <c r="G15">
        <v>10</v>
      </c>
      <c r="H15">
        <v>79845.97</v>
      </c>
    </row>
    <row r="16" spans="1:8" x14ac:dyDescent="0.3">
      <c r="A16" t="s">
        <v>43</v>
      </c>
      <c r="B16" t="s">
        <v>44</v>
      </c>
      <c r="C16" t="s">
        <v>10</v>
      </c>
      <c r="D16" t="s">
        <v>17</v>
      </c>
      <c r="E16" t="s">
        <v>35</v>
      </c>
      <c r="F16">
        <v>122012</v>
      </c>
      <c r="G16">
        <v>14</v>
      </c>
      <c r="H16">
        <v>84037.24</v>
      </c>
    </row>
    <row r="17" spans="1:8" x14ac:dyDescent="0.3">
      <c r="A17" t="s">
        <v>45</v>
      </c>
      <c r="B17" t="s">
        <v>44</v>
      </c>
      <c r="C17" t="s">
        <v>10</v>
      </c>
      <c r="D17" t="s">
        <v>21</v>
      </c>
      <c r="E17" t="s">
        <v>12</v>
      </c>
      <c r="F17">
        <v>7458</v>
      </c>
      <c r="G17">
        <v>11</v>
      </c>
      <c r="H17">
        <v>4586.29</v>
      </c>
    </row>
    <row r="18" spans="1:8" x14ac:dyDescent="0.3">
      <c r="A18" t="s">
        <v>46</v>
      </c>
      <c r="B18" t="s">
        <v>34</v>
      </c>
      <c r="C18" t="s">
        <v>10</v>
      </c>
      <c r="D18" t="s">
        <v>11</v>
      </c>
      <c r="E18" t="s">
        <v>12</v>
      </c>
      <c r="F18">
        <v>131176</v>
      </c>
      <c r="G18">
        <v>7</v>
      </c>
      <c r="H18">
        <v>86159.12</v>
      </c>
    </row>
    <row r="19" spans="1:8" x14ac:dyDescent="0.3">
      <c r="A19" t="s">
        <v>47</v>
      </c>
      <c r="B19" t="s">
        <v>44</v>
      </c>
      <c r="C19" t="s">
        <v>10</v>
      </c>
      <c r="D19" t="s">
        <v>14</v>
      </c>
      <c r="E19" t="s">
        <v>48</v>
      </c>
      <c r="F19">
        <v>82909</v>
      </c>
      <c r="G19">
        <v>2</v>
      </c>
      <c r="H19">
        <v>54247.89</v>
      </c>
    </row>
    <row r="20" spans="1:8" x14ac:dyDescent="0.3">
      <c r="A20" t="s">
        <v>49</v>
      </c>
      <c r="B20" t="s">
        <v>9</v>
      </c>
      <c r="C20" t="s">
        <v>10</v>
      </c>
      <c r="D20" t="s">
        <v>17</v>
      </c>
      <c r="E20" t="s">
        <v>12</v>
      </c>
      <c r="F20">
        <v>93793</v>
      </c>
      <c r="G20">
        <v>11</v>
      </c>
      <c r="H20">
        <v>61845.85</v>
      </c>
    </row>
    <row r="21" spans="1:8" x14ac:dyDescent="0.3">
      <c r="A21" t="s">
        <v>50</v>
      </c>
      <c r="B21" t="s">
        <v>44</v>
      </c>
      <c r="C21" t="s">
        <v>10</v>
      </c>
      <c r="D21" t="s">
        <v>21</v>
      </c>
      <c r="E21" t="s">
        <v>35</v>
      </c>
      <c r="F21">
        <v>129921</v>
      </c>
      <c r="G21">
        <v>2</v>
      </c>
      <c r="H21">
        <v>86079.99</v>
      </c>
    </row>
    <row r="22" spans="1:8" x14ac:dyDescent="0.3">
      <c r="A22" t="s">
        <v>51</v>
      </c>
      <c r="B22" t="s">
        <v>9</v>
      </c>
      <c r="C22" t="s">
        <v>10</v>
      </c>
      <c r="D22" t="s">
        <v>11</v>
      </c>
      <c r="E22" t="s">
        <v>52</v>
      </c>
      <c r="F22">
        <v>109188</v>
      </c>
      <c r="G22">
        <v>4</v>
      </c>
      <c r="H22">
        <v>79929.52</v>
      </c>
    </row>
    <row r="23" spans="1:8" x14ac:dyDescent="0.3">
      <c r="A23" t="s">
        <v>53</v>
      </c>
      <c r="B23" t="s">
        <v>9</v>
      </c>
      <c r="C23" t="s">
        <v>10</v>
      </c>
      <c r="D23" t="s">
        <v>14</v>
      </c>
      <c r="E23" t="s">
        <v>54</v>
      </c>
      <c r="F23">
        <v>146562</v>
      </c>
      <c r="G23">
        <v>1</v>
      </c>
      <c r="H23">
        <v>89814.47</v>
      </c>
    </row>
    <row r="24" spans="1:8" x14ac:dyDescent="0.3">
      <c r="A24" t="s">
        <v>55</v>
      </c>
      <c r="B24" t="s">
        <v>9</v>
      </c>
      <c r="C24" t="s">
        <v>10</v>
      </c>
      <c r="D24" t="s">
        <v>17</v>
      </c>
      <c r="E24" t="s">
        <v>48</v>
      </c>
      <c r="F24">
        <v>119556</v>
      </c>
      <c r="G24">
        <v>4</v>
      </c>
      <c r="H24">
        <v>78402.67</v>
      </c>
    </row>
    <row r="25" spans="1:8" x14ac:dyDescent="0.3">
      <c r="A25" t="s">
        <v>56</v>
      </c>
      <c r="B25" t="s">
        <v>19</v>
      </c>
      <c r="C25" t="s">
        <v>20</v>
      </c>
      <c r="D25" t="s">
        <v>21</v>
      </c>
      <c r="E25" t="s">
        <v>52</v>
      </c>
      <c r="F25">
        <v>54289</v>
      </c>
      <c r="G25">
        <v>13</v>
      </c>
      <c r="H25">
        <v>34531.08</v>
      </c>
    </row>
    <row r="26" spans="1:8" x14ac:dyDescent="0.3">
      <c r="A26" t="s">
        <v>57</v>
      </c>
      <c r="B26" t="s">
        <v>9</v>
      </c>
      <c r="C26" t="s">
        <v>10</v>
      </c>
      <c r="D26" t="s">
        <v>11</v>
      </c>
      <c r="E26" t="s">
        <v>52</v>
      </c>
      <c r="F26">
        <v>105530</v>
      </c>
      <c r="G26">
        <v>5</v>
      </c>
      <c r="H26">
        <v>67441.740000000005</v>
      </c>
    </row>
    <row r="27" spans="1:8" x14ac:dyDescent="0.3">
      <c r="A27" t="s">
        <v>58</v>
      </c>
      <c r="B27" t="s">
        <v>19</v>
      </c>
      <c r="C27" t="s">
        <v>20</v>
      </c>
      <c r="D27" t="s">
        <v>14</v>
      </c>
      <c r="E27" t="s">
        <v>48</v>
      </c>
      <c r="F27">
        <v>62967</v>
      </c>
      <c r="G27">
        <v>13</v>
      </c>
      <c r="H27">
        <v>40836.449999999997</v>
      </c>
    </row>
    <row r="28" spans="1:8" x14ac:dyDescent="0.3">
      <c r="A28" t="s">
        <v>59</v>
      </c>
      <c r="B28" t="s">
        <v>31</v>
      </c>
      <c r="C28" t="s">
        <v>27</v>
      </c>
      <c r="D28" t="s">
        <v>17</v>
      </c>
      <c r="E28" t="s">
        <v>28</v>
      </c>
      <c r="F28">
        <v>48982</v>
      </c>
      <c r="G28">
        <v>3</v>
      </c>
      <c r="H28">
        <v>35166.29</v>
      </c>
    </row>
    <row r="29" spans="1:8" x14ac:dyDescent="0.3">
      <c r="A29" t="s">
        <v>60</v>
      </c>
      <c r="B29" t="s">
        <v>26</v>
      </c>
      <c r="C29" t="s">
        <v>27</v>
      </c>
      <c r="D29" t="s">
        <v>21</v>
      </c>
      <c r="E29" t="s">
        <v>54</v>
      </c>
      <c r="F29">
        <v>129970</v>
      </c>
      <c r="G29">
        <v>3</v>
      </c>
      <c r="H29">
        <v>87978.7</v>
      </c>
    </row>
    <row r="30" spans="1:8" x14ac:dyDescent="0.3">
      <c r="A30" t="s">
        <v>61</v>
      </c>
      <c r="B30" t="s">
        <v>38</v>
      </c>
      <c r="C30" t="s">
        <v>20</v>
      </c>
      <c r="D30" t="s">
        <v>11</v>
      </c>
      <c r="E30" t="s">
        <v>28</v>
      </c>
      <c r="F30">
        <v>118496</v>
      </c>
      <c r="G30">
        <v>8</v>
      </c>
      <c r="H30">
        <v>74628.69</v>
      </c>
    </row>
    <row r="31" spans="1:8" x14ac:dyDescent="0.3">
      <c r="A31" t="s">
        <v>62</v>
      </c>
      <c r="B31" t="s">
        <v>34</v>
      </c>
      <c r="C31" t="s">
        <v>10</v>
      </c>
      <c r="D31" t="s">
        <v>14</v>
      </c>
      <c r="E31" t="s">
        <v>12</v>
      </c>
      <c r="F31">
        <v>141845</v>
      </c>
      <c r="G31">
        <v>11</v>
      </c>
      <c r="H31">
        <v>100631.25</v>
      </c>
    </row>
    <row r="32" spans="1:8" x14ac:dyDescent="0.3">
      <c r="A32" t="s">
        <v>63</v>
      </c>
      <c r="B32" t="s">
        <v>26</v>
      </c>
      <c r="C32" t="s">
        <v>27</v>
      </c>
      <c r="D32" t="s">
        <v>17</v>
      </c>
      <c r="E32" t="s">
        <v>52</v>
      </c>
      <c r="F32">
        <v>51803</v>
      </c>
      <c r="G32">
        <v>2</v>
      </c>
      <c r="H32">
        <v>36091.49</v>
      </c>
    </row>
    <row r="33" spans="1:8" x14ac:dyDescent="0.3">
      <c r="A33" t="s">
        <v>64</v>
      </c>
      <c r="B33" t="s">
        <v>31</v>
      </c>
      <c r="C33" t="s">
        <v>27</v>
      </c>
      <c r="D33" t="s">
        <v>21</v>
      </c>
      <c r="E33" t="s">
        <v>12</v>
      </c>
      <c r="F33">
        <v>83263</v>
      </c>
      <c r="G33">
        <v>9</v>
      </c>
      <c r="H33">
        <v>60573.7</v>
      </c>
    </row>
    <row r="34" spans="1:8" x14ac:dyDescent="0.3">
      <c r="A34" t="s">
        <v>65</v>
      </c>
      <c r="B34" t="s">
        <v>26</v>
      </c>
      <c r="C34" t="s">
        <v>27</v>
      </c>
      <c r="D34" t="s">
        <v>11</v>
      </c>
      <c r="E34" t="s">
        <v>28</v>
      </c>
      <c r="F34">
        <v>84865</v>
      </c>
      <c r="G34">
        <v>9</v>
      </c>
      <c r="H34">
        <v>53751.38</v>
      </c>
    </row>
    <row r="35" spans="1:8" x14ac:dyDescent="0.3">
      <c r="A35" t="s">
        <v>66</v>
      </c>
      <c r="B35" t="s">
        <v>44</v>
      </c>
      <c r="C35" t="s">
        <v>10</v>
      </c>
      <c r="D35" t="s">
        <v>14</v>
      </c>
      <c r="E35" t="s">
        <v>28</v>
      </c>
      <c r="F35">
        <v>138733</v>
      </c>
      <c r="G35">
        <v>8</v>
      </c>
      <c r="H35">
        <v>87961.46</v>
      </c>
    </row>
    <row r="36" spans="1:8" x14ac:dyDescent="0.3">
      <c r="A36" t="s">
        <v>67</v>
      </c>
      <c r="B36" t="s">
        <v>19</v>
      </c>
      <c r="C36" t="s">
        <v>20</v>
      </c>
      <c r="D36" t="s">
        <v>17</v>
      </c>
      <c r="E36" t="s">
        <v>54</v>
      </c>
      <c r="F36">
        <v>109674</v>
      </c>
      <c r="G36">
        <v>5</v>
      </c>
      <c r="H36">
        <v>73003.839999999997</v>
      </c>
    </row>
    <row r="37" spans="1:8" x14ac:dyDescent="0.3">
      <c r="A37" t="s">
        <v>68</v>
      </c>
      <c r="B37" t="s">
        <v>31</v>
      </c>
      <c r="C37" t="s">
        <v>27</v>
      </c>
      <c r="D37" t="s">
        <v>21</v>
      </c>
      <c r="E37" t="s">
        <v>52</v>
      </c>
      <c r="F37">
        <v>24791</v>
      </c>
      <c r="G37">
        <v>4</v>
      </c>
      <c r="H37">
        <v>16441.09</v>
      </c>
    </row>
    <row r="38" spans="1:8" x14ac:dyDescent="0.3">
      <c r="A38" t="s">
        <v>69</v>
      </c>
      <c r="B38" t="s">
        <v>9</v>
      </c>
      <c r="C38" t="s">
        <v>10</v>
      </c>
      <c r="D38" t="s">
        <v>11</v>
      </c>
      <c r="E38" t="s">
        <v>24</v>
      </c>
      <c r="F38">
        <v>87238</v>
      </c>
      <c r="G38">
        <v>4</v>
      </c>
      <c r="H38">
        <v>56786.64</v>
      </c>
    </row>
    <row r="39" spans="1:8" x14ac:dyDescent="0.3">
      <c r="A39" t="s">
        <v>70</v>
      </c>
      <c r="B39" t="s">
        <v>44</v>
      </c>
      <c r="C39" t="s">
        <v>10</v>
      </c>
      <c r="D39" t="s">
        <v>14</v>
      </c>
      <c r="E39" t="s">
        <v>71</v>
      </c>
      <c r="F39">
        <v>146915</v>
      </c>
      <c r="G39">
        <v>3</v>
      </c>
      <c r="H39">
        <v>99817.05</v>
      </c>
    </row>
    <row r="40" spans="1:8" x14ac:dyDescent="0.3">
      <c r="A40" t="s">
        <v>72</v>
      </c>
      <c r="B40" t="s">
        <v>19</v>
      </c>
      <c r="C40" t="s">
        <v>20</v>
      </c>
      <c r="D40" t="s">
        <v>17</v>
      </c>
      <c r="E40" t="s">
        <v>71</v>
      </c>
      <c r="F40">
        <v>104793</v>
      </c>
      <c r="G40">
        <v>1</v>
      </c>
      <c r="H40">
        <v>73221.06</v>
      </c>
    </row>
    <row r="41" spans="1:8" x14ac:dyDescent="0.3">
      <c r="A41" t="s">
        <v>73</v>
      </c>
      <c r="B41" t="s">
        <v>44</v>
      </c>
      <c r="C41" t="s">
        <v>10</v>
      </c>
      <c r="D41" t="s">
        <v>21</v>
      </c>
      <c r="E41" t="s">
        <v>54</v>
      </c>
      <c r="F41">
        <v>81441</v>
      </c>
      <c r="G41">
        <v>9</v>
      </c>
      <c r="H41">
        <v>59683.6</v>
      </c>
    </row>
    <row r="42" spans="1:8" x14ac:dyDescent="0.3">
      <c r="A42" t="s">
        <v>74</v>
      </c>
      <c r="B42" t="s">
        <v>75</v>
      </c>
      <c r="C42" t="s">
        <v>27</v>
      </c>
      <c r="D42" t="s">
        <v>11</v>
      </c>
      <c r="E42" t="s">
        <v>48</v>
      </c>
      <c r="F42">
        <v>85608</v>
      </c>
      <c r="G42">
        <v>1</v>
      </c>
      <c r="H42">
        <v>62122.080000000002</v>
      </c>
    </row>
    <row r="43" spans="1:8" x14ac:dyDescent="0.3">
      <c r="A43" t="s">
        <v>76</v>
      </c>
      <c r="B43" t="s">
        <v>34</v>
      </c>
      <c r="C43" t="s">
        <v>10</v>
      </c>
      <c r="D43" t="s">
        <v>14</v>
      </c>
      <c r="E43" t="s">
        <v>22</v>
      </c>
      <c r="F43">
        <v>120231</v>
      </c>
      <c r="G43">
        <v>4</v>
      </c>
      <c r="H43">
        <v>77892.5</v>
      </c>
    </row>
    <row r="44" spans="1:8" x14ac:dyDescent="0.3">
      <c r="A44" t="s">
        <v>77</v>
      </c>
      <c r="B44" t="s">
        <v>31</v>
      </c>
      <c r="C44" t="s">
        <v>27</v>
      </c>
      <c r="D44" t="s">
        <v>17</v>
      </c>
      <c r="E44" t="s">
        <v>24</v>
      </c>
      <c r="F44">
        <v>136337</v>
      </c>
      <c r="G44">
        <v>9</v>
      </c>
      <c r="H44">
        <v>83242.080000000002</v>
      </c>
    </row>
    <row r="45" spans="1:8" x14ac:dyDescent="0.3">
      <c r="A45" t="s">
        <v>78</v>
      </c>
      <c r="B45" t="s">
        <v>9</v>
      </c>
      <c r="C45" t="s">
        <v>10</v>
      </c>
      <c r="D45" t="s">
        <v>21</v>
      </c>
      <c r="E45" t="s">
        <v>12</v>
      </c>
      <c r="F45">
        <v>66919</v>
      </c>
      <c r="G45">
        <v>2</v>
      </c>
      <c r="H45">
        <v>45036.26</v>
      </c>
    </row>
    <row r="46" spans="1:8" x14ac:dyDescent="0.3">
      <c r="A46" t="s">
        <v>79</v>
      </c>
      <c r="B46" t="s">
        <v>19</v>
      </c>
      <c r="C46" t="s">
        <v>20</v>
      </c>
      <c r="D46" t="s">
        <v>11</v>
      </c>
      <c r="E46" t="s">
        <v>52</v>
      </c>
      <c r="F46">
        <v>28370</v>
      </c>
      <c r="G46">
        <v>11</v>
      </c>
      <c r="H46">
        <v>21034.87</v>
      </c>
    </row>
    <row r="47" spans="1:8" x14ac:dyDescent="0.3">
      <c r="A47" t="s">
        <v>80</v>
      </c>
      <c r="B47" t="s">
        <v>31</v>
      </c>
      <c r="C47" t="s">
        <v>27</v>
      </c>
      <c r="D47" t="s">
        <v>14</v>
      </c>
      <c r="E47" t="s">
        <v>40</v>
      </c>
      <c r="F47">
        <v>75036</v>
      </c>
      <c r="G47">
        <v>9</v>
      </c>
      <c r="H47">
        <v>50371.839999999997</v>
      </c>
    </row>
    <row r="48" spans="1:8" x14ac:dyDescent="0.3">
      <c r="A48" t="s">
        <v>81</v>
      </c>
      <c r="B48" t="s">
        <v>9</v>
      </c>
      <c r="C48" t="s">
        <v>10</v>
      </c>
      <c r="D48" t="s">
        <v>17</v>
      </c>
      <c r="E48" t="s">
        <v>40</v>
      </c>
      <c r="F48">
        <v>105004</v>
      </c>
      <c r="G48">
        <v>12</v>
      </c>
      <c r="H48">
        <v>64566.6</v>
      </c>
    </row>
    <row r="49" spans="1:8" x14ac:dyDescent="0.3">
      <c r="A49" t="s">
        <v>82</v>
      </c>
      <c r="B49" t="s">
        <v>38</v>
      </c>
      <c r="C49" t="s">
        <v>20</v>
      </c>
      <c r="D49" t="s">
        <v>21</v>
      </c>
      <c r="E49" t="s">
        <v>12</v>
      </c>
      <c r="F49">
        <v>98116</v>
      </c>
      <c r="G49">
        <v>1</v>
      </c>
      <c r="H49">
        <v>67738.7</v>
      </c>
    </row>
    <row r="50" spans="1:8" x14ac:dyDescent="0.3">
      <c r="A50" t="s">
        <v>83</v>
      </c>
      <c r="B50" t="s">
        <v>34</v>
      </c>
      <c r="C50" t="s">
        <v>10</v>
      </c>
      <c r="D50" t="s">
        <v>11</v>
      </c>
      <c r="E50" t="s">
        <v>40</v>
      </c>
      <c r="F50">
        <v>58069</v>
      </c>
      <c r="G50">
        <v>14</v>
      </c>
      <c r="H50">
        <v>42374.77</v>
      </c>
    </row>
    <row r="51" spans="1:8" x14ac:dyDescent="0.3">
      <c r="A51" t="s">
        <v>84</v>
      </c>
      <c r="B51" t="s">
        <v>75</v>
      </c>
      <c r="C51" t="s">
        <v>27</v>
      </c>
      <c r="D51" t="s">
        <v>14</v>
      </c>
      <c r="E51" t="s">
        <v>22</v>
      </c>
      <c r="F51">
        <v>54464</v>
      </c>
      <c r="G51">
        <v>3</v>
      </c>
      <c r="H51">
        <v>38191.75</v>
      </c>
    </row>
    <row r="52" spans="1:8" x14ac:dyDescent="0.3">
      <c r="A52" t="s">
        <v>85</v>
      </c>
      <c r="B52" t="s">
        <v>75</v>
      </c>
      <c r="C52" t="s">
        <v>27</v>
      </c>
      <c r="D52" t="s">
        <v>17</v>
      </c>
      <c r="E52" t="s">
        <v>48</v>
      </c>
      <c r="F52">
        <v>82994</v>
      </c>
      <c r="G52">
        <v>12</v>
      </c>
      <c r="H52">
        <v>60725.760000000002</v>
      </c>
    </row>
    <row r="53" spans="1:8" x14ac:dyDescent="0.3">
      <c r="A53" t="s">
        <v>86</v>
      </c>
      <c r="B53" t="s">
        <v>44</v>
      </c>
      <c r="C53" t="s">
        <v>10</v>
      </c>
      <c r="D53" t="s">
        <v>21</v>
      </c>
      <c r="E53" t="s">
        <v>40</v>
      </c>
      <c r="F53">
        <v>102468</v>
      </c>
      <c r="G53">
        <v>11</v>
      </c>
      <c r="H53">
        <v>61920.480000000003</v>
      </c>
    </row>
    <row r="54" spans="1:8" x14ac:dyDescent="0.3">
      <c r="A54" t="s">
        <v>87</v>
      </c>
      <c r="B54" t="s">
        <v>34</v>
      </c>
      <c r="C54" t="s">
        <v>10</v>
      </c>
      <c r="D54" t="s">
        <v>11</v>
      </c>
      <c r="E54" t="s">
        <v>71</v>
      </c>
      <c r="F54">
        <v>6792</v>
      </c>
      <c r="G54">
        <v>15</v>
      </c>
      <c r="H54">
        <v>4737.45</v>
      </c>
    </row>
    <row r="55" spans="1:8" x14ac:dyDescent="0.3">
      <c r="A55" t="s">
        <v>88</v>
      </c>
      <c r="B55" t="s">
        <v>19</v>
      </c>
      <c r="C55" t="s">
        <v>20</v>
      </c>
      <c r="D55" t="s">
        <v>14</v>
      </c>
      <c r="E55" t="s">
        <v>71</v>
      </c>
      <c r="F55">
        <v>9459</v>
      </c>
      <c r="G55">
        <v>14</v>
      </c>
      <c r="H55">
        <v>5946.76</v>
      </c>
    </row>
    <row r="56" spans="1:8" x14ac:dyDescent="0.3">
      <c r="A56" t="s">
        <v>89</v>
      </c>
      <c r="B56" t="s">
        <v>34</v>
      </c>
      <c r="C56" t="s">
        <v>10</v>
      </c>
      <c r="D56" t="s">
        <v>17</v>
      </c>
      <c r="E56" t="s">
        <v>22</v>
      </c>
      <c r="F56">
        <v>49038</v>
      </c>
      <c r="G56">
        <v>1</v>
      </c>
      <c r="H56">
        <v>32147.8</v>
      </c>
    </row>
    <row r="57" spans="1:8" x14ac:dyDescent="0.3">
      <c r="A57" t="s">
        <v>90</v>
      </c>
      <c r="B57" t="s">
        <v>34</v>
      </c>
      <c r="C57" t="s">
        <v>10</v>
      </c>
      <c r="D57" t="s">
        <v>21</v>
      </c>
      <c r="E57" t="s">
        <v>35</v>
      </c>
      <c r="F57">
        <v>148326</v>
      </c>
      <c r="G57">
        <v>9</v>
      </c>
      <c r="H57">
        <v>108557.11</v>
      </c>
    </row>
    <row r="58" spans="1:8" x14ac:dyDescent="0.3">
      <c r="A58" t="s">
        <v>91</v>
      </c>
      <c r="B58" t="s">
        <v>34</v>
      </c>
      <c r="C58" t="s">
        <v>10</v>
      </c>
      <c r="D58" t="s">
        <v>11</v>
      </c>
      <c r="E58" t="s">
        <v>48</v>
      </c>
      <c r="F58">
        <v>13687</v>
      </c>
      <c r="G58">
        <v>7</v>
      </c>
      <c r="H58">
        <v>9964.93</v>
      </c>
    </row>
    <row r="59" spans="1:8" x14ac:dyDescent="0.3">
      <c r="A59" t="s">
        <v>92</v>
      </c>
      <c r="B59" t="s">
        <v>26</v>
      </c>
      <c r="C59" t="s">
        <v>27</v>
      </c>
      <c r="D59" t="s">
        <v>14</v>
      </c>
      <c r="E59" t="s">
        <v>15</v>
      </c>
      <c r="F59">
        <v>104612</v>
      </c>
      <c r="G59">
        <v>14</v>
      </c>
      <c r="H59">
        <v>63528.58</v>
      </c>
    </row>
    <row r="60" spans="1:8" x14ac:dyDescent="0.3">
      <c r="A60" t="s">
        <v>93</v>
      </c>
      <c r="B60" t="s">
        <v>26</v>
      </c>
      <c r="C60" t="s">
        <v>27</v>
      </c>
      <c r="D60" t="s">
        <v>17</v>
      </c>
      <c r="E60" t="s">
        <v>40</v>
      </c>
      <c r="F60">
        <v>116610</v>
      </c>
      <c r="G60">
        <v>6</v>
      </c>
      <c r="H60">
        <v>70568.31</v>
      </c>
    </row>
    <row r="61" spans="1:8" x14ac:dyDescent="0.3">
      <c r="A61" t="s">
        <v>94</v>
      </c>
      <c r="B61" t="s">
        <v>38</v>
      </c>
      <c r="C61" t="s">
        <v>20</v>
      </c>
      <c r="D61" t="s">
        <v>21</v>
      </c>
      <c r="E61" t="s">
        <v>71</v>
      </c>
      <c r="F61">
        <v>138990</v>
      </c>
      <c r="G61">
        <v>8</v>
      </c>
      <c r="H61">
        <v>103615.23</v>
      </c>
    </row>
    <row r="62" spans="1:8" x14ac:dyDescent="0.3">
      <c r="A62" t="s">
        <v>95</v>
      </c>
      <c r="B62" t="s">
        <v>44</v>
      </c>
      <c r="C62" t="s">
        <v>10</v>
      </c>
      <c r="D62" t="s">
        <v>11</v>
      </c>
      <c r="E62" t="s">
        <v>28</v>
      </c>
      <c r="F62">
        <v>140481</v>
      </c>
      <c r="G62">
        <v>11</v>
      </c>
      <c r="H62">
        <v>93012.64</v>
      </c>
    </row>
    <row r="63" spans="1:8" x14ac:dyDescent="0.3">
      <c r="A63" t="s">
        <v>96</v>
      </c>
      <c r="B63" t="s">
        <v>26</v>
      </c>
      <c r="C63" t="s">
        <v>27</v>
      </c>
      <c r="D63" t="s">
        <v>14</v>
      </c>
      <c r="E63" t="s">
        <v>22</v>
      </c>
      <c r="F63">
        <v>94839</v>
      </c>
      <c r="G63">
        <v>12</v>
      </c>
      <c r="H63">
        <v>63674.81</v>
      </c>
    </row>
    <row r="64" spans="1:8" x14ac:dyDescent="0.3">
      <c r="A64" t="s">
        <v>97</v>
      </c>
      <c r="B64" t="s">
        <v>34</v>
      </c>
      <c r="C64" t="s">
        <v>10</v>
      </c>
      <c r="D64" t="s">
        <v>17</v>
      </c>
      <c r="E64" t="s">
        <v>28</v>
      </c>
      <c r="F64">
        <v>89800</v>
      </c>
      <c r="G64">
        <v>1</v>
      </c>
      <c r="H64">
        <v>62545.38</v>
      </c>
    </row>
    <row r="65" spans="1:8" x14ac:dyDescent="0.3">
      <c r="A65" t="s">
        <v>98</v>
      </c>
      <c r="B65" t="s">
        <v>19</v>
      </c>
      <c r="C65" t="s">
        <v>20</v>
      </c>
      <c r="D65" t="s">
        <v>21</v>
      </c>
      <c r="E65" t="s">
        <v>24</v>
      </c>
      <c r="F65">
        <v>63354</v>
      </c>
      <c r="G65">
        <v>9</v>
      </c>
      <c r="H65">
        <v>44156.99</v>
      </c>
    </row>
    <row r="66" spans="1:8" x14ac:dyDescent="0.3">
      <c r="A66" t="s">
        <v>99</v>
      </c>
      <c r="B66" t="s">
        <v>19</v>
      </c>
      <c r="C66" t="s">
        <v>20</v>
      </c>
      <c r="D66" t="s">
        <v>11</v>
      </c>
      <c r="E66" t="s">
        <v>28</v>
      </c>
      <c r="F66">
        <v>67681</v>
      </c>
      <c r="G66">
        <v>12</v>
      </c>
      <c r="H66">
        <v>50584.72</v>
      </c>
    </row>
    <row r="67" spans="1:8" x14ac:dyDescent="0.3">
      <c r="A67" t="s">
        <v>100</v>
      </c>
      <c r="B67" t="s">
        <v>44</v>
      </c>
      <c r="C67" t="s">
        <v>10</v>
      </c>
      <c r="D67" t="s">
        <v>14</v>
      </c>
      <c r="E67" t="s">
        <v>71</v>
      </c>
      <c r="F67">
        <v>12019</v>
      </c>
      <c r="G67">
        <v>10</v>
      </c>
      <c r="H67">
        <v>8288.27</v>
      </c>
    </row>
    <row r="68" spans="1:8" x14ac:dyDescent="0.3">
      <c r="A68" t="s">
        <v>101</v>
      </c>
      <c r="B68" t="s">
        <v>44</v>
      </c>
      <c r="C68" t="s">
        <v>10</v>
      </c>
      <c r="D68" t="s">
        <v>17</v>
      </c>
      <c r="E68" t="s">
        <v>54</v>
      </c>
      <c r="F68">
        <v>96106</v>
      </c>
      <c r="G68">
        <v>4</v>
      </c>
      <c r="H68">
        <v>65435.62</v>
      </c>
    </row>
    <row r="69" spans="1:8" x14ac:dyDescent="0.3">
      <c r="A69" t="s">
        <v>102</v>
      </c>
      <c r="B69" t="s">
        <v>75</v>
      </c>
      <c r="C69" t="s">
        <v>27</v>
      </c>
      <c r="D69" t="s">
        <v>21</v>
      </c>
      <c r="E69" t="s">
        <v>22</v>
      </c>
      <c r="F69">
        <v>70507</v>
      </c>
      <c r="G69">
        <v>1</v>
      </c>
      <c r="H69">
        <v>49512.959999999999</v>
      </c>
    </row>
    <row r="70" spans="1:8" x14ac:dyDescent="0.3">
      <c r="A70" t="s">
        <v>103</v>
      </c>
      <c r="B70" t="s">
        <v>31</v>
      </c>
      <c r="C70" t="s">
        <v>27</v>
      </c>
      <c r="D70" t="s">
        <v>11</v>
      </c>
      <c r="E70" t="s">
        <v>48</v>
      </c>
      <c r="F70">
        <v>17367</v>
      </c>
      <c r="G70">
        <v>11</v>
      </c>
      <c r="H70">
        <v>11191.18</v>
      </c>
    </row>
    <row r="71" spans="1:8" x14ac:dyDescent="0.3">
      <c r="A71" t="s">
        <v>104</v>
      </c>
      <c r="B71" t="s">
        <v>38</v>
      </c>
      <c r="C71" t="s">
        <v>20</v>
      </c>
      <c r="D71" t="s">
        <v>14</v>
      </c>
      <c r="E71" t="s">
        <v>40</v>
      </c>
      <c r="F71">
        <v>118732</v>
      </c>
      <c r="G71">
        <v>13</v>
      </c>
      <c r="H71">
        <v>85755.35</v>
      </c>
    </row>
    <row r="72" spans="1:8" x14ac:dyDescent="0.3">
      <c r="A72" t="s">
        <v>105</v>
      </c>
      <c r="B72" t="s">
        <v>44</v>
      </c>
      <c r="C72" t="s">
        <v>10</v>
      </c>
      <c r="D72" t="s">
        <v>17</v>
      </c>
      <c r="E72" t="s">
        <v>32</v>
      </c>
      <c r="F72">
        <v>73409</v>
      </c>
      <c r="G72">
        <v>10</v>
      </c>
      <c r="H72">
        <v>48166.55</v>
      </c>
    </row>
    <row r="73" spans="1:8" x14ac:dyDescent="0.3">
      <c r="A73" t="s">
        <v>106</v>
      </c>
      <c r="B73" t="s">
        <v>26</v>
      </c>
      <c r="C73" t="s">
        <v>27</v>
      </c>
      <c r="D73" t="s">
        <v>21</v>
      </c>
      <c r="E73" t="s">
        <v>32</v>
      </c>
      <c r="F73">
        <v>59492</v>
      </c>
      <c r="G73">
        <v>3</v>
      </c>
      <c r="H73">
        <v>41221.699999999997</v>
      </c>
    </row>
    <row r="74" spans="1:8" x14ac:dyDescent="0.3">
      <c r="A74" t="s">
        <v>107</v>
      </c>
      <c r="B74" t="s">
        <v>19</v>
      </c>
      <c r="C74" t="s">
        <v>20</v>
      </c>
      <c r="D74" t="s">
        <v>11</v>
      </c>
      <c r="E74" t="s">
        <v>28</v>
      </c>
      <c r="F74">
        <v>117579</v>
      </c>
      <c r="G74">
        <v>11</v>
      </c>
      <c r="H74">
        <v>86073.279999999999</v>
      </c>
    </row>
    <row r="75" spans="1:8" x14ac:dyDescent="0.3">
      <c r="A75" t="s">
        <v>108</v>
      </c>
      <c r="B75" t="s">
        <v>31</v>
      </c>
      <c r="C75" t="s">
        <v>27</v>
      </c>
      <c r="D75" t="s">
        <v>14</v>
      </c>
      <c r="E75" t="s">
        <v>32</v>
      </c>
      <c r="F75">
        <v>88000</v>
      </c>
      <c r="G75">
        <v>15</v>
      </c>
      <c r="H75">
        <v>64233.99</v>
      </c>
    </row>
    <row r="76" spans="1:8" x14ac:dyDescent="0.3">
      <c r="A76" t="s">
        <v>109</v>
      </c>
      <c r="B76" t="s">
        <v>34</v>
      </c>
      <c r="C76" t="s">
        <v>10</v>
      </c>
      <c r="D76" t="s">
        <v>17</v>
      </c>
      <c r="E76" t="s">
        <v>71</v>
      </c>
      <c r="F76">
        <v>142729</v>
      </c>
      <c r="G76">
        <v>5</v>
      </c>
      <c r="H76">
        <v>99113.83</v>
      </c>
    </row>
    <row r="77" spans="1:8" x14ac:dyDescent="0.3">
      <c r="A77" t="s">
        <v>110</v>
      </c>
      <c r="B77" t="s">
        <v>38</v>
      </c>
      <c r="C77" t="s">
        <v>20</v>
      </c>
      <c r="D77" t="s">
        <v>21</v>
      </c>
      <c r="E77" t="s">
        <v>28</v>
      </c>
      <c r="F77">
        <v>110702</v>
      </c>
      <c r="G77">
        <v>10</v>
      </c>
      <c r="H77">
        <v>66892.55</v>
      </c>
    </row>
    <row r="78" spans="1:8" x14ac:dyDescent="0.3">
      <c r="A78" t="s">
        <v>111</v>
      </c>
      <c r="B78" t="s">
        <v>26</v>
      </c>
      <c r="C78" t="s">
        <v>27</v>
      </c>
      <c r="D78" t="s">
        <v>11</v>
      </c>
      <c r="E78" t="s">
        <v>35</v>
      </c>
      <c r="F78">
        <v>92920</v>
      </c>
      <c r="G78">
        <v>3</v>
      </c>
      <c r="H78">
        <v>61948.18</v>
      </c>
    </row>
    <row r="79" spans="1:8" x14ac:dyDescent="0.3">
      <c r="A79" t="s">
        <v>112</v>
      </c>
      <c r="B79" t="s">
        <v>31</v>
      </c>
      <c r="C79" t="s">
        <v>27</v>
      </c>
      <c r="D79" t="s">
        <v>14</v>
      </c>
      <c r="E79" t="s">
        <v>22</v>
      </c>
      <c r="F79">
        <v>140417</v>
      </c>
      <c r="G79">
        <v>9</v>
      </c>
      <c r="H79">
        <v>90118.69</v>
      </c>
    </row>
    <row r="80" spans="1:8" x14ac:dyDescent="0.3">
      <c r="A80" t="s">
        <v>113</v>
      </c>
      <c r="B80" t="s">
        <v>19</v>
      </c>
      <c r="C80" t="s">
        <v>20</v>
      </c>
      <c r="D80" t="s">
        <v>17</v>
      </c>
      <c r="E80" t="s">
        <v>35</v>
      </c>
      <c r="F80">
        <v>82002</v>
      </c>
      <c r="G80">
        <v>5</v>
      </c>
      <c r="H80">
        <v>50120.01</v>
      </c>
    </row>
    <row r="81" spans="1:8" x14ac:dyDescent="0.3">
      <c r="A81" t="s">
        <v>114</v>
      </c>
      <c r="B81" t="s">
        <v>75</v>
      </c>
      <c r="C81" t="s">
        <v>27</v>
      </c>
      <c r="D81" t="s">
        <v>21</v>
      </c>
      <c r="E81" t="s">
        <v>22</v>
      </c>
      <c r="F81">
        <v>14608</v>
      </c>
      <c r="G81">
        <v>12</v>
      </c>
      <c r="H81">
        <v>10120.41</v>
      </c>
    </row>
    <row r="82" spans="1:8" x14ac:dyDescent="0.3">
      <c r="A82" t="s">
        <v>115</v>
      </c>
      <c r="B82" t="s">
        <v>31</v>
      </c>
      <c r="C82" t="s">
        <v>27</v>
      </c>
      <c r="D82" t="s">
        <v>11</v>
      </c>
      <c r="E82" t="s">
        <v>52</v>
      </c>
      <c r="F82">
        <v>133037</v>
      </c>
      <c r="G82">
        <v>11</v>
      </c>
      <c r="H82">
        <v>96327.42</v>
      </c>
    </row>
    <row r="83" spans="1:8" x14ac:dyDescent="0.3">
      <c r="A83" t="s">
        <v>116</v>
      </c>
      <c r="B83" t="s">
        <v>38</v>
      </c>
      <c r="C83" t="s">
        <v>20</v>
      </c>
      <c r="D83" t="s">
        <v>14</v>
      </c>
      <c r="E83" t="s">
        <v>12</v>
      </c>
      <c r="F83">
        <v>122055</v>
      </c>
      <c r="G83">
        <v>10</v>
      </c>
      <c r="H83">
        <v>81483.34</v>
      </c>
    </row>
    <row r="84" spans="1:8" x14ac:dyDescent="0.3">
      <c r="A84" t="s">
        <v>117</v>
      </c>
      <c r="B84" t="s">
        <v>9</v>
      </c>
      <c r="C84" t="s">
        <v>10</v>
      </c>
      <c r="D84" t="s">
        <v>17</v>
      </c>
      <c r="E84" t="s">
        <v>32</v>
      </c>
      <c r="F84">
        <v>130644</v>
      </c>
      <c r="G84">
        <v>1</v>
      </c>
      <c r="H84">
        <v>81868.91</v>
      </c>
    </row>
    <row r="85" spans="1:8" x14ac:dyDescent="0.3">
      <c r="A85" t="s">
        <v>118</v>
      </c>
      <c r="B85" t="s">
        <v>34</v>
      </c>
      <c r="C85" t="s">
        <v>10</v>
      </c>
      <c r="D85" t="s">
        <v>21</v>
      </c>
      <c r="E85" t="s">
        <v>15</v>
      </c>
      <c r="F85">
        <v>94636</v>
      </c>
      <c r="G85">
        <v>1</v>
      </c>
      <c r="H85">
        <v>58549.77</v>
      </c>
    </row>
    <row r="86" spans="1:8" x14ac:dyDescent="0.3">
      <c r="A86" t="s">
        <v>119</v>
      </c>
      <c r="B86" t="s">
        <v>75</v>
      </c>
      <c r="C86" t="s">
        <v>27</v>
      </c>
      <c r="D86" t="s">
        <v>11</v>
      </c>
      <c r="E86" t="s">
        <v>54</v>
      </c>
      <c r="F86">
        <v>65801</v>
      </c>
      <c r="G86">
        <v>11</v>
      </c>
      <c r="H86">
        <v>49185.18</v>
      </c>
    </row>
    <row r="87" spans="1:8" x14ac:dyDescent="0.3">
      <c r="A87" t="s">
        <v>120</v>
      </c>
      <c r="B87" t="s">
        <v>9</v>
      </c>
      <c r="C87" t="s">
        <v>10</v>
      </c>
      <c r="D87" t="s">
        <v>14</v>
      </c>
      <c r="E87" t="s">
        <v>24</v>
      </c>
      <c r="F87">
        <v>117004</v>
      </c>
      <c r="G87">
        <v>3</v>
      </c>
      <c r="H87">
        <v>70769.38</v>
      </c>
    </row>
    <row r="88" spans="1:8" x14ac:dyDescent="0.3">
      <c r="A88" t="s">
        <v>121</v>
      </c>
      <c r="B88" t="s">
        <v>9</v>
      </c>
      <c r="C88" t="s">
        <v>10</v>
      </c>
      <c r="D88" t="s">
        <v>17</v>
      </c>
      <c r="E88" t="s">
        <v>54</v>
      </c>
      <c r="F88">
        <v>104820</v>
      </c>
      <c r="G88">
        <v>12</v>
      </c>
      <c r="H88">
        <v>77512.429999999993</v>
      </c>
    </row>
    <row r="89" spans="1:8" x14ac:dyDescent="0.3">
      <c r="A89" t="s">
        <v>122</v>
      </c>
      <c r="B89" t="s">
        <v>9</v>
      </c>
      <c r="C89" t="s">
        <v>10</v>
      </c>
      <c r="D89" t="s">
        <v>21</v>
      </c>
      <c r="E89" t="s">
        <v>54</v>
      </c>
      <c r="F89">
        <v>134527</v>
      </c>
      <c r="G89">
        <v>10</v>
      </c>
      <c r="H89">
        <v>91515.47</v>
      </c>
    </row>
    <row r="90" spans="1:8" x14ac:dyDescent="0.3">
      <c r="A90" t="s">
        <v>123</v>
      </c>
      <c r="B90" t="s">
        <v>19</v>
      </c>
      <c r="C90" t="s">
        <v>20</v>
      </c>
      <c r="D90" t="s">
        <v>11</v>
      </c>
      <c r="E90" t="s">
        <v>15</v>
      </c>
      <c r="F90">
        <v>52973</v>
      </c>
      <c r="G90">
        <v>2</v>
      </c>
      <c r="H90">
        <v>37179.870000000003</v>
      </c>
    </row>
    <row r="91" spans="1:8" x14ac:dyDescent="0.3">
      <c r="A91" t="s">
        <v>124</v>
      </c>
      <c r="B91" t="s">
        <v>38</v>
      </c>
      <c r="C91" t="s">
        <v>20</v>
      </c>
      <c r="D91" t="s">
        <v>14</v>
      </c>
      <c r="E91" t="s">
        <v>22</v>
      </c>
      <c r="F91">
        <v>72356</v>
      </c>
      <c r="G91">
        <v>8</v>
      </c>
      <c r="H91">
        <v>46726.81</v>
      </c>
    </row>
    <row r="92" spans="1:8" x14ac:dyDescent="0.3">
      <c r="A92" t="s">
        <v>125</v>
      </c>
      <c r="B92" t="s">
        <v>9</v>
      </c>
      <c r="C92" t="s">
        <v>10</v>
      </c>
      <c r="D92" t="s">
        <v>17</v>
      </c>
      <c r="E92" t="s">
        <v>28</v>
      </c>
      <c r="F92">
        <v>67237</v>
      </c>
      <c r="G92">
        <v>2</v>
      </c>
      <c r="H92">
        <v>44435.69</v>
      </c>
    </row>
    <row r="93" spans="1:8" x14ac:dyDescent="0.3">
      <c r="A93" t="s">
        <v>126</v>
      </c>
      <c r="B93" t="s">
        <v>75</v>
      </c>
      <c r="C93" t="s">
        <v>27</v>
      </c>
      <c r="D93" t="s">
        <v>21</v>
      </c>
      <c r="E93" t="s">
        <v>22</v>
      </c>
      <c r="F93">
        <v>6757</v>
      </c>
      <c r="G93">
        <v>5</v>
      </c>
      <c r="H93">
        <v>4255.88</v>
      </c>
    </row>
    <row r="94" spans="1:8" x14ac:dyDescent="0.3">
      <c r="A94" t="s">
        <v>127</v>
      </c>
      <c r="B94" t="s">
        <v>34</v>
      </c>
      <c r="C94" t="s">
        <v>10</v>
      </c>
      <c r="D94" t="s">
        <v>11</v>
      </c>
      <c r="E94" t="s">
        <v>54</v>
      </c>
      <c r="F94">
        <v>132032</v>
      </c>
      <c r="G94">
        <v>12</v>
      </c>
      <c r="H94">
        <v>90728.48</v>
      </c>
    </row>
    <row r="95" spans="1:8" x14ac:dyDescent="0.3">
      <c r="A95" t="s">
        <v>128</v>
      </c>
      <c r="B95" t="s">
        <v>44</v>
      </c>
      <c r="C95" t="s">
        <v>10</v>
      </c>
      <c r="D95" t="s">
        <v>14</v>
      </c>
      <c r="E95" t="s">
        <v>28</v>
      </c>
      <c r="F95">
        <v>29529</v>
      </c>
      <c r="G95">
        <v>2</v>
      </c>
      <c r="H95">
        <v>20109.23</v>
      </c>
    </row>
    <row r="96" spans="1:8" x14ac:dyDescent="0.3">
      <c r="A96" t="s">
        <v>129</v>
      </c>
      <c r="B96" t="s">
        <v>44</v>
      </c>
      <c r="C96" t="s">
        <v>10</v>
      </c>
      <c r="D96" t="s">
        <v>17</v>
      </c>
      <c r="E96" t="s">
        <v>54</v>
      </c>
      <c r="F96">
        <v>130167</v>
      </c>
      <c r="G96">
        <v>8</v>
      </c>
      <c r="H96">
        <v>96470.3</v>
      </c>
    </row>
    <row r="97" spans="1:8" x14ac:dyDescent="0.3">
      <c r="A97" t="s">
        <v>130</v>
      </c>
      <c r="B97" t="s">
        <v>26</v>
      </c>
      <c r="C97" t="s">
        <v>27</v>
      </c>
      <c r="D97" t="s">
        <v>21</v>
      </c>
      <c r="E97" t="s">
        <v>35</v>
      </c>
      <c r="F97">
        <v>78845</v>
      </c>
      <c r="G97">
        <v>1</v>
      </c>
      <c r="H97">
        <v>54969.35</v>
      </c>
    </row>
    <row r="98" spans="1:8" x14ac:dyDescent="0.3">
      <c r="A98" t="s">
        <v>131</v>
      </c>
      <c r="B98" t="s">
        <v>26</v>
      </c>
      <c r="C98" t="s">
        <v>27</v>
      </c>
      <c r="D98" t="s">
        <v>11</v>
      </c>
      <c r="E98" t="s">
        <v>71</v>
      </c>
      <c r="F98">
        <v>16353</v>
      </c>
      <c r="G98">
        <v>10</v>
      </c>
      <c r="H98">
        <v>11805.26</v>
      </c>
    </row>
    <row r="99" spans="1:8" x14ac:dyDescent="0.3">
      <c r="A99" t="s">
        <v>132</v>
      </c>
      <c r="B99" t="s">
        <v>44</v>
      </c>
      <c r="C99" t="s">
        <v>10</v>
      </c>
      <c r="D99" t="s">
        <v>14</v>
      </c>
      <c r="E99" t="s">
        <v>71</v>
      </c>
      <c r="F99">
        <v>143625</v>
      </c>
      <c r="G99">
        <v>1</v>
      </c>
      <c r="H99">
        <v>102656.49</v>
      </c>
    </row>
    <row r="100" spans="1:8" x14ac:dyDescent="0.3">
      <c r="A100" t="s">
        <v>133</v>
      </c>
      <c r="B100" t="s">
        <v>38</v>
      </c>
      <c r="C100" t="s">
        <v>20</v>
      </c>
      <c r="D100" t="s">
        <v>17</v>
      </c>
      <c r="E100" t="s">
        <v>52</v>
      </c>
      <c r="F100">
        <v>46680</v>
      </c>
      <c r="G100">
        <v>3</v>
      </c>
      <c r="H100">
        <v>32209.279999999999</v>
      </c>
    </row>
    <row r="101" spans="1:8" x14ac:dyDescent="0.3">
      <c r="A101" t="s">
        <v>134</v>
      </c>
      <c r="B101" t="s">
        <v>9</v>
      </c>
      <c r="C101" t="s">
        <v>10</v>
      </c>
      <c r="D101" t="s">
        <v>21</v>
      </c>
      <c r="E101" t="s">
        <v>35</v>
      </c>
      <c r="F101">
        <v>106607</v>
      </c>
      <c r="G101">
        <v>14</v>
      </c>
      <c r="H101">
        <v>66121.39</v>
      </c>
    </row>
    <row r="102" spans="1:8" x14ac:dyDescent="0.3">
      <c r="A102" t="s">
        <v>135</v>
      </c>
      <c r="B102" t="s">
        <v>38</v>
      </c>
      <c r="C102" t="s">
        <v>20</v>
      </c>
      <c r="D102" t="s">
        <v>11</v>
      </c>
      <c r="E102" t="s">
        <v>22</v>
      </c>
      <c r="F102">
        <v>100468</v>
      </c>
      <c r="G102">
        <v>3</v>
      </c>
      <c r="H102">
        <v>71782.720000000001</v>
      </c>
    </row>
    <row r="103" spans="1:8" x14ac:dyDescent="0.3">
      <c r="A103" t="s">
        <v>136</v>
      </c>
      <c r="B103" t="s">
        <v>44</v>
      </c>
      <c r="C103" t="s">
        <v>10</v>
      </c>
      <c r="D103" t="s">
        <v>14</v>
      </c>
      <c r="E103" t="s">
        <v>32</v>
      </c>
      <c r="F103">
        <v>66972</v>
      </c>
      <c r="G103">
        <v>7</v>
      </c>
      <c r="H103">
        <v>45605.99</v>
      </c>
    </row>
    <row r="104" spans="1:8" x14ac:dyDescent="0.3">
      <c r="A104" t="s">
        <v>137</v>
      </c>
      <c r="B104" t="s">
        <v>26</v>
      </c>
      <c r="C104" t="s">
        <v>27</v>
      </c>
      <c r="D104" t="s">
        <v>17</v>
      </c>
      <c r="E104" t="s">
        <v>40</v>
      </c>
      <c r="F104">
        <v>93174</v>
      </c>
      <c r="G104">
        <v>11</v>
      </c>
      <c r="H104">
        <v>69553.19</v>
      </c>
    </row>
    <row r="105" spans="1:8" x14ac:dyDescent="0.3">
      <c r="A105" t="s">
        <v>138</v>
      </c>
      <c r="B105" t="s">
        <v>38</v>
      </c>
      <c r="C105" t="s">
        <v>20</v>
      </c>
      <c r="D105" t="s">
        <v>21</v>
      </c>
      <c r="E105" t="s">
        <v>28</v>
      </c>
      <c r="F105">
        <v>89264</v>
      </c>
      <c r="G105">
        <v>6</v>
      </c>
      <c r="H105">
        <v>59538.27</v>
      </c>
    </row>
    <row r="106" spans="1:8" x14ac:dyDescent="0.3">
      <c r="A106" t="s">
        <v>139</v>
      </c>
      <c r="B106" t="s">
        <v>34</v>
      </c>
      <c r="C106" t="s">
        <v>10</v>
      </c>
      <c r="D106" t="s">
        <v>11</v>
      </c>
      <c r="E106" t="s">
        <v>40</v>
      </c>
      <c r="F106">
        <v>107737</v>
      </c>
      <c r="G106">
        <v>1</v>
      </c>
      <c r="H106">
        <v>67113.429999999993</v>
      </c>
    </row>
    <row r="107" spans="1:8" x14ac:dyDescent="0.3">
      <c r="A107" t="s">
        <v>140</v>
      </c>
      <c r="B107" t="s">
        <v>34</v>
      </c>
      <c r="C107" t="s">
        <v>10</v>
      </c>
      <c r="D107" t="s">
        <v>14</v>
      </c>
      <c r="E107" t="s">
        <v>15</v>
      </c>
      <c r="F107">
        <v>28462</v>
      </c>
      <c r="G107">
        <v>1</v>
      </c>
      <c r="H107">
        <v>17369.34</v>
      </c>
    </row>
    <row r="108" spans="1:8" x14ac:dyDescent="0.3">
      <c r="A108" t="s">
        <v>141</v>
      </c>
      <c r="B108" t="s">
        <v>44</v>
      </c>
      <c r="C108" t="s">
        <v>10</v>
      </c>
      <c r="D108" t="s">
        <v>17</v>
      </c>
      <c r="E108" t="s">
        <v>22</v>
      </c>
      <c r="F108">
        <v>38271</v>
      </c>
      <c r="G108">
        <v>15</v>
      </c>
      <c r="H108">
        <v>24242.32</v>
      </c>
    </row>
    <row r="109" spans="1:8" x14ac:dyDescent="0.3">
      <c r="A109" t="s">
        <v>142</v>
      </c>
      <c r="B109" t="s">
        <v>38</v>
      </c>
      <c r="C109" t="s">
        <v>20</v>
      </c>
      <c r="D109" t="s">
        <v>21</v>
      </c>
      <c r="E109" t="s">
        <v>32</v>
      </c>
      <c r="F109">
        <v>43436</v>
      </c>
      <c r="G109">
        <v>12</v>
      </c>
      <c r="H109">
        <v>29254.67</v>
      </c>
    </row>
    <row r="110" spans="1:8" x14ac:dyDescent="0.3">
      <c r="A110" t="s">
        <v>143</v>
      </c>
      <c r="B110" t="s">
        <v>26</v>
      </c>
      <c r="C110" t="s">
        <v>27</v>
      </c>
      <c r="D110" t="s">
        <v>11</v>
      </c>
      <c r="E110" t="s">
        <v>54</v>
      </c>
      <c r="F110">
        <v>63691</v>
      </c>
      <c r="G110">
        <v>13</v>
      </c>
      <c r="H110">
        <v>46236.72</v>
      </c>
    </row>
    <row r="111" spans="1:8" x14ac:dyDescent="0.3">
      <c r="A111" t="s">
        <v>144</v>
      </c>
      <c r="B111" t="s">
        <v>34</v>
      </c>
      <c r="C111" t="s">
        <v>10</v>
      </c>
      <c r="D111" t="s">
        <v>14</v>
      </c>
      <c r="E111" t="s">
        <v>22</v>
      </c>
      <c r="F111">
        <v>33361</v>
      </c>
      <c r="G111">
        <v>5</v>
      </c>
      <c r="H111">
        <v>20965.34</v>
      </c>
    </row>
    <row r="112" spans="1:8" x14ac:dyDescent="0.3">
      <c r="A112" t="s">
        <v>145</v>
      </c>
      <c r="B112" t="s">
        <v>31</v>
      </c>
      <c r="C112" t="s">
        <v>27</v>
      </c>
      <c r="D112" t="s">
        <v>17</v>
      </c>
      <c r="E112" t="s">
        <v>28</v>
      </c>
      <c r="F112">
        <v>102944</v>
      </c>
      <c r="G112">
        <v>2</v>
      </c>
      <c r="H112">
        <v>71297.59</v>
      </c>
    </row>
    <row r="113" spans="1:8" x14ac:dyDescent="0.3">
      <c r="A113" t="s">
        <v>146</v>
      </c>
      <c r="B113" t="s">
        <v>38</v>
      </c>
      <c r="C113" t="s">
        <v>20</v>
      </c>
      <c r="D113" t="s">
        <v>21</v>
      </c>
      <c r="E113" t="s">
        <v>22</v>
      </c>
      <c r="F113">
        <v>75482</v>
      </c>
      <c r="G113">
        <v>5</v>
      </c>
      <c r="H113">
        <v>52590.11</v>
      </c>
    </row>
    <row r="114" spans="1:8" x14ac:dyDescent="0.3">
      <c r="A114" t="s">
        <v>147</v>
      </c>
      <c r="B114" t="s">
        <v>44</v>
      </c>
      <c r="C114" t="s">
        <v>10</v>
      </c>
      <c r="D114" t="s">
        <v>11</v>
      </c>
      <c r="E114" t="s">
        <v>28</v>
      </c>
      <c r="F114">
        <v>103246</v>
      </c>
      <c r="G114">
        <v>5</v>
      </c>
      <c r="H114">
        <v>77365.539999999994</v>
      </c>
    </row>
    <row r="115" spans="1:8" x14ac:dyDescent="0.3">
      <c r="A115" t="s">
        <v>148</v>
      </c>
      <c r="B115" t="s">
        <v>38</v>
      </c>
      <c r="C115" t="s">
        <v>20</v>
      </c>
      <c r="D115" t="s">
        <v>14</v>
      </c>
      <c r="E115" t="s">
        <v>28</v>
      </c>
      <c r="F115">
        <v>93366</v>
      </c>
      <c r="G115">
        <v>5</v>
      </c>
      <c r="H115">
        <v>59145.34</v>
      </c>
    </row>
    <row r="116" spans="1:8" x14ac:dyDescent="0.3">
      <c r="A116" t="s">
        <v>149</v>
      </c>
      <c r="B116" t="s">
        <v>9</v>
      </c>
      <c r="C116" t="s">
        <v>10</v>
      </c>
      <c r="D116" t="s">
        <v>17</v>
      </c>
      <c r="E116" t="s">
        <v>12</v>
      </c>
      <c r="F116">
        <v>20015</v>
      </c>
      <c r="G116">
        <v>1</v>
      </c>
      <c r="H116">
        <v>12599.05</v>
      </c>
    </row>
    <row r="117" spans="1:8" x14ac:dyDescent="0.3">
      <c r="A117" t="s">
        <v>150</v>
      </c>
      <c r="B117" t="s">
        <v>26</v>
      </c>
      <c r="C117" t="s">
        <v>27</v>
      </c>
      <c r="D117" t="s">
        <v>21</v>
      </c>
      <c r="E117" t="s">
        <v>12</v>
      </c>
      <c r="F117">
        <v>143818</v>
      </c>
      <c r="G117">
        <v>11</v>
      </c>
      <c r="H117">
        <v>99096.07</v>
      </c>
    </row>
    <row r="118" spans="1:8" x14ac:dyDescent="0.3">
      <c r="A118" t="s">
        <v>151</v>
      </c>
      <c r="B118" t="s">
        <v>9</v>
      </c>
      <c r="C118" t="s">
        <v>10</v>
      </c>
      <c r="D118" t="s">
        <v>11</v>
      </c>
      <c r="E118" t="s">
        <v>12</v>
      </c>
      <c r="F118">
        <v>93854</v>
      </c>
      <c r="G118">
        <v>3</v>
      </c>
      <c r="H118">
        <v>64435.28</v>
      </c>
    </row>
    <row r="119" spans="1:8" x14ac:dyDescent="0.3">
      <c r="A119" t="s">
        <v>152</v>
      </c>
      <c r="B119" t="s">
        <v>26</v>
      </c>
      <c r="C119" t="s">
        <v>27</v>
      </c>
      <c r="D119" t="s">
        <v>14</v>
      </c>
      <c r="E119" t="s">
        <v>52</v>
      </c>
      <c r="F119">
        <v>62315</v>
      </c>
      <c r="G119">
        <v>11</v>
      </c>
      <c r="H119">
        <v>43779.45</v>
      </c>
    </row>
    <row r="120" spans="1:8" x14ac:dyDescent="0.3">
      <c r="A120" t="s">
        <v>153</v>
      </c>
      <c r="B120" t="s">
        <v>9</v>
      </c>
      <c r="C120" t="s">
        <v>10</v>
      </c>
      <c r="D120" t="s">
        <v>17</v>
      </c>
      <c r="E120" t="s">
        <v>40</v>
      </c>
      <c r="F120">
        <v>71792</v>
      </c>
      <c r="G120">
        <v>3</v>
      </c>
      <c r="H120">
        <v>50084.21</v>
      </c>
    </row>
    <row r="121" spans="1:8" x14ac:dyDescent="0.3">
      <c r="A121" t="s">
        <v>154</v>
      </c>
      <c r="B121" t="s">
        <v>19</v>
      </c>
      <c r="C121" t="s">
        <v>20</v>
      </c>
      <c r="D121" t="s">
        <v>21</v>
      </c>
      <c r="E121" t="s">
        <v>71</v>
      </c>
      <c r="F121">
        <v>33847</v>
      </c>
      <c r="G121">
        <v>13</v>
      </c>
      <c r="H121">
        <v>25212.54</v>
      </c>
    </row>
    <row r="122" spans="1:8" x14ac:dyDescent="0.3">
      <c r="A122" t="s">
        <v>155</v>
      </c>
      <c r="B122" t="s">
        <v>19</v>
      </c>
      <c r="C122" t="s">
        <v>20</v>
      </c>
      <c r="D122" t="s">
        <v>11</v>
      </c>
      <c r="E122" t="s">
        <v>12</v>
      </c>
      <c r="F122">
        <v>36586</v>
      </c>
      <c r="G122">
        <v>2</v>
      </c>
      <c r="H122">
        <v>25647.75</v>
      </c>
    </row>
    <row r="123" spans="1:8" x14ac:dyDescent="0.3">
      <c r="A123" t="s">
        <v>156</v>
      </c>
      <c r="B123" t="s">
        <v>44</v>
      </c>
      <c r="C123" t="s">
        <v>10</v>
      </c>
      <c r="D123" t="s">
        <v>14</v>
      </c>
      <c r="E123" t="s">
        <v>54</v>
      </c>
      <c r="F123">
        <v>70188</v>
      </c>
      <c r="G123">
        <v>13</v>
      </c>
      <c r="H123">
        <v>46585.85</v>
      </c>
    </row>
    <row r="124" spans="1:8" x14ac:dyDescent="0.3">
      <c r="A124" t="s">
        <v>157</v>
      </c>
      <c r="B124" t="s">
        <v>34</v>
      </c>
      <c r="C124" t="s">
        <v>10</v>
      </c>
      <c r="D124" t="s">
        <v>17</v>
      </c>
      <c r="E124" t="s">
        <v>48</v>
      </c>
      <c r="F124">
        <v>125624</v>
      </c>
      <c r="G124">
        <v>13</v>
      </c>
      <c r="H124">
        <v>75439.62</v>
      </c>
    </row>
    <row r="125" spans="1:8" x14ac:dyDescent="0.3">
      <c r="A125" t="s">
        <v>158</v>
      </c>
      <c r="B125" t="s">
        <v>31</v>
      </c>
      <c r="C125" t="s">
        <v>27</v>
      </c>
      <c r="D125" t="s">
        <v>21</v>
      </c>
      <c r="E125" t="s">
        <v>35</v>
      </c>
      <c r="F125">
        <v>89513</v>
      </c>
      <c r="G125">
        <v>4</v>
      </c>
      <c r="H125">
        <v>60402.23</v>
      </c>
    </row>
    <row r="126" spans="1:8" x14ac:dyDescent="0.3">
      <c r="A126" t="s">
        <v>159</v>
      </c>
      <c r="B126" t="s">
        <v>34</v>
      </c>
      <c r="C126" t="s">
        <v>10</v>
      </c>
      <c r="D126" t="s">
        <v>11</v>
      </c>
      <c r="E126" t="s">
        <v>15</v>
      </c>
      <c r="F126">
        <v>48946</v>
      </c>
      <c r="G126">
        <v>6</v>
      </c>
      <c r="H126">
        <v>33741.24</v>
      </c>
    </row>
    <row r="127" spans="1:8" x14ac:dyDescent="0.3">
      <c r="A127" t="s">
        <v>160</v>
      </c>
      <c r="B127" t="s">
        <v>19</v>
      </c>
      <c r="C127" t="s">
        <v>20</v>
      </c>
      <c r="D127" t="s">
        <v>14</v>
      </c>
      <c r="E127" t="s">
        <v>52</v>
      </c>
      <c r="F127">
        <v>10157</v>
      </c>
      <c r="G127">
        <v>15</v>
      </c>
      <c r="H127">
        <v>6482.68</v>
      </c>
    </row>
    <row r="128" spans="1:8" x14ac:dyDescent="0.3">
      <c r="A128" t="s">
        <v>161</v>
      </c>
      <c r="B128" t="s">
        <v>19</v>
      </c>
      <c r="C128" t="s">
        <v>20</v>
      </c>
      <c r="D128" t="s">
        <v>17</v>
      </c>
      <c r="E128" t="s">
        <v>40</v>
      </c>
      <c r="F128">
        <v>137927</v>
      </c>
      <c r="G128">
        <v>2</v>
      </c>
      <c r="H128">
        <v>94977.04</v>
      </c>
    </row>
    <row r="129" spans="1:8" x14ac:dyDescent="0.3">
      <c r="A129" t="s">
        <v>162</v>
      </c>
      <c r="B129" t="s">
        <v>38</v>
      </c>
      <c r="C129" t="s">
        <v>20</v>
      </c>
      <c r="D129" t="s">
        <v>21</v>
      </c>
      <c r="E129" t="s">
        <v>22</v>
      </c>
      <c r="F129">
        <v>71506</v>
      </c>
      <c r="G129">
        <v>7</v>
      </c>
      <c r="H129">
        <v>47575.63</v>
      </c>
    </row>
    <row r="130" spans="1:8" x14ac:dyDescent="0.3">
      <c r="A130" t="s">
        <v>163</v>
      </c>
      <c r="B130" t="s">
        <v>19</v>
      </c>
      <c r="C130" t="s">
        <v>20</v>
      </c>
      <c r="D130" t="s">
        <v>11</v>
      </c>
      <c r="E130" t="s">
        <v>35</v>
      </c>
      <c r="F130">
        <v>64216</v>
      </c>
      <c r="G130">
        <v>15</v>
      </c>
      <c r="H130">
        <v>43766.36</v>
      </c>
    </row>
    <row r="131" spans="1:8" x14ac:dyDescent="0.3">
      <c r="A131" t="s">
        <v>164</v>
      </c>
      <c r="B131" t="s">
        <v>44</v>
      </c>
      <c r="C131" t="s">
        <v>10</v>
      </c>
      <c r="D131" t="s">
        <v>14</v>
      </c>
      <c r="E131" t="s">
        <v>22</v>
      </c>
      <c r="F131">
        <v>36615</v>
      </c>
      <c r="G131">
        <v>9</v>
      </c>
      <c r="H131">
        <v>27188.74</v>
      </c>
    </row>
    <row r="132" spans="1:8" x14ac:dyDescent="0.3">
      <c r="A132" t="s">
        <v>165</v>
      </c>
      <c r="B132" t="s">
        <v>75</v>
      </c>
      <c r="C132" t="s">
        <v>27</v>
      </c>
      <c r="D132" t="s">
        <v>17</v>
      </c>
      <c r="E132" t="s">
        <v>71</v>
      </c>
      <c r="F132">
        <v>118909</v>
      </c>
      <c r="G132">
        <v>8</v>
      </c>
      <c r="H132">
        <v>80462.66</v>
      </c>
    </row>
    <row r="133" spans="1:8" x14ac:dyDescent="0.3">
      <c r="A133" t="s">
        <v>166</v>
      </c>
      <c r="B133" t="s">
        <v>19</v>
      </c>
      <c r="C133" t="s">
        <v>20</v>
      </c>
      <c r="D133" t="s">
        <v>21</v>
      </c>
      <c r="E133" t="s">
        <v>71</v>
      </c>
      <c r="F133">
        <v>43387</v>
      </c>
      <c r="G133">
        <v>5</v>
      </c>
      <c r="H133">
        <v>31716.7</v>
      </c>
    </row>
    <row r="134" spans="1:8" x14ac:dyDescent="0.3">
      <c r="A134" t="s">
        <v>167</v>
      </c>
      <c r="B134" t="s">
        <v>9</v>
      </c>
      <c r="C134" t="s">
        <v>10</v>
      </c>
      <c r="D134" t="s">
        <v>11</v>
      </c>
      <c r="E134" t="s">
        <v>35</v>
      </c>
      <c r="F134">
        <v>58143</v>
      </c>
      <c r="G134">
        <v>1</v>
      </c>
      <c r="H134">
        <v>36705.300000000003</v>
      </c>
    </row>
    <row r="135" spans="1:8" x14ac:dyDescent="0.3">
      <c r="A135" t="s">
        <v>168</v>
      </c>
      <c r="B135" t="s">
        <v>19</v>
      </c>
      <c r="C135" t="s">
        <v>20</v>
      </c>
      <c r="D135" t="s">
        <v>14</v>
      </c>
      <c r="E135" t="s">
        <v>22</v>
      </c>
      <c r="F135">
        <v>60373</v>
      </c>
      <c r="G135">
        <v>15</v>
      </c>
      <c r="H135">
        <v>43646.07</v>
      </c>
    </row>
    <row r="136" spans="1:8" x14ac:dyDescent="0.3">
      <c r="A136" t="s">
        <v>169</v>
      </c>
      <c r="B136" t="s">
        <v>31</v>
      </c>
      <c r="C136" t="s">
        <v>27</v>
      </c>
      <c r="D136" t="s">
        <v>17</v>
      </c>
      <c r="E136" t="s">
        <v>15</v>
      </c>
      <c r="F136">
        <v>146429</v>
      </c>
      <c r="G136">
        <v>11</v>
      </c>
      <c r="H136">
        <v>88999.78</v>
      </c>
    </row>
    <row r="137" spans="1:8" x14ac:dyDescent="0.3">
      <c r="A137" t="s">
        <v>170</v>
      </c>
      <c r="B137" t="s">
        <v>34</v>
      </c>
      <c r="C137" t="s">
        <v>10</v>
      </c>
      <c r="D137" t="s">
        <v>21</v>
      </c>
      <c r="E137" t="s">
        <v>40</v>
      </c>
      <c r="F137">
        <v>15422</v>
      </c>
      <c r="G137">
        <v>15</v>
      </c>
      <c r="H137">
        <v>9605.7900000000009</v>
      </c>
    </row>
    <row r="138" spans="1:8" x14ac:dyDescent="0.3">
      <c r="A138" t="s">
        <v>171</v>
      </c>
      <c r="B138" t="s">
        <v>9</v>
      </c>
      <c r="C138" t="s">
        <v>10</v>
      </c>
      <c r="D138" t="s">
        <v>11</v>
      </c>
      <c r="E138" t="s">
        <v>71</v>
      </c>
      <c r="F138">
        <v>85505</v>
      </c>
      <c r="G138">
        <v>6</v>
      </c>
      <c r="H138">
        <v>52177.18</v>
      </c>
    </row>
    <row r="139" spans="1:8" x14ac:dyDescent="0.3">
      <c r="A139" t="s">
        <v>172</v>
      </c>
      <c r="B139" t="s">
        <v>38</v>
      </c>
      <c r="C139" t="s">
        <v>20</v>
      </c>
      <c r="D139" t="s">
        <v>14</v>
      </c>
      <c r="E139" t="s">
        <v>24</v>
      </c>
      <c r="F139">
        <v>72565</v>
      </c>
      <c r="G139">
        <v>3</v>
      </c>
      <c r="H139">
        <v>53181.4</v>
      </c>
    </row>
    <row r="140" spans="1:8" x14ac:dyDescent="0.3">
      <c r="A140" t="s">
        <v>173</v>
      </c>
      <c r="B140" t="s">
        <v>26</v>
      </c>
      <c r="C140" t="s">
        <v>27</v>
      </c>
      <c r="D140" t="s">
        <v>17</v>
      </c>
      <c r="E140" t="s">
        <v>71</v>
      </c>
      <c r="F140">
        <v>67983</v>
      </c>
      <c r="G140">
        <v>10</v>
      </c>
      <c r="H140">
        <v>44579.59</v>
      </c>
    </row>
    <row r="141" spans="1:8" x14ac:dyDescent="0.3">
      <c r="A141" t="s">
        <v>174</v>
      </c>
      <c r="B141" t="s">
        <v>19</v>
      </c>
      <c r="C141" t="s">
        <v>20</v>
      </c>
      <c r="D141" t="s">
        <v>21</v>
      </c>
      <c r="E141" t="s">
        <v>52</v>
      </c>
      <c r="F141">
        <v>92222</v>
      </c>
      <c r="G141">
        <v>8</v>
      </c>
      <c r="H141">
        <v>62119.32</v>
      </c>
    </row>
    <row r="142" spans="1:8" x14ac:dyDescent="0.3">
      <c r="A142" t="s">
        <v>175</v>
      </c>
      <c r="B142" t="s">
        <v>38</v>
      </c>
      <c r="C142" t="s">
        <v>20</v>
      </c>
      <c r="D142" t="s">
        <v>11</v>
      </c>
      <c r="E142" t="s">
        <v>22</v>
      </c>
      <c r="F142">
        <v>61981</v>
      </c>
      <c r="G142">
        <v>4</v>
      </c>
      <c r="H142">
        <v>45563.35</v>
      </c>
    </row>
    <row r="143" spans="1:8" x14ac:dyDescent="0.3">
      <c r="A143" t="s">
        <v>176</v>
      </c>
      <c r="B143" t="s">
        <v>75</v>
      </c>
      <c r="C143" t="s">
        <v>27</v>
      </c>
      <c r="D143" t="s">
        <v>14</v>
      </c>
      <c r="E143" t="s">
        <v>22</v>
      </c>
      <c r="F143">
        <v>96555</v>
      </c>
      <c r="G143">
        <v>5</v>
      </c>
      <c r="H143">
        <v>62385.279999999999</v>
      </c>
    </row>
    <row r="144" spans="1:8" x14ac:dyDescent="0.3">
      <c r="A144" t="s">
        <v>177</v>
      </c>
      <c r="B144" t="s">
        <v>26</v>
      </c>
      <c r="C144" t="s">
        <v>27</v>
      </c>
      <c r="D144" t="s">
        <v>17</v>
      </c>
      <c r="E144" t="s">
        <v>71</v>
      </c>
      <c r="F144">
        <v>128631</v>
      </c>
      <c r="G144">
        <v>12</v>
      </c>
      <c r="H144">
        <v>80192.3</v>
      </c>
    </row>
    <row r="145" spans="1:8" x14ac:dyDescent="0.3">
      <c r="A145" t="s">
        <v>178</v>
      </c>
      <c r="B145" t="s">
        <v>44</v>
      </c>
      <c r="C145" t="s">
        <v>10</v>
      </c>
      <c r="D145" t="s">
        <v>21</v>
      </c>
      <c r="E145" t="s">
        <v>32</v>
      </c>
      <c r="F145">
        <v>133286</v>
      </c>
      <c r="G145">
        <v>11</v>
      </c>
      <c r="H145">
        <v>81490.009999999995</v>
      </c>
    </row>
    <row r="146" spans="1:8" x14ac:dyDescent="0.3">
      <c r="A146" t="s">
        <v>179</v>
      </c>
      <c r="B146" t="s">
        <v>44</v>
      </c>
      <c r="C146" t="s">
        <v>10</v>
      </c>
      <c r="D146" t="s">
        <v>11</v>
      </c>
      <c r="E146" t="s">
        <v>15</v>
      </c>
      <c r="F146">
        <v>41158</v>
      </c>
      <c r="G146">
        <v>9</v>
      </c>
      <c r="H146">
        <v>30846.36</v>
      </c>
    </row>
    <row r="147" spans="1:8" x14ac:dyDescent="0.3">
      <c r="A147" t="s">
        <v>180</v>
      </c>
      <c r="B147" t="s">
        <v>31</v>
      </c>
      <c r="C147" t="s">
        <v>27</v>
      </c>
      <c r="D147" t="s">
        <v>14</v>
      </c>
      <c r="E147" t="s">
        <v>35</v>
      </c>
      <c r="F147">
        <v>38107</v>
      </c>
      <c r="G147">
        <v>13</v>
      </c>
      <c r="H147">
        <v>27367.3</v>
      </c>
    </row>
    <row r="148" spans="1:8" x14ac:dyDescent="0.3">
      <c r="A148" t="s">
        <v>181</v>
      </c>
      <c r="B148" t="s">
        <v>75</v>
      </c>
      <c r="C148" t="s">
        <v>27</v>
      </c>
      <c r="D148" t="s">
        <v>17</v>
      </c>
      <c r="E148" t="s">
        <v>24</v>
      </c>
      <c r="F148">
        <v>31409</v>
      </c>
      <c r="G148">
        <v>6</v>
      </c>
      <c r="H148">
        <v>21935.759999999998</v>
      </c>
    </row>
    <row r="149" spans="1:8" x14ac:dyDescent="0.3">
      <c r="A149" t="s">
        <v>182</v>
      </c>
      <c r="B149" t="s">
        <v>44</v>
      </c>
      <c r="C149" t="s">
        <v>10</v>
      </c>
      <c r="D149" t="s">
        <v>21</v>
      </c>
      <c r="E149" t="s">
        <v>52</v>
      </c>
      <c r="F149">
        <v>141983</v>
      </c>
      <c r="G149">
        <v>10</v>
      </c>
      <c r="H149">
        <v>105513.62</v>
      </c>
    </row>
    <row r="150" spans="1:8" x14ac:dyDescent="0.3">
      <c r="A150" t="s">
        <v>183</v>
      </c>
      <c r="B150" t="s">
        <v>44</v>
      </c>
      <c r="C150" t="s">
        <v>10</v>
      </c>
      <c r="D150" t="s">
        <v>11</v>
      </c>
      <c r="E150" t="s">
        <v>71</v>
      </c>
      <c r="F150">
        <v>123262</v>
      </c>
      <c r="G150">
        <v>5</v>
      </c>
      <c r="H150">
        <v>91573.73</v>
      </c>
    </row>
    <row r="151" spans="1:8" x14ac:dyDescent="0.3">
      <c r="A151" t="s">
        <v>184</v>
      </c>
      <c r="B151" t="s">
        <v>26</v>
      </c>
      <c r="C151" t="s">
        <v>27</v>
      </c>
      <c r="D151" t="s">
        <v>14</v>
      </c>
      <c r="E151" t="s">
        <v>32</v>
      </c>
      <c r="F151">
        <v>62305</v>
      </c>
      <c r="G151">
        <v>1</v>
      </c>
      <c r="H151">
        <v>44588.23</v>
      </c>
    </row>
    <row r="152" spans="1:8" x14ac:dyDescent="0.3">
      <c r="A152" t="s">
        <v>185</v>
      </c>
      <c r="B152" t="s">
        <v>26</v>
      </c>
      <c r="C152" t="s">
        <v>27</v>
      </c>
      <c r="D152" t="s">
        <v>17</v>
      </c>
      <c r="E152" t="s">
        <v>12</v>
      </c>
      <c r="F152">
        <v>104055</v>
      </c>
      <c r="G152">
        <v>10</v>
      </c>
      <c r="H152">
        <v>67486</v>
      </c>
    </row>
    <row r="153" spans="1:8" x14ac:dyDescent="0.3">
      <c r="A153" t="s">
        <v>186</v>
      </c>
      <c r="B153" t="s">
        <v>31</v>
      </c>
      <c r="C153" t="s">
        <v>27</v>
      </c>
      <c r="D153" t="s">
        <v>21</v>
      </c>
      <c r="E153" t="s">
        <v>32</v>
      </c>
      <c r="F153">
        <v>137258</v>
      </c>
      <c r="G153">
        <v>13</v>
      </c>
      <c r="H153">
        <v>98519.09</v>
      </c>
    </row>
    <row r="154" spans="1:8" x14ac:dyDescent="0.3">
      <c r="A154" t="s">
        <v>187</v>
      </c>
      <c r="B154" t="s">
        <v>44</v>
      </c>
      <c r="C154" t="s">
        <v>10</v>
      </c>
      <c r="D154" t="s">
        <v>11</v>
      </c>
      <c r="E154" t="s">
        <v>52</v>
      </c>
      <c r="F154">
        <v>137491</v>
      </c>
      <c r="G154">
        <v>2</v>
      </c>
      <c r="H154">
        <v>101727.66</v>
      </c>
    </row>
    <row r="155" spans="1:8" x14ac:dyDescent="0.3">
      <c r="A155" t="s">
        <v>188</v>
      </c>
      <c r="B155" t="s">
        <v>38</v>
      </c>
      <c r="C155" t="s">
        <v>20</v>
      </c>
      <c r="D155" t="s">
        <v>14</v>
      </c>
      <c r="E155" t="s">
        <v>71</v>
      </c>
      <c r="F155">
        <v>62411</v>
      </c>
      <c r="G155">
        <v>15</v>
      </c>
      <c r="H155">
        <v>42791.6</v>
      </c>
    </row>
    <row r="156" spans="1:8" x14ac:dyDescent="0.3">
      <c r="A156" t="s">
        <v>189</v>
      </c>
      <c r="B156" t="s">
        <v>34</v>
      </c>
      <c r="C156" t="s">
        <v>10</v>
      </c>
      <c r="D156" t="s">
        <v>17</v>
      </c>
      <c r="E156" t="s">
        <v>22</v>
      </c>
      <c r="F156">
        <v>118360</v>
      </c>
      <c r="G156">
        <v>9</v>
      </c>
      <c r="H156">
        <v>86878.45</v>
      </c>
    </row>
    <row r="157" spans="1:8" x14ac:dyDescent="0.3">
      <c r="A157" t="s">
        <v>190</v>
      </c>
      <c r="B157" t="s">
        <v>38</v>
      </c>
      <c r="C157" t="s">
        <v>20</v>
      </c>
      <c r="D157" t="s">
        <v>21</v>
      </c>
      <c r="E157" t="s">
        <v>24</v>
      </c>
      <c r="F157">
        <v>147320</v>
      </c>
      <c r="G157">
        <v>1</v>
      </c>
      <c r="H157">
        <v>89581.96</v>
      </c>
    </row>
    <row r="158" spans="1:8" x14ac:dyDescent="0.3">
      <c r="A158" t="s">
        <v>191</v>
      </c>
      <c r="B158" t="s">
        <v>38</v>
      </c>
      <c r="C158" t="s">
        <v>20</v>
      </c>
      <c r="D158" t="s">
        <v>11</v>
      </c>
      <c r="E158" t="s">
        <v>28</v>
      </c>
      <c r="F158">
        <v>75341</v>
      </c>
      <c r="G158">
        <v>3</v>
      </c>
      <c r="H158">
        <v>54711.88</v>
      </c>
    </row>
    <row r="159" spans="1:8" x14ac:dyDescent="0.3">
      <c r="A159" t="s">
        <v>192</v>
      </c>
      <c r="B159" t="s">
        <v>19</v>
      </c>
      <c r="C159" t="s">
        <v>20</v>
      </c>
      <c r="D159" t="s">
        <v>14</v>
      </c>
      <c r="E159" t="s">
        <v>28</v>
      </c>
      <c r="F159">
        <v>141828</v>
      </c>
      <c r="G159">
        <v>6</v>
      </c>
      <c r="H159">
        <v>99857.51</v>
      </c>
    </row>
    <row r="160" spans="1:8" x14ac:dyDescent="0.3">
      <c r="A160" t="s">
        <v>193</v>
      </c>
      <c r="B160" t="s">
        <v>31</v>
      </c>
      <c r="C160" t="s">
        <v>27</v>
      </c>
      <c r="D160" t="s">
        <v>17</v>
      </c>
      <c r="E160" t="s">
        <v>54</v>
      </c>
      <c r="F160">
        <v>103446</v>
      </c>
      <c r="G160">
        <v>6</v>
      </c>
      <c r="H160">
        <v>63844.72</v>
      </c>
    </row>
    <row r="161" spans="1:8" x14ac:dyDescent="0.3">
      <c r="A161" t="s">
        <v>194</v>
      </c>
      <c r="B161" t="s">
        <v>19</v>
      </c>
      <c r="C161" t="s">
        <v>20</v>
      </c>
      <c r="D161" t="s">
        <v>21</v>
      </c>
      <c r="E161" t="s">
        <v>15</v>
      </c>
      <c r="F161">
        <v>51917</v>
      </c>
      <c r="G161">
        <v>10</v>
      </c>
      <c r="H161">
        <v>31738.76</v>
      </c>
    </row>
    <row r="162" spans="1:8" x14ac:dyDescent="0.3">
      <c r="A162" t="s">
        <v>195</v>
      </c>
      <c r="B162" t="s">
        <v>19</v>
      </c>
      <c r="C162" t="s">
        <v>20</v>
      </c>
      <c r="D162" t="s">
        <v>11</v>
      </c>
      <c r="E162" t="s">
        <v>54</v>
      </c>
      <c r="F162">
        <v>39874</v>
      </c>
      <c r="G162">
        <v>11</v>
      </c>
      <c r="H162">
        <v>29119.360000000001</v>
      </c>
    </row>
    <row r="163" spans="1:8" x14ac:dyDescent="0.3">
      <c r="A163" t="s">
        <v>196</v>
      </c>
      <c r="B163" t="s">
        <v>44</v>
      </c>
      <c r="C163" t="s">
        <v>10</v>
      </c>
      <c r="D163" t="s">
        <v>14</v>
      </c>
      <c r="E163" t="s">
        <v>71</v>
      </c>
      <c r="F163">
        <v>61906</v>
      </c>
      <c r="G163">
        <v>14</v>
      </c>
      <c r="H163">
        <v>39447.67</v>
      </c>
    </row>
    <row r="164" spans="1:8" x14ac:dyDescent="0.3">
      <c r="A164" t="s">
        <v>197</v>
      </c>
      <c r="B164" t="s">
        <v>31</v>
      </c>
      <c r="C164" t="s">
        <v>27</v>
      </c>
      <c r="D164" t="s">
        <v>17</v>
      </c>
      <c r="E164" t="s">
        <v>54</v>
      </c>
      <c r="F164">
        <v>52062</v>
      </c>
      <c r="G164">
        <v>9</v>
      </c>
      <c r="H164">
        <v>34691.57</v>
      </c>
    </row>
    <row r="165" spans="1:8" x14ac:dyDescent="0.3">
      <c r="A165" t="s">
        <v>198</v>
      </c>
      <c r="B165" t="s">
        <v>31</v>
      </c>
      <c r="C165" t="s">
        <v>27</v>
      </c>
      <c r="D165" t="s">
        <v>21</v>
      </c>
      <c r="E165" t="s">
        <v>15</v>
      </c>
      <c r="F165">
        <v>6365</v>
      </c>
      <c r="G165">
        <v>5</v>
      </c>
      <c r="H165">
        <v>4128.62</v>
      </c>
    </row>
    <row r="166" spans="1:8" x14ac:dyDescent="0.3">
      <c r="A166" t="s">
        <v>199</v>
      </c>
      <c r="B166" t="s">
        <v>19</v>
      </c>
      <c r="C166" t="s">
        <v>20</v>
      </c>
      <c r="D166" t="s">
        <v>11</v>
      </c>
      <c r="E166" t="s">
        <v>52</v>
      </c>
      <c r="F166">
        <v>123603</v>
      </c>
      <c r="G166">
        <v>2</v>
      </c>
      <c r="H166">
        <v>78260.460000000006</v>
      </c>
    </row>
    <row r="167" spans="1:8" x14ac:dyDescent="0.3">
      <c r="A167" t="s">
        <v>200</v>
      </c>
      <c r="B167" t="s">
        <v>9</v>
      </c>
      <c r="C167" t="s">
        <v>10</v>
      </c>
      <c r="D167" t="s">
        <v>14</v>
      </c>
      <c r="E167" t="s">
        <v>54</v>
      </c>
      <c r="F167">
        <v>102461</v>
      </c>
      <c r="G167">
        <v>4</v>
      </c>
      <c r="H167">
        <v>65560.649999999994</v>
      </c>
    </row>
    <row r="168" spans="1:8" x14ac:dyDescent="0.3">
      <c r="A168" t="s">
        <v>201</v>
      </c>
      <c r="B168" t="s">
        <v>34</v>
      </c>
      <c r="C168" t="s">
        <v>10</v>
      </c>
      <c r="D168" t="s">
        <v>17</v>
      </c>
      <c r="E168" t="s">
        <v>32</v>
      </c>
      <c r="F168">
        <v>14209</v>
      </c>
      <c r="G168">
        <v>6</v>
      </c>
      <c r="H168">
        <v>9852.35</v>
      </c>
    </row>
    <row r="169" spans="1:8" x14ac:dyDescent="0.3">
      <c r="A169" t="s">
        <v>202</v>
      </c>
      <c r="B169" t="s">
        <v>26</v>
      </c>
      <c r="C169" t="s">
        <v>27</v>
      </c>
      <c r="D169" t="s">
        <v>21</v>
      </c>
      <c r="E169" t="s">
        <v>12</v>
      </c>
      <c r="F169">
        <v>140509</v>
      </c>
      <c r="G169">
        <v>4</v>
      </c>
      <c r="H169">
        <v>85484.37</v>
      </c>
    </row>
    <row r="170" spans="1:8" x14ac:dyDescent="0.3">
      <c r="A170" t="s">
        <v>203</v>
      </c>
      <c r="B170" t="s">
        <v>44</v>
      </c>
      <c r="C170" t="s">
        <v>10</v>
      </c>
      <c r="D170" t="s">
        <v>11</v>
      </c>
      <c r="E170" t="s">
        <v>52</v>
      </c>
      <c r="F170">
        <v>22274</v>
      </c>
      <c r="G170">
        <v>15</v>
      </c>
      <c r="H170">
        <v>15042.42</v>
      </c>
    </row>
    <row r="171" spans="1:8" x14ac:dyDescent="0.3">
      <c r="A171" t="s">
        <v>204</v>
      </c>
      <c r="B171" t="s">
        <v>38</v>
      </c>
      <c r="C171" t="s">
        <v>20</v>
      </c>
      <c r="D171" t="s">
        <v>14</v>
      </c>
      <c r="E171" t="s">
        <v>28</v>
      </c>
      <c r="F171">
        <v>71149</v>
      </c>
      <c r="G171">
        <v>8</v>
      </c>
      <c r="H171">
        <v>44541.73</v>
      </c>
    </row>
    <row r="172" spans="1:8" x14ac:dyDescent="0.3">
      <c r="A172" t="s">
        <v>205</v>
      </c>
      <c r="B172" t="s">
        <v>34</v>
      </c>
      <c r="C172" t="s">
        <v>10</v>
      </c>
      <c r="D172" t="s">
        <v>17</v>
      </c>
      <c r="E172" t="s">
        <v>35</v>
      </c>
      <c r="F172">
        <v>141485</v>
      </c>
      <c r="G172">
        <v>5</v>
      </c>
      <c r="H172">
        <v>98284.44</v>
      </c>
    </row>
    <row r="173" spans="1:8" x14ac:dyDescent="0.3">
      <c r="A173" t="s">
        <v>206</v>
      </c>
      <c r="B173" t="s">
        <v>44</v>
      </c>
      <c r="C173" t="s">
        <v>10</v>
      </c>
      <c r="D173" t="s">
        <v>21</v>
      </c>
      <c r="E173" t="s">
        <v>35</v>
      </c>
      <c r="F173">
        <v>131710</v>
      </c>
      <c r="G173">
        <v>10</v>
      </c>
      <c r="H173">
        <v>95339.55</v>
      </c>
    </row>
    <row r="174" spans="1:8" x14ac:dyDescent="0.3">
      <c r="A174" t="s">
        <v>207</v>
      </c>
      <c r="B174" t="s">
        <v>34</v>
      </c>
      <c r="C174" t="s">
        <v>10</v>
      </c>
      <c r="D174" t="s">
        <v>11</v>
      </c>
      <c r="E174" t="s">
        <v>15</v>
      </c>
      <c r="F174">
        <v>30969</v>
      </c>
      <c r="G174">
        <v>3</v>
      </c>
      <c r="H174">
        <v>21989.8</v>
      </c>
    </row>
    <row r="175" spans="1:8" x14ac:dyDescent="0.3">
      <c r="A175" t="s">
        <v>208</v>
      </c>
      <c r="B175" t="s">
        <v>26</v>
      </c>
      <c r="C175" t="s">
        <v>27</v>
      </c>
      <c r="D175" t="s">
        <v>14</v>
      </c>
      <c r="E175" t="s">
        <v>52</v>
      </c>
      <c r="F175">
        <v>106387</v>
      </c>
      <c r="G175">
        <v>9</v>
      </c>
      <c r="H175">
        <v>73497.78</v>
      </c>
    </row>
    <row r="176" spans="1:8" x14ac:dyDescent="0.3">
      <c r="A176" t="s">
        <v>209</v>
      </c>
      <c r="B176" t="s">
        <v>31</v>
      </c>
      <c r="C176" t="s">
        <v>27</v>
      </c>
      <c r="D176" t="s">
        <v>17</v>
      </c>
      <c r="E176" t="s">
        <v>32</v>
      </c>
      <c r="F176">
        <v>121562</v>
      </c>
      <c r="G176">
        <v>11</v>
      </c>
      <c r="H176">
        <v>73378.350000000006</v>
      </c>
    </row>
    <row r="177" spans="1:8" x14ac:dyDescent="0.3">
      <c r="A177" t="s">
        <v>210</v>
      </c>
      <c r="B177" t="s">
        <v>31</v>
      </c>
      <c r="C177" t="s">
        <v>27</v>
      </c>
      <c r="D177" t="s">
        <v>21</v>
      </c>
      <c r="E177" t="s">
        <v>15</v>
      </c>
      <c r="F177">
        <v>37443</v>
      </c>
      <c r="G177">
        <v>13</v>
      </c>
      <c r="H177">
        <v>25817.03</v>
      </c>
    </row>
    <row r="178" spans="1:8" x14ac:dyDescent="0.3">
      <c r="A178" t="s">
        <v>211</v>
      </c>
      <c r="B178" t="s">
        <v>9</v>
      </c>
      <c r="C178" t="s">
        <v>10</v>
      </c>
      <c r="D178" t="s">
        <v>11</v>
      </c>
      <c r="E178" t="s">
        <v>22</v>
      </c>
      <c r="F178">
        <v>115088</v>
      </c>
      <c r="G178">
        <v>14</v>
      </c>
      <c r="H178">
        <v>72953.14</v>
      </c>
    </row>
    <row r="179" spans="1:8" x14ac:dyDescent="0.3">
      <c r="A179" t="s">
        <v>212</v>
      </c>
      <c r="B179" t="s">
        <v>75</v>
      </c>
      <c r="C179" t="s">
        <v>27</v>
      </c>
      <c r="D179" t="s">
        <v>14</v>
      </c>
      <c r="E179" t="s">
        <v>40</v>
      </c>
      <c r="F179">
        <v>56685</v>
      </c>
      <c r="G179">
        <v>2</v>
      </c>
      <c r="H179">
        <v>37750.74</v>
      </c>
    </row>
    <row r="180" spans="1:8" x14ac:dyDescent="0.3">
      <c r="A180" t="s">
        <v>213</v>
      </c>
      <c r="B180" t="s">
        <v>9</v>
      </c>
      <c r="C180" t="s">
        <v>10</v>
      </c>
      <c r="D180" t="s">
        <v>17</v>
      </c>
      <c r="E180" t="s">
        <v>24</v>
      </c>
      <c r="F180">
        <v>103755</v>
      </c>
      <c r="G180">
        <v>7</v>
      </c>
      <c r="H180">
        <v>66980.94</v>
      </c>
    </row>
    <row r="181" spans="1:8" x14ac:dyDescent="0.3">
      <c r="A181" t="s">
        <v>214</v>
      </c>
      <c r="B181" t="s">
        <v>34</v>
      </c>
      <c r="C181" t="s">
        <v>10</v>
      </c>
      <c r="D181" t="s">
        <v>21</v>
      </c>
      <c r="E181" t="s">
        <v>52</v>
      </c>
      <c r="F181">
        <v>144203</v>
      </c>
      <c r="G181">
        <v>4</v>
      </c>
      <c r="H181">
        <v>95087.79</v>
      </c>
    </row>
    <row r="182" spans="1:8" x14ac:dyDescent="0.3">
      <c r="A182" t="s">
        <v>215</v>
      </c>
      <c r="B182" t="s">
        <v>9</v>
      </c>
      <c r="C182" t="s">
        <v>10</v>
      </c>
      <c r="D182" t="s">
        <v>11</v>
      </c>
      <c r="E182" t="s">
        <v>32</v>
      </c>
      <c r="F182">
        <v>61369</v>
      </c>
      <c r="G182">
        <v>4</v>
      </c>
      <c r="H182">
        <v>41219.24</v>
      </c>
    </row>
    <row r="183" spans="1:8" x14ac:dyDescent="0.3">
      <c r="A183" t="s">
        <v>216</v>
      </c>
      <c r="B183" t="s">
        <v>34</v>
      </c>
      <c r="C183" t="s">
        <v>10</v>
      </c>
      <c r="D183" t="s">
        <v>14</v>
      </c>
      <c r="E183" t="s">
        <v>71</v>
      </c>
      <c r="F183">
        <v>61615</v>
      </c>
      <c r="G183">
        <v>15</v>
      </c>
      <c r="H183">
        <v>42016.76</v>
      </c>
    </row>
    <row r="184" spans="1:8" x14ac:dyDescent="0.3">
      <c r="A184" t="s">
        <v>217</v>
      </c>
      <c r="B184" t="s">
        <v>19</v>
      </c>
      <c r="C184" t="s">
        <v>20</v>
      </c>
      <c r="D184" t="s">
        <v>17</v>
      </c>
      <c r="E184" t="s">
        <v>24</v>
      </c>
      <c r="F184">
        <v>40739</v>
      </c>
      <c r="G184">
        <v>14</v>
      </c>
      <c r="H184">
        <v>27421.13</v>
      </c>
    </row>
    <row r="185" spans="1:8" x14ac:dyDescent="0.3">
      <c r="A185" t="s">
        <v>218</v>
      </c>
      <c r="B185" t="s">
        <v>75</v>
      </c>
      <c r="C185" t="s">
        <v>27</v>
      </c>
      <c r="D185" t="s">
        <v>21</v>
      </c>
      <c r="E185" t="s">
        <v>35</v>
      </c>
      <c r="F185">
        <v>9992</v>
      </c>
      <c r="G185">
        <v>7</v>
      </c>
      <c r="H185">
        <v>6455.39</v>
      </c>
    </row>
    <row r="186" spans="1:8" x14ac:dyDescent="0.3">
      <c r="A186" t="s">
        <v>219</v>
      </c>
      <c r="B186" t="s">
        <v>34</v>
      </c>
      <c r="C186" t="s">
        <v>10</v>
      </c>
      <c r="D186" t="s">
        <v>11</v>
      </c>
      <c r="E186" t="s">
        <v>24</v>
      </c>
      <c r="F186">
        <v>72709</v>
      </c>
      <c r="G186">
        <v>11</v>
      </c>
      <c r="H186">
        <v>47127.07</v>
      </c>
    </row>
    <row r="187" spans="1:8" x14ac:dyDescent="0.3">
      <c r="A187" t="s">
        <v>220</v>
      </c>
      <c r="B187" t="s">
        <v>38</v>
      </c>
      <c r="C187" t="s">
        <v>20</v>
      </c>
      <c r="D187" t="s">
        <v>14</v>
      </c>
      <c r="E187" t="s">
        <v>40</v>
      </c>
      <c r="F187">
        <v>148562</v>
      </c>
      <c r="G187">
        <v>12</v>
      </c>
      <c r="H187">
        <v>95695.2</v>
      </c>
    </row>
    <row r="188" spans="1:8" x14ac:dyDescent="0.3">
      <c r="A188" t="s">
        <v>221</v>
      </c>
      <c r="B188" t="s">
        <v>9</v>
      </c>
      <c r="C188" t="s">
        <v>10</v>
      </c>
      <c r="D188" t="s">
        <v>17</v>
      </c>
      <c r="E188" t="s">
        <v>15</v>
      </c>
      <c r="F188">
        <v>19416</v>
      </c>
      <c r="G188">
        <v>13</v>
      </c>
      <c r="H188">
        <v>13122.62</v>
      </c>
    </row>
    <row r="189" spans="1:8" x14ac:dyDescent="0.3">
      <c r="A189" t="s">
        <v>222</v>
      </c>
      <c r="B189" t="s">
        <v>38</v>
      </c>
      <c r="C189" t="s">
        <v>20</v>
      </c>
      <c r="D189" t="s">
        <v>21</v>
      </c>
      <c r="E189" t="s">
        <v>35</v>
      </c>
      <c r="F189">
        <v>94145</v>
      </c>
      <c r="G189">
        <v>3</v>
      </c>
      <c r="H189">
        <v>66561.72</v>
      </c>
    </row>
    <row r="190" spans="1:8" x14ac:dyDescent="0.3">
      <c r="A190" t="s">
        <v>223</v>
      </c>
      <c r="B190" t="s">
        <v>9</v>
      </c>
      <c r="C190" t="s">
        <v>10</v>
      </c>
      <c r="D190" t="s">
        <v>11</v>
      </c>
      <c r="E190" t="s">
        <v>35</v>
      </c>
      <c r="F190">
        <v>145000</v>
      </c>
      <c r="G190">
        <v>12</v>
      </c>
      <c r="H190">
        <v>102713.49</v>
      </c>
    </row>
    <row r="191" spans="1:8" x14ac:dyDescent="0.3">
      <c r="A191" t="s">
        <v>224</v>
      </c>
      <c r="B191" t="s">
        <v>34</v>
      </c>
      <c r="C191" t="s">
        <v>10</v>
      </c>
      <c r="D191" t="s">
        <v>14</v>
      </c>
      <c r="E191" t="s">
        <v>54</v>
      </c>
      <c r="F191">
        <v>18877</v>
      </c>
      <c r="G191">
        <v>11</v>
      </c>
      <c r="H191">
        <v>11498.58</v>
      </c>
    </row>
    <row r="192" spans="1:8" x14ac:dyDescent="0.3">
      <c r="A192" t="s">
        <v>225</v>
      </c>
      <c r="B192" t="s">
        <v>26</v>
      </c>
      <c r="C192" t="s">
        <v>27</v>
      </c>
      <c r="D192" t="s">
        <v>17</v>
      </c>
      <c r="E192" t="s">
        <v>28</v>
      </c>
      <c r="F192">
        <v>84547</v>
      </c>
      <c r="G192">
        <v>3</v>
      </c>
      <c r="H192">
        <v>60256.04</v>
      </c>
    </row>
    <row r="193" spans="1:8" x14ac:dyDescent="0.3">
      <c r="A193" t="s">
        <v>226</v>
      </c>
      <c r="B193" t="s">
        <v>19</v>
      </c>
      <c r="C193" t="s">
        <v>20</v>
      </c>
      <c r="D193" t="s">
        <v>21</v>
      </c>
      <c r="E193" t="s">
        <v>48</v>
      </c>
      <c r="F193">
        <v>85553</v>
      </c>
      <c r="G193">
        <v>12</v>
      </c>
      <c r="H193">
        <v>61940.83</v>
      </c>
    </row>
    <row r="194" spans="1:8" x14ac:dyDescent="0.3">
      <c r="A194" t="s">
        <v>227</v>
      </c>
      <c r="B194" t="s">
        <v>31</v>
      </c>
      <c r="C194" t="s">
        <v>27</v>
      </c>
      <c r="D194" t="s">
        <v>11</v>
      </c>
      <c r="E194" t="s">
        <v>32</v>
      </c>
      <c r="F194">
        <v>56395</v>
      </c>
      <c r="G194">
        <v>11</v>
      </c>
      <c r="H194">
        <v>34371.18</v>
      </c>
    </row>
    <row r="195" spans="1:8" x14ac:dyDescent="0.3">
      <c r="A195" t="s">
        <v>228</v>
      </c>
      <c r="B195" t="s">
        <v>26</v>
      </c>
      <c r="C195" t="s">
        <v>27</v>
      </c>
      <c r="D195" t="s">
        <v>14</v>
      </c>
      <c r="E195" t="s">
        <v>54</v>
      </c>
      <c r="F195">
        <v>131848</v>
      </c>
      <c r="G195">
        <v>7</v>
      </c>
      <c r="H195">
        <v>92622.3</v>
      </c>
    </row>
    <row r="196" spans="1:8" x14ac:dyDescent="0.3">
      <c r="A196" t="s">
        <v>229</v>
      </c>
      <c r="B196" t="s">
        <v>9</v>
      </c>
      <c r="C196" t="s">
        <v>10</v>
      </c>
      <c r="D196" t="s">
        <v>17</v>
      </c>
      <c r="E196" t="s">
        <v>24</v>
      </c>
      <c r="F196">
        <v>149624</v>
      </c>
      <c r="G196">
        <v>12</v>
      </c>
      <c r="H196">
        <v>106182.42</v>
      </c>
    </row>
    <row r="197" spans="1:8" x14ac:dyDescent="0.3">
      <c r="A197" t="s">
        <v>230</v>
      </c>
      <c r="B197" t="s">
        <v>26</v>
      </c>
      <c r="C197" t="s">
        <v>27</v>
      </c>
      <c r="D197" t="s">
        <v>21</v>
      </c>
      <c r="E197" t="s">
        <v>48</v>
      </c>
      <c r="F197">
        <v>63053</v>
      </c>
      <c r="G197">
        <v>9</v>
      </c>
      <c r="H197">
        <v>40991.050000000003</v>
      </c>
    </row>
    <row r="198" spans="1:8" x14ac:dyDescent="0.3">
      <c r="A198" t="s">
        <v>231</v>
      </c>
      <c r="B198" t="s">
        <v>38</v>
      </c>
      <c r="C198" t="s">
        <v>20</v>
      </c>
      <c r="D198" t="s">
        <v>11</v>
      </c>
      <c r="E198" t="s">
        <v>52</v>
      </c>
      <c r="F198">
        <v>48308</v>
      </c>
      <c r="G198">
        <v>4</v>
      </c>
      <c r="H198">
        <v>29623.68</v>
      </c>
    </row>
    <row r="199" spans="1:8" x14ac:dyDescent="0.3">
      <c r="A199" t="s">
        <v>232</v>
      </c>
      <c r="B199" t="s">
        <v>9</v>
      </c>
      <c r="C199" t="s">
        <v>10</v>
      </c>
      <c r="D199" t="s">
        <v>14</v>
      </c>
      <c r="E199" t="s">
        <v>15</v>
      </c>
      <c r="F199">
        <v>30727</v>
      </c>
      <c r="G199">
        <v>2</v>
      </c>
      <c r="H199">
        <v>22889.29</v>
      </c>
    </row>
    <row r="200" spans="1:8" x14ac:dyDescent="0.3">
      <c r="A200" t="s">
        <v>233</v>
      </c>
      <c r="B200" t="s">
        <v>38</v>
      </c>
      <c r="C200" t="s">
        <v>20</v>
      </c>
      <c r="D200" t="s">
        <v>17</v>
      </c>
      <c r="E200" t="s">
        <v>12</v>
      </c>
      <c r="F200">
        <v>142843</v>
      </c>
      <c r="G200">
        <v>13</v>
      </c>
      <c r="H200">
        <v>85987.93</v>
      </c>
    </row>
    <row r="201" spans="1:8" x14ac:dyDescent="0.3">
      <c r="A201" t="s">
        <v>234</v>
      </c>
      <c r="B201" t="s">
        <v>26</v>
      </c>
      <c r="C201" t="s">
        <v>27</v>
      </c>
      <c r="D201" t="s">
        <v>21</v>
      </c>
      <c r="E201" t="s">
        <v>22</v>
      </c>
      <c r="F201">
        <v>41475</v>
      </c>
      <c r="G201">
        <v>4</v>
      </c>
      <c r="H201">
        <v>26104.33</v>
      </c>
    </row>
    <row r="202" spans="1:8" x14ac:dyDescent="0.3">
      <c r="A202" t="s">
        <v>235</v>
      </c>
      <c r="B202" t="s">
        <v>44</v>
      </c>
      <c r="C202" t="s">
        <v>10</v>
      </c>
      <c r="D202" t="s">
        <v>11</v>
      </c>
      <c r="E202" t="s">
        <v>54</v>
      </c>
      <c r="F202">
        <v>59159</v>
      </c>
      <c r="G202">
        <v>14</v>
      </c>
      <c r="H202">
        <v>39934.51</v>
      </c>
    </row>
    <row r="203" spans="1:8" x14ac:dyDescent="0.3">
      <c r="A203" t="s">
        <v>236</v>
      </c>
      <c r="B203" t="s">
        <v>75</v>
      </c>
      <c r="C203" t="s">
        <v>27</v>
      </c>
      <c r="D203" t="s">
        <v>14</v>
      </c>
      <c r="E203" t="s">
        <v>28</v>
      </c>
      <c r="F203">
        <v>55054</v>
      </c>
      <c r="G203">
        <v>11</v>
      </c>
      <c r="H203">
        <v>40228.68</v>
      </c>
    </row>
    <row r="204" spans="1:8" x14ac:dyDescent="0.3">
      <c r="A204" t="s">
        <v>237</v>
      </c>
      <c r="B204" t="s">
        <v>31</v>
      </c>
      <c r="C204" t="s">
        <v>27</v>
      </c>
      <c r="D204" t="s">
        <v>17</v>
      </c>
      <c r="E204" t="s">
        <v>12</v>
      </c>
      <c r="F204">
        <v>78275</v>
      </c>
      <c r="G204">
        <v>2</v>
      </c>
      <c r="H204">
        <v>48383.34</v>
      </c>
    </row>
    <row r="205" spans="1:8" x14ac:dyDescent="0.3">
      <c r="A205" t="s">
        <v>238</v>
      </c>
      <c r="B205" t="s">
        <v>75</v>
      </c>
      <c r="C205" t="s">
        <v>27</v>
      </c>
      <c r="D205" t="s">
        <v>21</v>
      </c>
      <c r="E205" t="s">
        <v>15</v>
      </c>
      <c r="F205">
        <v>113884</v>
      </c>
      <c r="G205">
        <v>9</v>
      </c>
      <c r="H205">
        <v>78567.320000000007</v>
      </c>
    </row>
    <row r="206" spans="1:8" x14ac:dyDescent="0.3">
      <c r="A206" t="s">
        <v>239</v>
      </c>
      <c r="B206" t="s">
        <v>31</v>
      </c>
      <c r="C206" t="s">
        <v>27</v>
      </c>
      <c r="D206" t="s">
        <v>11</v>
      </c>
      <c r="E206" t="s">
        <v>15</v>
      </c>
      <c r="F206">
        <v>36498</v>
      </c>
      <c r="G206">
        <v>2</v>
      </c>
      <c r="H206">
        <v>25419.63</v>
      </c>
    </row>
    <row r="207" spans="1:8" x14ac:dyDescent="0.3">
      <c r="A207" t="s">
        <v>240</v>
      </c>
      <c r="B207" t="s">
        <v>31</v>
      </c>
      <c r="C207" t="s">
        <v>27</v>
      </c>
      <c r="D207" t="s">
        <v>14</v>
      </c>
      <c r="E207" t="s">
        <v>12</v>
      </c>
      <c r="F207">
        <v>34022</v>
      </c>
      <c r="G207">
        <v>4</v>
      </c>
      <c r="H207">
        <v>21009.67</v>
      </c>
    </row>
    <row r="208" spans="1:8" x14ac:dyDescent="0.3">
      <c r="A208" t="s">
        <v>241</v>
      </c>
      <c r="B208" t="s">
        <v>19</v>
      </c>
      <c r="C208" t="s">
        <v>20</v>
      </c>
      <c r="D208" t="s">
        <v>17</v>
      </c>
      <c r="E208" t="s">
        <v>54</v>
      </c>
      <c r="F208">
        <v>123438</v>
      </c>
      <c r="G208">
        <v>8</v>
      </c>
      <c r="H208">
        <v>76629.440000000002</v>
      </c>
    </row>
    <row r="209" spans="1:8" x14ac:dyDescent="0.3">
      <c r="A209" t="s">
        <v>242</v>
      </c>
      <c r="B209" t="s">
        <v>26</v>
      </c>
      <c r="C209" t="s">
        <v>27</v>
      </c>
      <c r="D209" t="s">
        <v>21</v>
      </c>
      <c r="E209" t="s">
        <v>71</v>
      </c>
      <c r="F209">
        <v>42719</v>
      </c>
      <c r="G209">
        <v>4</v>
      </c>
      <c r="H209">
        <v>27362.47</v>
      </c>
    </row>
    <row r="210" spans="1:8" x14ac:dyDescent="0.3">
      <c r="A210" t="s">
        <v>243</v>
      </c>
      <c r="B210" t="s">
        <v>34</v>
      </c>
      <c r="C210" t="s">
        <v>10</v>
      </c>
      <c r="D210" t="s">
        <v>11</v>
      </c>
      <c r="E210" t="s">
        <v>24</v>
      </c>
      <c r="F210">
        <v>47190</v>
      </c>
      <c r="G210">
        <v>5</v>
      </c>
      <c r="H210">
        <v>34951.050000000003</v>
      </c>
    </row>
    <row r="211" spans="1:8" x14ac:dyDescent="0.3">
      <c r="A211" t="s">
        <v>244</v>
      </c>
      <c r="B211" t="s">
        <v>26</v>
      </c>
      <c r="C211" t="s">
        <v>27</v>
      </c>
      <c r="D211" t="s">
        <v>14</v>
      </c>
      <c r="E211" t="s">
        <v>52</v>
      </c>
      <c r="F211">
        <v>65719</v>
      </c>
      <c r="G211">
        <v>7</v>
      </c>
      <c r="H211">
        <v>45936</v>
      </c>
    </row>
    <row r="212" spans="1:8" x14ac:dyDescent="0.3">
      <c r="A212" t="s">
        <v>245</v>
      </c>
      <c r="B212" t="s">
        <v>9</v>
      </c>
      <c r="C212" t="s">
        <v>10</v>
      </c>
      <c r="D212" t="s">
        <v>17</v>
      </c>
      <c r="E212" t="s">
        <v>48</v>
      </c>
      <c r="F212">
        <v>40316</v>
      </c>
      <c r="G212">
        <v>10</v>
      </c>
      <c r="H212">
        <v>28710.01</v>
      </c>
    </row>
    <row r="213" spans="1:8" x14ac:dyDescent="0.3">
      <c r="A213" t="s">
        <v>246</v>
      </c>
      <c r="B213" t="s">
        <v>44</v>
      </c>
      <c r="C213" t="s">
        <v>10</v>
      </c>
      <c r="D213" t="s">
        <v>21</v>
      </c>
      <c r="E213" t="s">
        <v>32</v>
      </c>
      <c r="F213">
        <v>93375</v>
      </c>
      <c r="G213">
        <v>11</v>
      </c>
      <c r="H213">
        <v>58192.800000000003</v>
      </c>
    </row>
    <row r="214" spans="1:8" x14ac:dyDescent="0.3">
      <c r="A214" t="s">
        <v>247</v>
      </c>
      <c r="B214" t="s">
        <v>38</v>
      </c>
      <c r="C214" t="s">
        <v>20</v>
      </c>
      <c r="D214" t="s">
        <v>11</v>
      </c>
      <c r="E214" t="s">
        <v>24</v>
      </c>
      <c r="F214">
        <v>42269</v>
      </c>
      <c r="G214">
        <v>7</v>
      </c>
      <c r="H214">
        <v>27472.42</v>
      </c>
    </row>
    <row r="215" spans="1:8" x14ac:dyDescent="0.3">
      <c r="A215" t="s">
        <v>248</v>
      </c>
      <c r="B215" t="s">
        <v>31</v>
      </c>
      <c r="C215" t="s">
        <v>27</v>
      </c>
      <c r="D215" t="s">
        <v>14</v>
      </c>
      <c r="E215" t="s">
        <v>12</v>
      </c>
      <c r="F215">
        <v>107954</v>
      </c>
      <c r="G215">
        <v>1</v>
      </c>
      <c r="H215">
        <v>76750.210000000006</v>
      </c>
    </row>
    <row r="216" spans="1:8" x14ac:dyDescent="0.3">
      <c r="A216" t="s">
        <v>249</v>
      </c>
      <c r="B216" t="s">
        <v>19</v>
      </c>
      <c r="C216" t="s">
        <v>20</v>
      </c>
      <c r="D216" t="s">
        <v>17</v>
      </c>
      <c r="E216" t="s">
        <v>32</v>
      </c>
      <c r="F216">
        <v>140492</v>
      </c>
      <c r="G216">
        <v>12</v>
      </c>
      <c r="H216">
        <v>101947.49</v>
      </c>
    </row>
    <row r="217" spans="1:8" x14ac:dyDescent="0.3">
      <c r="A217" t="s">
        <v>250</v>
      </c>
      <c r="B217" t="s">
        <v>75</v>
      </c>
      <c r="C217" t="s">
        <v>27</v>
      </c>
      <c r="D217" t="s">
        <v>21</v>
      </c>
      <c r="E217" t="s">
        <v>71</v>
      </c>
      <c r="F217">
        <v>73292</v>
      </c>
      <c r="G217">
        <v>1</v>
      </c>
      <c r="H217">
        <v>54905.58</v>
      </c>
    </row>
    <row r="218" spans="1:8" x14ac:dyDescent="0.3">
      <c r="A218" t="s">
        <v>251</v>
      </c>
      <c r="B218" t="s">
        <v>38</v>
      </c>
      <c r="C218" t="s">
        <v>20</v>
      </c>
      <c r="D218" t="s">
        <v>11</v>
      </c>
      <c r="E218" t="s">
        <v>32</v>
      </c>
      <c r="F218">
        <v>113710</v>
      </c>
      <c r="G218">
        <v>15</v>
      </c>
      <c r="H218">
        <v>83087.899999999994</v>
      </c>
    </row>
    <row r="219" spans="1:8" x14ac:dyDescent="0.3">
      <c r="A219" t="s">
        <v>252</v>
      </c>
      <c r="B219" t="s">
        <v>75</v>
      </c>
      <c r="C219" t="s">
        <v>27</v>
      </c>
      <c r="D219" t="s">
        <v>14</v>
      </c>
      <c r="E219" t="s">
        <v>54</v>
      </c>
      <c r="F219">
        <v>9518</v>
      </c>
      <c r="G219">
        <v>2</v>
      </c>
      <c r="H219">
        <v>5773.53</v>
      </c>
    </row>
    <row r="220" spans="1:8" x14ac:dyDescent="0.3">
      <c r="A220" t="s">
        <v>253</v>
      </c>
      <c r="B220" t="s">
        <v>19</v>
      </c>
      <c r="C220" t="s">
        <v>20</v>
      </c>
      <c r="D220" t="s">
        <v>17</v>
      </c>
      <c r="E220" t="s">
        <v>52</v>
      </c>
      <c r="F220">
        <v>103221</v>
      </c>
      <c r="G220">
        <v>14</v>
      </c>
      <c r="H220">
        <v>63443.14</v>
      </c>
    </row>
    <row r="221" spans="1:8" x14ac:dyDescent="0.3">
      <c r="A221" t="s">
        <v>254</v>
      </c>
      <c r="B221" t="s">
        <v>44</v>
      </c>
      <c r="C221" t="s">
        <v>10</v>
      </c>
      <c r="D221" t="s">
        <v>21</v>
      </c>
      <c r="E221" t="s">
        <v>15</v>
      </c>
      <c r="F221">
        <v>148383</v>
      </c>
      <c r="G221">
        <v>1</v>
      </c>
      <c r="H221">
        <v>97975.7</v>
      </c>
    </row>
    <row r="222" spans="1:8" x14ac:dyDescent="0.3">
      <c r="A222" t="s">
        <v>255</v>
      </c>
      <c r="B222" t="s">
        <v>19</v>
      </c>
      <c r="C222" t="s">
        <v>20</v>
      </c>
      <c r="D222" t="s">
        <v>11</v>
      </c>
      <c r="E222" t="s">
        <v>48</v>
      </c>
      <c r="F222">
        <v>134678</v>
      </c>
      <c r="G222">
        <v>6</v>
      </c>
      <c r="H222">
        <v>84588.17</v>
      </c>
    </row>
    <row r="223" spans="1:8" x14ac:dyDescent="0.3">
      <c r="A223" t="s">
        <v>256</v>
      </c>
      <c r="B223" t="s">
        <v>26</v>
      </c>
      <c r="C223" t="s">
        <v>27</v>
      </c>
      <c r="D223" t="s">
        <v>14</v>
      </c>
      <c r="E223" t="s">
        <v>12</v>
      </c>
      <c r="F223">
        <v>126024</v>
      </c>
      <c r="G223">
        <v>14</v>
      </c>
      <c r="H223">
        <v>93116.61</v>
      </c>
    </row>
    <row r="224" spans="1:8" x14ac:dyDescent="0.3">
      <c r="A224" t="s">
        <v>257</v>
      </c>
      <c r="B224" t="s">
        <v>9</v>
      </c>
      <c r="C224" t="s">
        <v>10</v>
      </c>
      <c r="D224" t="s">
        <v>17</v>
      </c>
      <c r="E224" t="s">
        <v>22</v>
      </c>
      <c r="F224">
        <v>13984</v>
      </c>
      <c r="G224">
        <v>1</v>
      </c>
      <c r="H224">
        <v>9263.5400000000009</v>
      </c>
    </row>
    <row r="225" spans="1:8" x14ac:dyDescent="0.3">
      <c r="A225" t="s">
        <v>258</v>
      </c>
      <c r="B225" t="s">
        <v>75</v>
      </c>
      <c r="C225" t="s">
        <v>27</v>
      </c>
      <c r="D225" t="s">
        <v>21</v>
      </c>
      <c r="E225" t="s">
        <v>40</v>
      </c>
      <c r="F225">
        <v>24540</v>
      </c>
      <c r="G225">
        <v>5</v>
      </c>
      <c r="H225">
        <v>16038.72</v>
      </c>
    </row>
    <row r="226" spans="1:8" x14ac:dyDescent="0.3">
      <c r="A226" t="s">
        <v>259</v>
      </c>
      <c r="B226" t="s">
        <v>31</v>
      </c>
      <c r="C226" t="s">
        <v>27</v>
      </c>
      <c r="D226" t="s">
        <v>11</v>
      </c>
      <c r="E226" t="s">
        <v>24</v>
      </c>
      <c r="F226">
        <v>30535</v>
      </c>
      <c r="G226">
        <v>5</v>
      </c>
      <c r="H226">
        <v>19602.12</v>
      </c>
    </row>
    <row r="227" spans="1:8" x14ac:dyDescent="0.3">
      <c r="A227" t="s">
        <v>260</v>
      </c>
      <c r="B227" t="s">
        <v>38</v>
      </c>
      <c r="C227" t="s">
        <v>20</v>
      </c>
      <c r="D227" t="s">
        <v>14</v>
      </c>
      <c r="E227" t="s">
        <v>52</v>
      </c>
      <c r="F227">
        <v>141463</v>
      </c>
      <c r="G227">
        <v>12</v>
      </c>
      <c r="H227">
        <v>95875.97</v>
      </c>
    </row>
    <row r="228" spans="1:8" x14ac:dyDescent="0.3">
      <c r="A228" t="s">
        <v>261</v>
      </c>
      <c r="B228" t="s">
        <v>31</v>
      </c>
      <c r="C228" t="s">
        <v>27</v>
      </c>
      <c r="D228" t="s">
        <v>17</v>
      </c>
      <c r="E228" t="s">
        <v>40</v>
      </c>
      <c r="F228">
        <v>75730</v>
      </c>
      <c r="G228">
        <v>4</v>
      </c>
      <c r="H228">
        <v>53041.4</v>
      </c>
    </row>
    <row r="229" spans="1:8" x14ac:dyDescent="0.3">
      <c r="A229" t="s">
        <v>262</v>
      </c>
      <c r="B229" t="s">
        <v>31</v>
      </c>
      <c r="C229" t="s">
        <v>27</v>
      </c>
      <c r="D229" t="s">
        <v>21</v>
      </c>
      <c r="E229" t="s">
        <v>32</v>
      </c>
      <c r="F229">
        <v>55859</v>
      </c>
      <c r="G229">
        <v>1</v>
      </c>
      <c r="H229">
        <v>40431.35</v>
      </c>
    </row>
    <row r="230" spans="1:8" x14ac:dyDescent="0.3">
      <c r="A230" t="s">
        <v>263</v>
      </c>
      <c r="B230" t="s">
        <v>75</v>
      </c>
      <c r="C230" t="s">
        <v>27</v>
      </c>
      <c r="D230" t="s">
        <v>11</v>
      </c>
      <c r="E230" t="s">
        <v>48</v>
      </c>
      <c r="F230">
        <v>59942</v>
      </c>
      <c r="G230">
        <v>1</v>
      </c>
      <c r="H230">
        <v>40570.18</v>
      </c>
    </row>
    <row r="231" spans="1:8" x14ac:dyDescent="0.3">
      <c r="A231" t="s">
        <v>264</v>
      </c>
      <c r="B231" t="s">
        <v>44</v>
      </c>
      <c r="C231" t="s">
        <v>10</v>
      </c>
      <c r="D231" t="s">
        <v>14</v>
      </c>
      <c r="E231" t="s">
        <v>15</v>
      </c>
      <c r="F231">
        <v>111277</v>
      </c>
      <c r="G231">
        <v>12</v>
      </c>
      <c r="H231">
        <v>75128.47</v>
      </c>
    </row>
    <row r="232" spans="1:8" x14ac:dyDescent="0.3">
      <c r="A232" t="s">
        <v>265</v>
      </c>
      <c r="B232" t="s">
        <v>31</v>
      </c>
      <c r="C232" t="s">
        <v>27</v>
      </c>
      <c r="D232" t="s">
        <v>17</v>
      </c>
      <c r="E232" t="s">
        <v>12</v>
      </c>
      <c r="F232">
        <v>131387</v>
      </c>
      <c r="G232">
        <v>7</v>
      </c>
      <c r="H232">
        <v>96301.37</v>
      </c>
    </row>
    <row r="233" spans="1:8" x14ac:dyDescent="0.3">
      <c r="A233" t="s">
        <v>266</v>
      </c>
      <c r="B233" t="s">
        <v>9</v>
      </c>
      <c r="C233" t="s">
        <v>10</v>
      </c>
      <c r="D233" t="s">
        <v>21</v>
      </c>
      <c r="E233" t="s">
        <v>24</v>
      </c>
      <c r="F233">
        <v>127368</v>
      </c>
      <c r="G233">
        <v>8</v>
      </c>
      <c r="H233">
        <v>90208.47</v>
      </c>
    </row>
    <row r="234" spans="1:8" x14ac:dyDescent="0.3">
      <c r="A234" t="s">
        <v>267</v>
      </c>
      <c r="B234" t="s">
        <v>31</v>
      </c>
      <c r="C234" t="s">
        <v>27</v>
      </c>
      <c r="D234" t="s">
        <v>11</v>
      </c>
      <c r="E234" t="s">
        <v>48</v>
      </c>
      <c r="F234">
        <v>59665</v>
      </c>
      <c r="G234">
        <v>5</v>
      </c>
      <c r="H234">
        <v>37502.22</v>
      </c>
    </row>
    <row r="235" spans="1:8" x14ac:dyDescent="0.3">
      <c r="A235" t="s">
        <v>268</v>
      </c>
      <c r="B235" t="s">
        <v>75</v>
      </c>
      <c r="C235" t="s">
        <v>27</v>
      </c>
      <c r="D235" t="s">
        <v>14</v>
      </c>
      <c r="E235" t="s">
        <v>40</v>
      </c>
      <c r="F235">
        <v>46089</v>
      </c>
      <c r="G235">
        <v>2</v>
      </c>
      <c r="H235">
        <v>30242.48</v>
      </c>
    </row>
    <row r="236" spans="1:8" x14ac:dyDescent="0.3">
      <c r="A236" t="s">
        <v>269</v>
      </c>
      <c r="B236" t="s">
        <v>34</v>
      </c>
      <c r="C236" t="s">
        <v>10</v>
      </c>
      <c r="D236" t="s">
        <v>17</v>
      </c>
      <c r="E236" t="s">
        <v>52</v>
      </c>
      <c r="F236">
        <v>71867</v>
      </c>
      <c r="G236">
        <v>6</v>
      </c>
      <c r="H236">
        <v>47242.25</v>
      </c>
    </row>
    <row r="237" spans="1:8" x14ac:dyDescent="0.3">
      <c r="A237" t="s">
        <v>270</v>
      </c>
      <c r="B237" t="s">
        <v>75</v>
      </c>
      <c r="C237" t="s">
        <v>27</v>
      </c>
      <c r="D237" t="s">
        <v>21</v>
      </c>
      <c r="E237" t="s">
        <v>12</v>
      </c>
      <c r="F237">
        <v>17939</v>
      </c>
      <c r="G237">
        <v>6</v>
      </c>
      <c r="H237">
        <v>13021.22</v>
      </c>
    </row>
    <row r="238" spans="1:8" x14ac:dyDescent="0.3">
      <c r="A238" t="s">
        <v>271</v>
      </c>
      <c r="B238" t="s">
        <v>26</v>
      </c>
      <c r="C238" t="s">
        <v>27</v>
      </c>
      <c r="D238" t="s">
        <v>11</v>
      </c>
      <c r="E238" t="s">
        <v>22</v>
      </c>
      <c r="F238">
        <v>98103</v>
      </c>
      <c r="G238">
        <v>9</v>
      </c>
      <c r="H238">
        <v>68736.160000000003</v>
      </c>
    </row>
    <row r="239" spans="1:8" x14ac:dyDescent="0.3">
      <c r="A239" t="s">
        <v>272</v>
      </c>
      <c r="B239" t="s">
        <v>31</v>
      </c>
      <c r="C239" t="s">
        <v>27</v>
      </c>
      <c r="D239" t="s">
        <v>14</v>
      </c>
      <c r="E239" t="s">
        <v>28</v>
      </c>
      <c r="F239">
        <v>17143</v>
      </c>
      <c r="G239">
        <v>9</v>
      </c>
      <c r="H239">
        <v>10362.73</v>
      </c>
    </row>
    <row r="240" spans="1:8" x14ac:dyDescent="0.3">
      <c r="A240" t="s">
        <v>273</v>
      </c>
      <c r="B240" t="s">
        <v>38</v>
      </c>
      <c r="C240" t="s">
        <v>20</v>
      </c>
      <c r="D240" t="s">
        <v>17</v>
      </c>
      <c r="E240" t="s">
        <v>71</v>
      </c>
      <c r="F240">
        <v>101934</v>
      </c>
      <c r="G240">
        <v>3</v>
      </c>
      <c r="H240">
        <v>72915.759999999995</v>
      </c>
    </row>
    <row r="241" spans="1:8" x14ac:dyDescent="0.3">
      <c r="A241" t="s">
        <v>274</v>
      </c>
      <c r="B241" t="s">
        <v>34</v>
      </c>
      <c r="C241" t="s">
        <v>10</v>
      </c>
      <c r="D241" t="s">
        <v>21</v>
      </c>
      <c r="E241" t="s">
        <v>32</v>
      </c>
      <c r="F241">
        <v>8803</v>
      </c>
      <c r="G241">
        <v>12</v>
      </c>
      <c r="H241">
        <v>5625.67</v>
      </c>
    </row>
    <row r="242" spans="1:8" x14ac:dyDescent="0.3">
      <c r="A242" t="s">
        <v>275</v>
      </c>
      <c r="B242" t="s">
        <v>75</v>
      </c>
      <c r="C242" t="s">
        <v>27</v>
      </c>
      <c r="D242" t="s">
        <v>11</v>
      </c>
      <c r="E242" t="s">
        <v>54</v>
      </c>
      <c r="F242">
        <v>133194</v>
      </c>
      <c r="G242">
        <v>4</v>
      </c>
      <c r="H242">
        <v>83671.64</v>
      </c>
    </row>
    <row r="243" spans="1:8" x14ac:dyDescent="0.3">
      <c r="A243" t="s">
        <v>276</v>
      </c>
      <c r="B243" t="s">
        <v>75</v>
      </c>
      <c r="C243" t="s">
        <v>27</v>
      </c>
      <c r="D243" t="s">
        <v>14</v>
      </c>
      <c r="E243" t="s">
        <v>35</v>
      </c>
      <c r="F243">
        <v>60884</v>
      </c>
      <c r="G243">
        <v>12</v>
      </c>
      <c r="H243">
        <v>44462.07</v>
      </c>
    </row>
    <row r="244" spans="1:8" x14ac:dyDescent="0.3">
      <c r="A244" t="s">
        <v>277</v>
      </c>
      <c r="B244" t="s">
        <v>19</v>
      </c>
      <c r="C244" t="s">
        <v>20</v>
      </c>
      <c r="D244" t="s">
        <v>17</v>
      </c>
      <c r="E244" t="s">
        <v>12</v>
      </c>
      <c r="F244">
        <v>144850</v>
      </c>
      <c r="G244">
        <v>10</v>
      </c>
      <c r="H244">
        <v>92291.42</v>
      </c>
    </row>
    <row r="245" spans="1:8" x14ac:dyDescent="0.3">
      <c r="A245" t="s">
        <v>278</v>
      </c>
      <c r="B245" t="s">
        <v>19</v>
      </c>
      <c r="C245" t="s">
        <v>20</v>
      </c>
      <c r="D245" t="s">
        <v>21</v>
      </c>
      <c r="E245" t="s">
        <v>40</v>
      </c>
      <c r="F245">
        <v>86230</v>
      </c>
      <c r="G245">
        <v>11</v>
      </c>
      <c r="H245">
        <v>56818.99</v>
      </c>
    </row>
    <row r="246" spans="1:8" x14ac:dyDescent="0.3">
      <c r="A246" t="s">
        <v>279</v>
      </c>
      <c r="B246" t="s">
        <v>44</v>
      </c>
      <c r="C246" t="s">
        <v>10</v>
      </c>
      <c r="D246" t="s">
        <v>11</v>
      </c>
      <c r="E246" t="s">
        <v>24</v>
      </c>
      <c r="F246">
        <v>10337</v>
      </c>
      <c r="G246">
        <v>13</v>
      </c>
      <c r="H246">
        <v>7093.62</v>
      </c>
    </row>
    <row r="247" spans="1:8" x14ac:dyDescent="0.3">
      <c r="A247" t="s">
        <v>280</v>
      </c>
      <c r="B247" t="s">
        <v>9</v>
      </c>
      <c r="C247" t="s">
        <v>10</v>
      </c>
      <c r="D247" t="s">
        <v>14</v>
      </c>
      <c r="E247" t="s">
        <v>54</v>
      </c>
      <c r="F247">
        <v>22908</v>
      </c>
      <c r="G247">
        <v>4</v>
      </c>
      <c r="H247">
        <v>16984.580000000002</v>
      </c>
    </row>
    <row r="248" spans="1:8" x14ac:dyDescent="0.3">
      <c r="A248" t="s">
        <v>281</v>
      </c>
      <c r="B248" t="s">
        <v>26</v>
      </c>
      <c r="C248" t="s">
        <v>27</v>
      </c>
      <c r="D248" t="s">
        <v>17</v>
      </c>
      <c r="E248" t="s">
        <v>28</v>
      </c>
      <c r="F248">
        <v>130799</v>
      </c>
      <c r="G248">
        <v>3</v>
      </c>
      <c r="H248">
        <v>94451.56</v>
      </c>
    </row>
    <row r="249" spans="1:8" x14ac:dyDescent="0.3">
      <c r="A249" t="s">
        <v>282</v>
      </c>
      <c r="B249" t="s">
        <v>26</v>
      </c>
      <c r="C249" t="s">
        <v>27</v>
      </c>
      <c r="D249" t="s">
        <v>21</v>
      </c>
      <c r="E249" t="s">
        <v>71</v>
      </c>
      <c r="F249">
        <v>66328</v>
      </c>
      <c r="G249">
        <v>12</v>
      </c>
      <c r="H249">
        <v>40581.769999999997</v>
      </c>
    </row>
    <row r="250" spans="1:8" x14ac:dyDescent="0.3">
      <c r="A250" t="s">
        <v>283</v>
      </c>
      <c r="B250" t="s">
        <v>9</v>
      </c>
      <c r="C250" t="s">
        <v>10</v>
      </c>
      <c r="D250" t="s">
        <v>11</v>
      </c>
      <c r="E250" t="s">
        <v>35</v>
      </c>
      <c r="F250">
        <v>50267</v>
      </c>
      <c r="G250">
        <v>15</v>
      </c>
      <c r="H250">
        <v>30775.22</v>
      </c>
    </row>
    <row r="251" spans="1:8" x14ac:dyDescent="0.3">
      <c r="A251" t="s">
        <v>284</v>
      </c>
      <c r="B251" t="s">
        <v>31</v>
      </c>
      <c r="C251" t="s">
        <v>27</v>
      </c>
      <c r="D251" t="s">
        <v>14</v>
      </c>
      <c r="E251" t="s">
        <v>32</v>
      </c>
      <c r="F251">
        <v>28214</v>
      </c>
      <c r="G251">
        <v>4</v>
      </c>
      <c r="H251">
        <v>20137.93</v>
      </c>
    </row>
    <row r="252" spans="1:8" x14ac:dyDescent="0.3">
      <c r="A252" t="s">
        <v>285</v>
      </c>
      <c r="B252" t="s">
        <v>19</v>
      </c>
      <c r="C252" t="s">
        <v>20</v>
      </c>
      <c r="D252" t="s">
        <v>17</v>
      </c>
      <c r="E252" t="s">
        <v>48</v>
      </c>
      <c r="F252">
        <v>5691</v>
      </c>
      <c r="G252">
        <v>13</v>
      </c>
      <c r="H252">
        <v>3920.14</v>
      </c>
    </row>
    <row r="253" spans="1:8" x14ac:dyDescent="0.3">
      <c r="A253" t="s">
        <v>286</v>
      </c>
      <c r="B253" t="s">
        <v>38</v>
      </c>
      <c r="C253" t="s">
        <v>20</v>
      </c>
      <c r="D253" t="s">
        <v>21</v>
      </c>
      <c r="E253" t="s">
        <v>48</v>
      </c>
      <c r="F253">
        <v>48410</v>
      </c>
      <c r="G253">
        <v>1</v>
      </c>
      <c r="H253">
        <v>31131.51</v>
      </c>
    </row>
    <row r="254" spans="1:8" x14ac:dyDescent="0.3">
      <c r="A254" t="s">
        <v>287</v>
      </c>
      <c r="B254" t="s">
        <v>9</v>
      </c>
      <c r="C254" t="s">
        <v>10</v>
      </c>
      <c r="D254" t="s">
        <v>11</v>
      </c>
      <c r="E254" t="s">
        <v>71</v>
      </c>
      <c r="F254">
        <v>7379</v>
      </c>
      <c r="G254">
        <v>5</v>
      </c>
      <c r="H254">
        <v>4724.5</v>
      </c>
    </row>
    <row r="255" spans="1:8" x14ac:dyDescent="0.3">
      <c r="A255" t="s">
        <v>288</v>
      </c>
      <c r="B255" t="s">
        <v>34</v>
      </c>
      <c r="C255" t="s">
        <v>10</v>
      </c>
      <c r="D255" t="s">
        <v>14</v>
      </c>
      <c r="E255" t="s">
        <v>15</v>
      </c>
      <c r="F255">
        <v>46949</v>
      </c>
      <c r="G255">
        <v>4</v>
      </c>
      <c r="H255">
        <v>28606.74</v>
      </c>
    </row>
    <row r="256" spans="1:8" x14ac:dyDescent="0.3">
      <c r="A256" t="s">
        <v>289</v>
      </c>
      <c r="B256" t="s">
        <v>9</v>
      </c>
      <c r="C256" t="s">
        <v>10</v>
      </c>
      <c r="D256" t="s">
        <v>17</v>
      </c>
      <c r="E256" t="s">
        <v>22</v>
      </c>
      <c r="F256">
        <v>23861</v>
      </c>
      <c r="G256">
        <v>1</v>
      </c>
      <c r="H256">
        <v>17764.07</v>
      </c>
    </row>
    <row r="257" spans="1:8" x14ac:dyDescent="0.3">
      <c r="A257" t="s">
        <v>290</v>
      </c>
      <c r="B257" t="s">
        <v>34</v>
      </c>
      <c r="C257" t="s">
        <v>10</v>
      </c>
      <c r="D257" t="s">
        <v>21</v>
      </c>
      <c r="E257" t="s">
        <v>12</v>
      </c>
      <c r="F257">
        <v>135557</v>
      </c>
      <c r="G257">
        <v>4</v>
      </c>
      <c r="H257">
        <v>86786.41</v>
      </c>
    </row>
    <row r="258" spans="1:8" x14ac:dyDescent="0.3">
      <c r="A258" t="s">
        <v>291</v>
      </c>
      <c r="B258" t="s">
        <v>75</v>
      </c>
      <c r="C258" t="s">
        <v>27</v>
      </c>
      <c r="D258" t="s">
        <v>11</v>
      </c>
      <c r="E258" t="s">
        <v>28</v>
      </c>
      <c r="F258">
        <v>60732</v>
      </c>
      <c r="G258">
        <v>6</v>
      </c>
      <c r="H258">
        <v>40329.800000000003</v>
      </c>
    </row>
    <row r="259" spans="1:8" x14ac:dyDescent="0.3">
      <c r="A259" t="s">
        <v>292</v>
      </c>
      <c r="B259" t="s">
        <v>38</v>
      </c>
      <c r="C259" t="s">
        <v>20</v>
      </c>
      <c r="D259" t="s">
        <v>14</v>
      </c>
      <c r="E259" t="s">
        <v>32</v>
      </c>
      <c r="F259">
        <v>66200</v>
      </c>
      <c r="G259">
        <v>15</v>
      </c>
      <c r="H259">
        <v>40921.07</v>
      </c>
    </row>
    <row r="260" spans="1:8" x14ac:dyDescent="0.3">
      <c r="A260" t="s">
        <v>293</v>
      </c>
      <c r="B260" t="s">
        <v>34</v>
      </c>
      <c r="C260" t="s">
        <v>10</v>
      </c>
      <c r="D260" t="s">
        <v>17</v>
      </c>
      <c r="E260" t="s">
        <v>52</v>
      </c>
      <c r="F260">
        <v>123040</v>
      </c>
      <c r="G260">
        <v>7</v>
      </c>
      <c r="H260">
        <v>79699.58</v>
      </c>
    </row>
    <row r="261" spans="1:8" x14ac:dyDescent="0.3">
      <c r="A261" t="s">
        <v>294</v>
      </c>
      <c r="B261" t="s">
        <v>75</v>
      </c>
      <c r="C261" t="s">
        <v>27</v>
      </c>
      <c r="D261" t="s">
        <v>21</v>
      </c>
      <c r="E261" t="s">
        <v>28</v>
      </c>
      <c r="F261">
        <v>50236</v>
      </c>
      <c r="G261">
        <v>14</v>
      </c>
      <c r="H261">
        <v>37575.339999999997</v>
      </c>
    </row>
    <row r="262" spans="1:8" x14ac:dyDescent="0.3">
      <c r="A262" t="s">
        <v>295</v>
      </c>
      <c r="B262" t="s">
        <v>34</v>
      </c>
      <c r="C262" t="s">
        <v>10</v>
      </c>
      <c r="D262" t="s">
        <v>11</v>
      </c>
      <c r="E262" t="s">
        <v>40</v>
      </c>
      <c r="F262">
        <v>111328</v>
      </c>
      <c r="G262">
        <v>15</v>
      </c>
      <c r="H262">
        <v>69519.3</v>
      </c>
    </row>
    <row r="263" spans="1:8" x14ac:dyDescent="0.3">
      <c r="A263" t="s">
        <v>296</v>
      </c>
      <c r="B263" t="s">
        <v>75</v>
      </c>
      <c r="C263" t="s">
        <v>27</v>
      </c>
      <c r="D263" t="s">
        <v>14</v>
      </c>
      <c r="E263" t="s">
        <v>22</v>
      </c>
      <c r="F263">
        <v>92605</v>
      </c>
      <c r="G263">
        <v>2</v>
      </c>
      <c r="H263">
        <v>58814.77</v>
      </c>
    </row>
    <row r="264" spans="1:8" x14ac:dyDescent="0.3">
      <c r="A264" t="s">
        <v>297</v>
      </c>
      <c r="B264" t="s">
        <v>38</v>
      </c>
      <c r="C264" t="s">
        <v>20</v>
      </c>
      <c r="D264" t="s">
        <v>17</v>
      </c>
      <c r="E264" t="s">
        <v>52</v>
      </c>
      <c r="F264">
        <v>69795</v>
      </c>
      <c r="G264">
        <v>6</v>
      </c>
      <c r="H264">
        <v>49830.67</v>
      </c>
    </row>
    <row r="265" spans="1:8" x14ac:dyDescent="0.3">
      <c r="A265" t="s">
        <v>298</v>
      </c>
      <c r="B265" t="s">
        <v>26</v>
      </c>
      <c r="C265" t="s">
        <v>27</v>
      </c>
      <c r="D265" t="s">
        <v>21</v>
      </c>
      <c r="E265" t="s">
        <v>71</v>
      </c>
      <c r="F265">
        <v>27693</v>
      </c>
      <c r="G265">
        <v>5</v>
      </c>
      <c r="H265">
        <v>19404.98</v>
      </c>
    </row>
    <row r="266" spans="1:8" x14ac:dyDescent="0.3">
      <c r="A266" t="s">
        <v>299</v>
      </c>
      <c r="B266" t="s">
        <v>26</v>
      </c>
      <c r="C266" t="s">
        <v>27</v>
      </c>
      <c r="D266" t="s">
        <v>11</v>
      </c>
      <c r="E266" t="s">
        <v>32</v>
      </c>
      <c r="F266">
        <v>128523</v>
      </c>
      <c r="G266">
        <v>6</v>
      </c>
      <c r="H266">
        <v>84020.14</v>
      </c>
    </row>
    <row r="267" spans="1:8" x14ac:dyDescent="0.3">
      <c r="A267" t="s">
        <v>300</v>
      </c>
      <c r="B267" t="s">
        <v>9</v>
      </c>
      <c r="C267" t="s">
        <v>10</v>
      </c>
      <c r="D267" t="s">
        <v>14</v>
      </c>
      <c r="E267" t="s">
        <v>35</v>
      </c>
      <c r="F267">
        <v>74179</v>
      </c>
      <c r="G267">
        <v>11</v>
      </c>
      <c r="H267">
        <v>54967.43</v>
      </c>
    </row>
    <row r="268" spans="1:8" x14ac:dyDescent="0.3">
      <c r="A268" t="s">
        <v>301</v>
      </c>
      <c r="B268" t="s">
        <v>9</v>
      </c>
      <c r="C268" t="s">
        <v>10</v>
      </c>
      <c r="D268" t="s">
        <v>17</v>
      </c>
      <c r="E268" t="s">
        <v>22</v>
      </c>
      <c r="F268">
        <v>130703</v>
      </c>
      <c r="G268">
        <v>15</v>
      </c>
      <c r="H268">
        <v>94817.86</v>
      </c>
    </row>
    <row r="269" spans="1:8" x14ac:dyDescent="0.3">
      <c r="A269" t="s">
        <v>302</v>
      </c>
      <c r="B269" t="s">
        <v>26</v>
      </c>
      <c r="C269" t="s">
        <v>27</v>
      </c>
      <c r="D269" t="s">
        <v>21</v>
      </c>
      <c r="E269" t="s">
        <v>32</v>
      </c>
      <c r="F269">
        <v>76106</v>
      </c>
      <c r="G269">
        <v>6</v>
      </c>
      <c r="H269">
        <v>54268.79</v>
      </c>
    </row>
    <row r="270" spans="1:8" x14ac:dyDescent="0.3">
      <c r="A270" t="s">
        <v>303</v>
      </c>
      <c r="B270" t="s">
        <v>44</v>
      </c>
      <c r="C270" t="s">
        <v>10</v>
      </c>
      <c r="D270" t="s">
        <v>11</v>
      </c>
      <c r="E270" t="s">
        <v>48</v>
      </c>
      <c r="F270">
        <v>7370</v>
      </c>
      <c r="G270">
        <v>8</v>
      </c>
      <c r="H270">
        <v>4736.32</v>
      </c>
    </row>
    <row r="271" spans="1:8" x14ac:dyDescent="0.3">
      <c r="A271" t="s">
        <v>304</v>
      </c>
      <c r="B271" t="s">
        <v>38</v>
      </c>
      <c r="C271" t="s">
        <v>20</v>
      </c>
      <c r="D271" t="s">
        <v>14</v>
      </c>
      <c r="E271" t="s">
        <v>15</v>
      </c>
      <c r="F271">
        <v>80354</v>
      </c>
      <c r="G271">
        <v>8</v>
      </c>
      <c r="H271">
        <v>54081.71</v>
      </c>
    </row>
    <row r="272" spans="1:8" x14ac:dyDescent="0.3">
      <c r="A272" t="s">
        <v>305</v>
      </c>
      <c r="B272" t="s">
        <v>9</v>
      </c>
      <c r="C272" t="s">
        <v>10</v>
      </c>
      <c r="D272" t="s">
        <v>17</v>
      </c>
      <c r="E272" t="s">
        <v>12</v>
      </c>
      <c r="F272">
        <v>25855</v>
      </c>
      <c r="G272">
        <v>7</v>
      </c>
      <c r="H272">
        <v>17060.05</v>
      </c>
    </row>
    <row r="273" spans="1:8" x14ac:dyDescent="0.3">
      <c r="A273" t="s">
        <v>306</v>
      </c>
      <c r="B273" t="s">
        <v>75</v>
      </c>
      <c r="C273" t="s">
        <v>27</v>
      </c>
      <c r="D273" t="s">
        <v>21</v>
      </c>
      <c r="E273" t="s">
        <v>15</v>
      </c>
      <c r="F273">
        <v>101989</v>
      </c>
      <c r="G273">
        <v>9</v>
      </c>
      <c r="H273">
        <v>67101.009999999995</v>
      </c>
    </row>
    <row r="274" spans="1:8" x14ac:dyDescent="0.3">
      <c r="A274" t="s">
        <v>307</v>
      </c>
      <c r="B274" t="s">
        <v>75</v>
      </c>
      <c r="C274" t="s">
        <v>27</v>
      </c>
      <c r="D274" t="s">
        <v>11</v>
      </c>
      <c r="E274" t="s">
        <v>52</v>
      </c>
      <c r="F274">
        <v>116122</v>
      </c>
      <c r="G274">
        <v>10</v>
      </c>
      <c r="H274">
        <v>76936.47</v>
      </c>
    </row>
    <row r="275" spans="1:8" x14ac:dyDescent="0.3">
      <c r="A275" t="s">
        <v>308</v>
      </c>
      <c r="B275" t="s">
        <v>9</v>
      </c>
      <c r="C275" t="s">
        <v>10</v>
      </c>
      <c r="D275" t="s">
        <v>14</v>
      </c>
      <c r="E275" t="s">
        <v>28</v>
      </c>
      <c r="F275">
        <v>91410</v>
      </c>
      <c r="G275">
        <v>15</v>
      </c>
      <c r="H275">
        <v>67839.77</v>
      </c>
    </row>
    <row r="276" spans="1:8" x14ac:dyDescent="0.3">
      <c r="A276" t="s">
        <v>309</v>
      </c>
      <c r="B276" t="s">
        <v>75</v>
      </c>
      <c r="C276" t="s">
        <v>27</v>
      </c>
      <c r="D276" t="s">
        <v>17</v>
      </c>
      <c r="E276" t="s">
        <v>54</v>
      </c>
      <c r="F276">
        <v>126910</v>
      </c>
      <c r="G276">
        <v>15</v>
      </c>
      <c r="H276">
        <v>87362.2</v>
      </c>
    </row>
    <row r="277" spans="1:8" x14ac:dyDescent="0.3">
      <c r="A277" t="s">
        <v>310</v>
      </c>
      <c r="B277" t="s">
        <v>44</v>
      </c>
      <c r="C277" t="s">
        <v>10</v>
      </c>
      <c r="D277" t="s">
        <v>21</v>
      </c>
      <c r="E277" t="s">
        <v>15</v>
      </c>
      <c r="F277">
        <v>34610</v>
      </c>
      <c r="G277">
        <v>3</v>
      </c>
      <c r="H277">
        <v>24890.799999999999</v>
      </c>
    </row>
    <row r="278" spans="1:8" x14ac:dyDescent="0.3">
      <c r="A278" t="s">
        <v>311</v>
      </c>
      <c r="B278" t="s">
        <v>44</v>
      </c>
      <c r="C278" t="s">
        <v>10</v>
      </c>
      <c r="D278" t="s">
        <v>11</v>
      </c>
      <c r="E278" t="s">
        <v>12</v>
      </c>
      <c r="F278">
        <v>125208</v>
      </c>
      <c r="G278">
        <v>3</v>
      </c>
      <c r="H278">
        <v>87002.48</v>
      </c>
    </row>
    <row r="279" spans="1:8" x14ac:dyDescent="0.3">
      <c r="A279" t="s">
        <v>312</v>
      </c>
      <c r="B279" t="s">
        <v>31</v>
      </c>
      <c r="C279" t="s">
        <v>27</v>
      </c>
      <c r="D279" t="s">
        <v>14</v>
      </c>
      <c r="E279" t="s">
        <v>40</v>
      </c>
      <c r="F279">
        <v>88177</v>
      </c>
      <c r="G279">
        <v>4</v>
      </c>
      <c r="H279">
        <v>57671.24</v>
      </c>
    </row>
    <row r="280" spans="1:8" x14ac:dyDescent="0.3">
      <c r="A280" t="s">
        <v>313</v>
      </c>
      <c r="B280" t="s">
        <v>75</v>
      </c>
      <c r="C280" t="s">
        <v>27</v>
      </c>
      <c r="D280" t="s">
        <v>17</v>
      </c>
      <c r="E280" t="s">
        <v>54</v>
      </c>
      <c r="F280">
        <v>79500</v>
      </c>
      <c r="G280">
        <v>15</v>
      </c>
      <c r="H280">
        <v>57325.96</v>
      </c>
    </row>
    <row r="281" spans="1:8" x14ac:dyDescent="0.3">
      <c r="A281" t="s">
        <v>314</v>
      </c>
      <c r="B281" t="s">
        <v>31</v>
      </c>
      <c r="C281" t="s">
        <v>27</v>
      </c>
      <c r="D281" t="s">
        <v>21</v>
      </c>
      <c r="E281" t="s">
        <v>15</v>
      </c>
      <c r="F281">
        <v>95096</v>
      </c>
      <c r="G281">
        <v>10</v>
      </c>
      <c r="H281">
        <v>60057.84</v>
      </c>
    </row>
    <row r="282" spans="1:8" x14ac:dyDescent="0.3">
      <c r="A282" t="s">
        <v>315</v>
      </c>
      <c r="B282" t="s">
        <v>26</v>
      </c>
      <c r="C282" t="s">
        <v>27</v>
      </c>
      <c r="D282" t="s">
        <v>11</v>
      </c>
      <c r="E282" t="s">
        <v>48</v>
      </c>
      <c r="F282">
        <v>92510</v>
      </c>
      <c r="G282">
        <v>3</v>
      </c>
      <c r="H282">
        <v>61874.37</v>
      </c>
    </row>
    <row r="283" spans="1:8" x14ac:dyDescent="0.3">
      <c r="A283" t="s">
        <v>316</v>
      </c>
      <c r="B283" t="s">
        <v>38</v>
      </c>
      <c r="C283" t="s">
        <v>20</v>
      </c>
      <c r="D283" t="s">
        <v>14</v>
      </c>
      <c r="E283" t="s">
        <v>52</v>
      </c>
      <c r="F283">
        <v>80085</v>
      </c>
      <c r="G283">
        <v>2</v>
      </c>
      <c r="H283">
        <v>54680.23</v>
      </c>
    </row>
    <row r="284" spans="1:8" x14ac:dyDescent="0.3">
      <c r="A284" t="s">
        <v>317</v>
      </c>
      <c r="B284" t="s">
        <v>44</v>
      </c>
      <c r="C284" t="s">
        <v>10</v>
      </c>
      <c r="D284" t="s">
        <v>17</v>
      </c>
      <c r="E284" t="s">
        <v>12</v>
      </c>
      <c r="F284">
        <v>12226</v>
      </c>
      <c r="G284">
        <v>10</v>
      </c>
      <c r="H284">
        <v>7581.21</v>
      </c>
    </row>
    <row r="285" spans="1:8" x14ac:dyDescent="0.3">
      <c r="A285" t="s">
        <v>318</v>
      </c>
      <c r="B285" t="s">
        <v>31</v>
      </c>
      <c r="C285" t="s">
        <v>27</v>
      </c>
      <c r="D285" t="s">
        <v>21</v>
      </c>
      <c r="E285" t="s">
        <v>54</v>
      </c>
      <c r="F285">
        <v>75551</v>
      </c>
      <c r="G285">
        <v>1</v>
      </c>
      <c r="H285">
        <v>56148.36</v>
      </c>
    </row>
    <row r="286" spans="1:8" x14ac:dyDescent="0.3">
      <c r="A286" t="s">
        <v>319</v>
      </c>
      <c r="B286" t="s">
        <v>34</v>
      </c>
      <c r="C286" t="s">
        <v>10</v>
      </c>
      <c r="D286" t="s">
        <v>11</v>
      </c>
      <c r="E286" t="s">
        <v>12</v>
      </c>
      <c r="F286">
        <v>110566</v>
      </c>
      <c r="G286">
        <v>3</v>
      </c>
      <c r="H286">
        <v>72736.850000000006</v>
      </c>
    </row>
    <row r="287" spans="1:8" x14ac:dyDescent="0.3">
      <c r="A287" t="s">
        <v>320</v>
      </c>
      <c r="B287" t="s">
        <v>34</v>
      </c>
      <c r="C287" t="s">
        <v>10</v>
      </c>
      <c r="D287" t="s">
        <v>14</v>
      </c>
      <c r="E287" t="s">
        <v>40</v>
      </c>
      <c r="F287">
        <v>28110</v>
      </c>
      <c r="G287">
        <v>2</v>
      </c>
      <c r="H287">
        <v>17671.740000000002</v>
      </c>
    </row>
    <row r="288" spans="1:8" x14ac:dyDescent="0.3">
      <c r="A288" t="s">
        <v>321</v>
      </c>
      <c r="B288" t="s">
        <v>44</v>
      </c>
      <c r="C288" t="s">
        <v>10</v>
      </c>
      <c r="D288" t="s">
        <v>17</v>
      </c>
      <c r="E288" t="s">
        <v>52</v>
      </c>
      <c r="F288">
        <v>5386</v>
      </c>
      <c r="G288">
        <v>14</v>
      </c>
      <c r="H288">
        <v>3861.68</v>
      </c>
    </row>
    <row r="289" spans="1:8" x14ac:dyDescent="0.3">
      <c r="A289" t="s">
        <v>322</v>
      </c>
      <c r="B289" t="s">
        <v>44</v>
      </c>
      <c r="C289" t="s">
        <v>10</v>
      </c>
      <c r="D289" t="s">
        <v>21</v>
      </c>
      <c r="E289" t="s">
        <v>22</v>
      </c>
      <c r="F289">
        <v>144979</v>
      </c>
      <c r="G289">
        <v>11</v>
      </c>
      <c r="H289">
        <v>92858.62</v>
      </c>
    </row>
    <row r="290" spans="1:8" x14ac:dyDescent="0.3">
      <c r="A290" t="s">
        <v>323</v>
      </c>
      <c r="B290" t="s">
        <v>19</v>
      </c>
      <c r="C290" t="s">
        <v>20</v>
      </c>
      <c r="D290" t="s">
        <v>11</v>
      </c>
      <c r="E290" t="s">
        <v>15</v>
      </c>
      <c r="F290">
        <v>123293</v>
      </c>
      <c r="G290">
        <v>1</v>
      </c>
      <c r="H290">
        <v>91778.58</v>
      </c>
    </row>
    <row r="291" spans="1:8" x14ac:dyDescent="0.3">
      <c r="A291" t="s">
        <v>324</v>
      </c>
      <c r="B291" t="s">
        <v>26</v>
      </c>
      <c r="C291" t="s">
        <v>27</v>
      </c>
      <c r="D291" t="s">
        <v>14</v>
      </c>
      <c r="E291" t="s">
        <v>24</v>
      </c>
      <c r="F291">
        <v>83403</v>
      </c>
      <c r="G291">
        <v>8</v>
      </c>
      <c r="H291">
        <v>54792.19</v>
      </c>
    </row>
    <row r="292" spans="1:8" x14ac:dyDescent="0.3">
      <c r="A292" t="s">
        <v>325</v>
      </c>
      <c r="B292" t="s">
        <v>44</v>
      </c>
      <c r="C292" t="s">
        <v>10</v>
      </c>
      <c r="D292" t="s">
        <v>17</v>
      </c>
      <c r="E292" t="s">
        <v>32</v>
      </c>
      <c r="F292">
        <v>26252</v>
      </c>
      <c r="G292">
        <v>1</v>
      </c>
      <c r="H292">
        <v>16113.12</v>
      </c>
    </row>
    <row r="293" spans="1:8" x14ac:dyDescent="0.3">
      <c r="A293" t="s">
        <v>326</v>
      </c>
      <c r="B293" t="s">
        <v>31</v>
      </c>
      <c r="C293" t="s">
        <v>27</v>
      </c>
      <c r="D293" t="s">
        <v>21</v>
      </c>
      <c r="E293" t="s">
        <v>52</v>
      </c>
      <c r="F293">
        <v>138320</v>
      </c>
      <c r="G293">
        <v>8</v>
      </c>
      <c r="H293">
        <v>98859.39</v>
      </c>
    </row>
    <row r="294" spans="1:8" x14ac:dyDescent="0.3">
      <c r="A294" t="s">
        <v>327</v>
      </c>
      <c r="B294" t="s">
        <v>26</v>
      </c>
      <c r="C294" t="s">
        <v>27</v>
      </c>
      <c r="D294" t="s">
        <v>11</v>
      </c>
      <c r="E294" t="s">
        <v>40</v>
      </c>
      <c r="F294">
        <v>146713</v>
      </c>
      <c r="G294">
        <v>6</v>
      </c>
      <c r="H294">
        <v>108818.76</v>
      </c>
    </row>
    <row r="295" spans="1:8" x14ac:dyDescent="0.3">
      <c r="A295" t="s">
        <v>328</v>
      </c>
      <c r="B295" t="s">
        <v>75</v>
      </c>
      <c r="C295" t="s">
        <v>27</v>
      </c>
      <c r="D295" t="s">
        <v>14</v>
      </c>
      <c r="E295" t="s">
        <v>52</v>
      </c>
      <c r="F295">
        <v>92943</v>
      </c>
      <c r="G295">
        <v>6</v>
      </c>
      <c r="H295">
        <v>58727.360000000001</v>
      </c>
    </row>
    <row r="296" spans="1:8" x14ac:dyDescent="0.3">
      <c r="A296" t="s">
        <v>329</v>
      </c>
      <c r="B296" t="s">
        <v>26</v>
      </c>
      <c r="C296" t="s">
        <v>27</v>
      </c>
      <c r="D296" t="s">
        <v>17</v>
      </c>
      <c r="E296" t="s">
        <v>28</v>
      </c>
      <c r="F296">
        <v>144298</v>
      </c>
      <c r="G296">
        <v>1</v>
      </c>
      <c r="H296">
        <v>107431.97</v>
      </c>
    </row>
    <row r="297" spans="1:8" x14ac:dyDescent="0.3">
      <c r="A297" t="s">
        <v>330</v>
      </c>
      <c r="B297" t="s">
        <v>44</v>
      </c>
      <c r="C297" t="s">
        <v>10</v>
      </c>
      <c r="D297" t="s">
        <v>21</v>
      </c>
      <c r="E297" t="s">
        <v>12</v>
      </c>
      <c r="F297">
        <v>50003</v>
      </c>
      <c r="G297">
        <v>14</v>
      </c>
      <c r="H297">
        <v>37068.519999999997</v>
      </c>
    </row>
    <row r="298" spans="1:8" x14ac:dyDescent="0.3">
      <c r="A298" t="s">
        <v>331</v>
      </c>
      <c r="B298" t="s">
        <v>19</v>
      </c>
      <c r="C298" t="s">
        <v>20</v>
      </c>
      <c r="D298" t="s">
        <v>11</v>
      </c>
      <c r="E298" t="s">
        <v>54</v>
      </c>
      <c r="F298">
        <v>102639</v>
      </c>
      <c r="G298">
        <v>5</v>
      </c>
      <c r="H298">
        <v>68969.67</v>
      </c>
    </row>
    <row r="299" spans="1:8" x14ac:dyDescent="0.3">
      <c r="A299" t="s">
        <v>332</v>
      </c>
      <c r="B299" t="s">
        <v>9</v>
      </c>
      <c r="C299" t="s">
        <v>10</v>
      </c>
      <c r="D299" t="s">
        <v>14</v>
      </c>
      <c r="E299" t="s">
        <v>15</v>
      </c>
      <c r="F299">
        <v>117890</v>
      </c>
      <c r="G299">
        <v>12</v>
      </c>
      <c r="H299">
        <v>82587.58</v>
      </c>
    </row>
    <row r="300" spans="1:8" x14ac:dyDescent="0.3">
      <c r="A300" t="s">
        <v>333</v>
      </c>
      <c r="B300" t="s">
        <v>19</v>
      </c>
      <c r="C300" t="s">
        <v>20</v>
      </c>
      <c r="D300" t="s">
        <v>17</v>
      </c>
      <c r="E300" t="s">
        <v>24</v>
      </c>
      <c r="F300">
        <v>129279</v>
      </c>
      <c r="G300">
        <v>15</v>
      </c>
      <c r="H300">
        <v>88954.73</v>
      </c>
    </row>
    <row r="301" spans="1:8" x14ac:dyDescent="0.3">
      <c r="A301" t="s">
        <v>334</v>
      </c>
      <c r="B301" t="s">
        <v>9</v>
      </c>
      <c r="C301" t="s">
        <v>10</v>
      </c>
      <c r="D301" t="s">
        <v>21</v>
      </c>
      <c r="E301" t="s">
        <v>52</v>
      </c>
      <c r="F301">
        <v>12671</v>
      </c>
      <c r="G301">
        <v>3</v>
      </c>
      <c r="H301">
        <v>8630.09</v>
      </c>
    </row>
    <row r="302" spans="1:8" x14ac:dyDescent="0.3">
      <c r="A302" t="s">
        <v>335</v>
      </c>
      <c r="B302" t="s">
        <v>19</v>
      </c>
      <c r="C302" t="s">
        <v>20</v>
      </c>
      <c r="D302" t="s">
        <v>11</v>
      </c>
      <c r="E302" t="s">
        <v>12</v>
      </c>
      <c r="F302">
        <v>91496</v>
      </c>
      <c r="G302">
        <v>5</v>
      </c>
      <c r="H302">
        <v>64487.51</v>
      </c>
    </row>
    <row r="303" spans="1:8" x14ac:dyDescent="0.3">
      <c r="A303" t="s">
        <v>336</v>
      </c>
      <c r="B303" t="s">
        <v>9</v>
      </c>
      <c r="C303" t="s">
        <v>10</v>
      </c>
      <c r="D303" t="s">
        <v>14</v>
      </c>
      <c r="E303" t="s">
        <v>40</v>
      </c>
      <c r="F303">
        <v>66437</v>
      </c>
      <c r="G303">
        <v>8</v>
      </c>
      <c r="H303">
        <v>42004.92</v>
      </c>
    </row>
    <row r="304" spans="1:8" x14ac:dyDescent="0.3">
      <c r="A304" t="s">
        <v>337</v>
      </c>
      <c r="B304" t="s">
        <v>34</v>
      </c>
      <c r="C304" t="s">
        <v>10</v>
      </c>
      <c r="D304" t="s">
        <v>17</v>
      </c>
      <c r="E304" t="s">
        <v>24</v>
      </c>
      <c r="F304">
        <v>130673</v>
      </c>
      <c r="G304">
        <v>6</v>
      </c>
      <c r="H304">
        <v>79562.73</v>
      </c>
    </row>
    <row r="305" spans="1:8" x14ac:dyDescent="0.3">
      <c r="A305" t="s">
        <v>338</v>
      </c>
      <c r="B305" t="s">
        <v>19</v>
      </c>
      <c r="C305" t="s">
        <v>20</v>
      </c>
      <c r="D305" t="s">
        <v>21</v>
      </c>
      <c r="E305" t="s">
        <v>48</v>
      </c>
      <c r="F305">
        <v>59073</v>
      </c>
      <c r="G305">
        <v>9</v>
      </c>
      <c r="H305">
        <v>38344.69</v>
      </c>
    </row>
    <row r="306" spans="1:8" x14ac:dyDescent="0.3">
      <c r="A306" t="s">
        <v>339</v>
      </c>
      <c r="B306" t="s">
        <v>19</v>
      </c>
      <c r="C306" t="s">
        <v>20</v>
      </c>
      <c r="D306" t="s">
        <v>11</v>
      </c>
      <c r="E306" t="s">
        <v>35</v>
      </c>
      <c r="F306">
        <v>72440</v>
      </c>
      <c r="G306">
        <v>11</v>
      </c>
      <c r="H306">
        <v>52329.36</v>
      </c>
    </row>
    <row r="307" spans="1:8" x14ac:dyDescent="0.3">
      <c r="A307" t="s">
        <v>340</v>
      </c>
      <c r="B307" t="s">
        <v>26</v>
      </c>
      <c r="C307" t="s">
        <v>27</v>
      </c>
      <c r="D307" t="s">
        <v>14</v>
      </c>
      <c r="E307" t="s">
        <v>71</v>
      </c>
      <c r="F307">
        <v>83843</v>
      </c>
      <c r="G307">
        <v>7</v>
      </c>
      <c r="H307">
        <v>57927.81</v>
      </c>
    </row>
    <row r="308" spans="1:8" x14ac:dyDescent="0.3">
      <c r="A308" t="s">
        <v>341</v>
      </c>
      <c r="B308" t="s">
        <v>19</v>
      </c>
      <c r="C308" t="s">
        <v>20</v>
      </c>
      <c r="D308" t="s">
        <v>17</v>
      </c>
      <c r="E308" t="s">
        <v>52</v>
      </c>
      <c r="F308">
        <v>67136</v>
      </c>
      <c r="G308">
        <v>10</v>
      </c>
      <c r="H308">
        <v>45146.03</v>
      </c>
    </row>
    <row r="309" spans="1:8" x14ac:dyDescent="0.3">
      <c r="A309" t="s">
        <v>342</v>
      </c>
      <c r="B309" t="s">
        <v>31</v>
      </c>
      <c r="C309" t="s">
        <v>27</v>
      </c>
      <c r="D309" t="s">
        <v>21</v>
      </c>
      <c r="E309" t="s">
        <v>71</v>
      </c>
      <c r="F309">
        <v>81636</v>
      </c>
      <c r="G309">
        <v>3</v>
      </c>
      <c r="H309">
        <v>50959.86</v>
      </c>
    </row>
    <row r="310" spans="1:8" x14ac:dyDescent="0.3">
      <c r="A310" t="s">
        <v>343</v>
      </c>
      <c r="B310" t="s">
        <v>26</v>
      </c>
      <c r="C310" t="s">
        <v>27</v>
      </c>
      <c r="D310" t="s">
        <v>11</v>
      </c>
      <c r="E310" t="s">
        <v>48</v>
      </c>
      <c r="F310">
        <v>77434</v>
      </c>
      <c r="G310">
        <v>11</v>
      </c>
      <c r="H310">
        <v>57719.78</v>
      </c>
    </row>
    <row r="311" spans="1:8" x14ac:dyDescent="0.3">
      <c r="A311" t="s">
        <v>344</v>
      </c>
      <c r="B311" t="s">
        <v>34</v>
      </c>
      <c r="C311" t="s">
        <v>10</v>
      </c>
      <c r="D311" t="s">
        <v>14</v>
      </c>
      <c r="E311" t="s">
        <v>71</v>
      </c>
      <c r="F311">
        <v>6369</v>
      </c>
      <c r="G311">
        <v>6</v>
      </c>
      <c r="H311">
        <v>4070.24</v>
      </c>
    </row>
    <row r="312" spans="1:8" x14ac:dyDescent="0.3">
      <c r="A312" t="s">
        <v>345</v>
      </c>
      <c r="B312" t="s">
        <v>34</v>
      </c>
      <c r="C312" t="s">
        <v>10</v>
      </c>
      <c r="D312" t="s">
        <v>17</v>
      </c>
      <c r="E312" t="s">
        <v>22</v>
      </c>
      <c r="F312">
        <v>25924</v>
      </c>
      <c r="G312">
        <v>3</v>
      </c>
      <c r="H312">
        <v>18650.47</v>
      </c>
    </row>
    <row r="313" spans="1:8" x14ac:dyDescent="0.3">
      <c r="A313" t="s">
        <v>346</v>
      </c>
      <c r="B313" t="s">
        <v>19</v>
      </c>
      <c r="C313" t="s">
        <v>20</v>
      </c>
      <c r="D313" t="s">
        <v>21</v>
      </c>
      <c r="E313" t="s">
        <v>28</v>
      </c>
      <c r="F313">
        <v>22007</v>
      </c>
      <c r="G313">
        <v>6</v>
      </c>
      <c r="H313">
        <v>14441.51</v>
      </c>
    </row>
    <row r="314" spans="1:8" x14ac:dyDescent="0.3">
      <c r="A314" t="s">
        <v>347</v>
      </c>
      <c r="B314" t="s">
        <v>19</v>
      </c>
      <c r="C314" t="s">
        <v>20</v>
      </c>
      <c r="D314" t="s">
        <v>11</v>
      </c>
      <c r="E314" t="s">
        <v>40</v>
      </c>
      <c r="F314">
        <v>128201</v>
      </c>
      <c r="G314">
        <v>14</v>
      </c>
      <c r="H314">
        <v>91937.71</v>
      </c>
    </row>
    <row r="315" spans="1:8" x14ac:dyDescent="0.3">
      <c r="A315" t="s">
        <v>348</v>
      </c>
      <c r="B315" t="s">
        <v>75</v>
      </c>
      <c r="C315" t="s">
        <v>27</v>
      </c>
      <c r="D315" t="s">
        <v>14</v>
      </c>
      <c r="E315" t="s">
        <v>22</v>
      </c>
      <c r="F315">
        <v>124098</v>
      </c>
      <c r="G315">
        <v>4</v>
      </c>
      <c r="H315">
        <v>81265.279999999999</v>
      </c>
    </row>
    <row r="316" spans="1:8" x14ac:dyDescent="0.3">
      <c r="A316" t="s">
        <v>349</v>
      </c>
      <c r="B316" t="s">
        <v>31</v>
      </c>
      <c r="C316" t="s">
        <v>27</v>
      </c>
      <c r="D316" t="s">
        <v>17</v>
      </c>
      <c r="E316" t="s">
        <v>40</v>
      </c>
      <c r="F316">
        <v>107979</v>
      </c>
      <c r="G316">
        <v>1</v>
      </c>
      <c r="H316">
        <v>80118.570000000007</v>
      </c>
    </row>
    <row r="317" spans="1:8" x14ac:dyDescent="0.3">
      <c r="A317" t="s">
        <v>350</v>
      </c>
      <c r="B317" t="s">
        <v>44</v>
      </c>
      <c r="C317" t="s">
        <v>10</v>
      </c>
      <c r="D317" t="s">
        <v>21</v>
      </c>
      <c r="E317" t="s">
        <v>52</v>
      </c>
      <c r="F317">
        <v>56262</v>
      </c>
      <c r="G317">
        <v>1</v>
      </c>
      <c r="H317">
        <v>37840.46</v>
      </c>
    </row>
    <row r="318" spans="1:8" x14ac:dyDescent="0.3">
      <c r="A318" t="s">
        <v>351</v>
      </c>
      <c r="B318" t="s">
        <v>26</v>
      </c>
      <c r="C318" t="s">
        <v>27</v>
      </c>
      <c r="D318" t="s">
        <v>11</v>
      </c>
      <c r="E318" t="s">
        <v>28</v>
      </c>
      <c r="F318">
        <v>85928</v>
      </c>
      <c r="G318">
        <v>15</v>
      </c>
      <c r="H318">
        <v>52662.98</v>
      </c>
    </row>
    <row r="319" spans="1:8" x14ac:dyDescent="0.3">
      <c r="A319" t="s">
        <v>352</v>
      </c>
      <c r="B319" t="s">
        <v>75</v>
      </c>
      <c r="C319" t="s">
        <v>27</v>
      </c>
      <c r="D319" t="s">
        <v>14</v>
      </c>
      <c r="E319" t="s">
        <v>40</v>
      </c>
      <c r="F319">
        <v>74527</v>
      </c>
      <c r="G319">
        <v>11</v>
      </c>
      <c r="H319">
        <v>44782.17</v>
      </c>
    </row>
    <row r="320" spans="1:8" x14ac:dyDescent="0.3">
      <c r="A320" t="s">
        <v>353</v>
      </c>
      <c r="B320" t="s">
        <v>44</v>
      </c>
      <c r="C320" t="s">
        <v>10</v>
      </c>
      <c r="D320" t="s">
        <v>17</v>
      </c>
      <c r="E320" t="s">
        <v>71</v>
      </c>
      <c r="F320">
        <v>113041</v>
      </c>
      <c r="G320">
        <v>9</v>
      </c>
      <c r="H320">
        <v>70585.86</v>
      </c>
    </row>
    <row r="321" spans="1:8" x14ac:dyDescent="0.3">
      <c r="A321" t="s">
        <v>354</v>
      </c>
      <c r="B321" t="s">
        <v>75</v>
      </c>
      <c r="C321" t="s">
        <v>27</v>
      </c>
      <c r="D321" t="s">
        <v>21</v>
      </c>
      <c r="E321" t="s">
        <v>24</v>
      </c>
      <c r="F321">
        <v>107199</v>
      </c>
      <c r="G321">
        <v>8</v>
      </c>
      <c r="H321">
        <v>69798.67</v>
      </c>
    </row>
    <row r="322" spans="1:8" x14ac:dyDescent="0.3">
      <c r="A322" t="s">
        <v>355</v>
      </c>
      <c r="B322" t="s">
        <v>44</v>
      </c>
      <c r="C322" t="s">
        <v>10</v>
      </c>
      <c r="D322" t="s">
        <v>11</v>
      </c>
      <c r="E322" t="s">
        <v>54</v>
      </c>
      <c r="F322">
        <v>76448</v>
      </c>
      <c r="G322">
        <v>14</v>
      </c>
      <c r="H322">
        <v>56759.68</v>
      </c>
    </row>
    <row r="323" spans="1:8" x14ac:dyDescent="0.3">
      <c r="A323" t="s">
        <v>356</v>
      </c>
      <c r="B323" t="s">
        <v>26</v>
      </c>
      <c r="C323" t="s">
        <v>27</v>
      </c>
      <c r="D323" t="s">
        <v>14</v>
      </c>
      <c r="E323" t="s">
        <v>54</v>
      </c>
      <c r="F323">
        <v>125949</v>
      </c>
      <c r="G323">
        <v>7</v>
      </c>
      <c r="H323">
        <v>85635.27</v>
      </c>
    </row>
    <row r="324" spans="1:8" x14ac:dyDescent="0.3">
      <c r="A324" t="s">
        <v>357</v>
      </c>
      <c r="B324" t="s">
        <v>19</v>
      </c>
      <c r="C324" t="s">
        <v>20</v>
      </c>
      <c r="D324" t="s">
        <v>17</v>
      </c>
      <c r="E324" t="s">
        <v>32</v>
      </c>
      <c r="F324">
        <v>123388</v>
      </c>
      <c r="G324">
        <v>11</v>
      </c>
      <c r="H324">
        <v>86132.21</v>
      </c>
    </row>
    <row r="325" spans="1:8" x14ac:dyDescent="0.3">
      <c r="A325" t="s">
        <v>358</v>
      </c>
      <c r="B325" t="s">
        <v>44</v>
      </c>
      <c r="C325" t="s">
        <v>10</v>
      </c>
      <c r="D325" t="s">
        <v>21</v>
      </c>
      <c r="E325" t="s">
        <v>32</v>
      </c>
      <c r="F325">
        <v>139663</v>
      </c>
      <c r="G325">
        <v>9</v>
      </c>
      <c r="H325">
        <v>101703.97</v>
      </c>
    </row>
    <row r="326" spans="1:8" x14ac:dyDescent="0.3">
      <c r="A326" t="s">
        <v>359</v>
      </c>
      <c r="B326" t="s">
        <v>9</v>
      </c>
      <c r="C326" t="s">
        <v>10</v>
      </c>
      <c r="D326" t="s">
        <v>11</v>
      </c>
      <c r="E326" t="s">
        <v>54</v>
      </c>
      <c r="F326">
        <v>81219</v>
      </c>
      <c r="G326">
        <v>3</v>
      </c>
      <c r="H326">
        <v>59811.97</v>
      </c>
    </row>
    <row r="327" spans="1:8" x14ac:dyDescent="0.3">
      <c r="A327" t="s">
        <v>360</v>
      </c>
      <c r="B327" t="s">
        <v>19</v>
      </c>
      <c r="C327" t="s">
        <v>20</v>
      </c>
      <c r="D327" t="s">
        <v>14</v>
      </c>
      <c r="E327" t="s">
        <v>40</v>
      </c>
      <c r="F327">
        <v>87418</v>
      </c>
      <c r="G327">
        <v>5</v>
      </c>
      <c r="H327">
        <v>53664.24</v>
      </c>
    </row>
    <row r="328" spans="1:8" x14ac:dyDescent="0.3">
      <c r="A328" t="s">
        <v>361</v>
      </c>
      <c r="B328" t="s">
        <v>38</v>
      </c>
      <c r="C328" t="s">
        <v>20</v>
      </c>
      <c r="D328" t="s">
        <v>17</v>
      </c>
      <c r="E328" t="s">
        <v>71</v>
      </c>
      <c r="F328">
        <v>63554</v>
      </c>
      <c r="G328">
        <v>7</v>
      </c>
      <c r="H328">
        <v>47494.95</v>
      </c>
    </row>
    <row r="329" spans="1:8" x14ac:dyDescent="0.3">
      <c r="A329" t="s">
        <v>362</v>
      </c>
      <c r="B329" t="s">
        <v>26</v>
      </c>
      <c r="C329" t="s">
        <v>27</v>
      </c>
      <c r="D329" t="s">
        <v>21</v>
      </c>
      <c r="E329" t="s">
        <v>28</v>
      </c>
      <c r="F329">
        <v>56670</v>
      </c>
      <c r="G329">
        <v>3</v>
      </c>
      <c r="H329">
        <v>34731.21</v>
      </c>
    </row>
    <row r="330" spans="1:8" x14ac:dyDescent="0.3">
      <c r="A330" t="s">
        <v>363</v>
      </c>
      <c r="B330" t="s">
        <v>19</v>
      </c>
      <c r="C330" t="s">
        <v>20</v>
      </c>
      <c r="D330" t="s">
        <v>11</v>
      </c>
      <c r="E330" t="s">
        <v>71</v>
      </c>
      <c r="F330">
        <v>103813</v>
      </c>
      <c r="G330">
        <v>10</v>
      </c>
      <c r="H330">
        <v>70081.41</v>
      </c>
    </row>
    <row r="331" spans="1:8" x14ac:dyDescent="0.3">
      <c r="A331" t="s">
        <v>364</v>
      </c>
      <c r="B331" t="s">
        <v>9</v>
      </c>
      <c r="C331" t="s">
        <v>10</v>
      </c>
      <c r="D331" t="s">
        <v>14</v>
      </c>
      <c r="E331" t="s">
        <v>48</v>
      </c>
      <c r="F331">
        <v>86806</v>
      </c>
      <c r="G331">
        <v>1</v>
      </c>
      <c r="H331">
        <v>60768.73</v>
      </c>
    </row>
    <row r="332" spans="1:8" x14ac:dyDescent="0.3">
      <c r="A332" t="s">
        <v>365</v>
      </c>
      <c r="B332" t="s">
        <v>31</v>
      </c>
      <c r="C332" t="s">
        <v>27</v>
      </c>
      <c r="D332" t="s">
        <v>17</v>
      </c>
      <c r="E332" t="s">
        <v>22</v>
      </c>
      <c r="F332">
        <v>30346</v>
      </c>
      <c r="G332">
        <v>11</v>
      </c>
      <c r="H332">
        <v>21910.83</v>
      </c>
    </row>
    <row r="333" spans="1:8" x14ac:dyDescent="0.3">
      <c r="A333" t="s">
        <v>366</v>
      </c>
      <c r="B333" t="s">
        <v>34</v>
      </c>
      <c r="C333" t="s">
        <v>10</v>
      </c>
      <c r="D333" t="s">
        <v>21</v>
      </c>
      <c r="E333" t="s">
        <v>22</v>
      </c>
      <c r="F333">
        <v>53399</v>
      </c>
      <c r="G333">
        <v>8</v>
      </c>
      <c r="H333">
        <v>33956.080000000002</v>
      </c>
    </row>
    <row r="334" spans="1:8" x14ac:dyDescent="0.3">
      <c r="A334" t="s">
        <v>367</v>
      </c>
      <c r="B334" t="s">
        <v>75</v>
      </c>
      <c r="C334" t="s">
        <v>27</v>
      </c>
      <c r="D334" t="s">
        <v>11</v>
      </c>
      <c r="E334" t="s">
        <v>12</v>
      </c>
      <c r="F334">
        <v>67042</v>
      </c>
      <c r="G334">
        <v>7</v>
      </c>
      <c r="H334">
        <v>40850.46</v>
      </c>
    </row>
    <row r="335" spans="1:8" x14ac:dyDescent="0.3">
      <c r="A335" t="s">
        <v>368</v>
      </c>
      <c r="B335" t="s">
        <v>26</v>
      </c>
      <c r="C335" t="s">
        <v>27</v>
      </c>
      <c r="D335" t="s">
        <v>14</v>
      </c>
      <c r="E335" t="s">
        <v>22</v>
      </c>
      <c r="F335">
        <v>35138</v>
      </c>
      <c r="G335">
        <v>15</v>
      </c>
      <c r="H335">
        <v>23716.93</v>
      </c>
    </row>
    <row r="336" spans="1:8" x14ac:dyDescent="0.3">
      <c r="A336" t="s">
        <v>369</v>
      </c>
      <c r="B336" t="s">
        <v>75</v>
      </c>
      <c r="C336" t="s">
        <v>27</v>
      </c>
      <c r="D336" t="s">
        <v>17</v>
      </c>
      <c r="E336" t="s">
        <v>40</v>
      </c>
      <c r="F336">
        <v>89979</v>
      </c>
      <c r="G336">
        <v>1</v>
      </c>
      <c r="H336">
        <v>54176.4</v>
      </c>
    </row>
    <row r="337" spans="1:8" x14ac:dyDescent="0.3">
      <c r="A337" t="s">
        <v>370</v>
      </c>
      <c r="B337" t="s">
        <v>38</v>
      </c>
      <c r="C337" t="s">
        <v>20</v>
      </c>
      <c r="D337" t="s">
        <v>21</v>
      </c>
      <c r="E337" t="s">
        <v>40</v>
      </c>
      <c r="F337">
        <v>147250</v>
      </c>
      <c r="G337">
        <v>6</v>
      </c>
      <c r="H337">
        <v>98649.45</v>
      </c>
    </row>
    <row r="338" spans="1:8" x14ac:dyDescent="0.3">
      <c r="A338" t="s">
        <v>371</v>
      </c>
      <c r="B338" t="s">
        <v>34</v>
      </c>
      <c r="C338" t="s">
        <v>10</v>
      </c>
      <c r="D338" t="s">
        <v>11</v>
      </c>
      <c r="E338" t="s">
        <v>28</v>
      </c>
      <c r="F338">
        <v>136939</v>
      </c>
      <c r="G338">
        <v>2</v>
      </c>
      <c r="H338">
        <v>85940.21</v>
      </c>
    </row>
    <row r="339" spans="1:8" x14ac:dyDescent="0.3">
      <c r="A339" t="s">
        <v>372</v>
      </c>
      <c r="B339" t="s">
        <v>19</v>
      </c>
      <c r="C339" t="s">
        <v>20</v>
      </c>
      <c r="D339" t="s">
        <v>14</v>
      </c>
      <c r="E339" t="s">
        <v>15</v>
      </c>
      <c r="F339">
        <v>111765</v>
      </c>
      <c r="G339">
        <v>15</v>
      </c>
      <c r="H339">
        <v>78251.429999999993</v>
      </c>
    </row>
    <row r="340" spans="1:8" x14ac:dyDescent="0.3">
      <c r="A340" t="s">
        <v>373</v>
      </c>
      <c r="B340" t="s">
        <v>44</v>
      </c>
      <c r="C340" t="s">
        <v>10</v>
      </c>
      <c r="D340" t="s">
        <v>17</v>
      </c>
      <c r="E340" t="s">
        <v>71</v>
      </c>
      <c r="F340">
        <v>18999</v>
      </c>
      <c r="G340">
        <v>15</v>
      </c>
      <c r="H340">
        <v>13198.27</v>
      </c>
    </row>
    <row r="341" spans="1:8" x14ac:dyDescent="0.3">
      <c r="A341" t="s">
        <v>374</v>
      </c>
      <c r="B341" t="s">
        <v>44</v>
      </c>
      <c r="C341" t="s">
        <v>10</v>
      </c>
      <c r="D341" t="s">
        <v>21</v>
      </c>
      <c r="E341" t="s">
        <v>71</v>
      </c>
      <c r="F341">
        <v>56604</v>
      </c>
      <c r="G341">
        <v>4</v>
      </c>
      <c r="H341">
        <v>39392.75</v>
      </c>
    </row>
    <row r="342" spans="1:8" x14ac:dyDescent="0.3">
      <c r="A342" t="s">
        <v>375</v>
      </c>
      <c r="B342" t="s">
        <v>9</v>
      </c>
      <c r="C342" t="s">
        <v>10</v>
      </c>
      <c r="D342" t="s">
        <v>11</v>
      </c>
      <c r="E342" t="s">
        <v>71</v>
      </c>
      <c r="F342">
        <v>92300</v>
      </c>
      <c r="G342">
        <v>5</v>
      </c>
      <c r="H342">
        <v>62078.7</v>
      </c>
    </row>
    <row r="343" spans="1:8" x14ac:dyDescent="0.3">
      <c r="A343" t="s">
        <v>376</v>
      </c>
      <c r="B343" t="s">
        <v>75</v>
      </c>
      <c r="C343" t="s">
        <v>27</v>
      </c>
      <c r="D343" t="s">
        <v>14</v>
      </c>
      <c r="E343" t="s">
        <v>52</v>
      </c>
      <c r="F343">
        <v>65679</v>
      </c>
      <c r="G343">
        <v>13</v>
      </c>
      <c r="H343">
        <v>40953.35</v>
      </c>
    </row>
    <row r="344" spans="1:8" x14ac:dyDescent="0.3">
      <c r="A344" t="s">
        <v>377</v>
      </c>
      <c r="B344" t="s">
        <v>34</v>
      </c>
      <c r="C344" t="s">
        <v>10</v>
      </c>
      <c r="D344" t="s">
        <v>17</v>
      </c>
      <c r="E344" t="s">
        <v>22</v>
      </c>
      <c r="F344">
        <v>78673</v>
      </c>
      <c r="G344">
        <v>3</v>
      </c>
      <c r="H344">
        <v>48910</v>
      </c>
    </row>
    <row r="345" spans="1:8" x14ac:dyDescent="0.3">
      <c r="A345" t="s">
        <v>378</v>
      </c>
      <c r="B345" t="s">
        <v>31</v>
      </c>
      <c r="C345" t="s">
        <v>27</v>
      </c>
      <c r="D345" t="s">
        <v>21</v>
      </c>
      <c r="E345" t="s">
        <v>15</v>
      </c>
      <c r="F345">
        <v>101747</v>
      </c>
      <c r="G345">
        <v>3</v>
      </c>
      <c r="H345">
        <v>64737.38</v>
      </c>
    </row>
    <row r="346" spans="1:8" x14ac:dyDescent="0.3">
      <c r="A346" t="s">
        <v>379</v>
      </c>
      <c r="B346" t="s">
        <v>26</v>
      </c>
      <c r="C346" t="s">
        <v>27</v>
      </c>
      <c r="D346" t="s">
        <v>11</v>
      </c>
      <c r="E346" t="s">
        <v>54</v>
      </c>
      <c r="F346">
        <v>80414</v>
      </c>
      <c r="G346">
        <v>8</v>
      </c>
      <c r="H346">
        <v>52317.38</v>
      </c>
    </row>
    <row r="347" spans="1:8" x14ac:dyDescent="0.3">
      <c r="A347" t="s">
        <v>380</v>
      </c>
      <c r="B347" t="s">
        <v>44</v>
      </c>
      <c r="C347" t="s">
        <v>10</v>
      </c>
      <c r="D347" t="s">
        <v>14</v>
      </c>
      <c r="E347" t="s">
        <v>52</v>
      </c>
      <c r="F347">
        <v>120036</v>
      </c>
      <c r="G347">
        <v>8</v>
      </c>
      <c r="H347">
        <v>77955.490000000005</v>
      </c>
    </row>
    <row r="348" spans="1:8" x14ac:dyDescent="0.3">
      <c r="A348" t="s">
        <v>381</v>
      </c>
      <c r="B348" t="s">
        <v>31</v>
      </c>
      <c r="C348" t="s">
        <v>27</v>
      </c>
      <c r="D348" t="s">
        <v>17</v>
      </c>
      <c r="E348" t="s">
        <v>24</v>
      </c>
      <c r="F348">
        <v>120567</v>
      </c>
      <c r="G348">
        <v>15</v>
      </c>
      <c r="H348">
        <v>88595.97</v>
      </c>
    </row>
    <row r="349" spans="1:8" x14ac:dyDescent="0.3">
      <c r="A349" t="s">
        <v>382</v>
      </c>
      <c r="B349" t="s">
        <v>9</v>
      </c>
      <c r="C349" t="s">
        <v>10</v>
      </c>
      <c r="D349" t="s">
        <v>21</v>
      </c>
      <c r="E349" t="s">
        <v>32</v>
      </c>
      <c r="F349">
        <v>10401</v>
      </c>
      <c r="G349">
        <v>3</v>
      </c>
      <c r="H349">
        <v>7700.79</v>
      </c>
    </row>
    <row r="350" spans="1:8" x14ac:dyDescent="0.3">
      <c r="A350" t="s">
        <v>383</v>
      </c>
      <c r="B350" t="s">
        <v>38</v>
      </c>
      <c r="C350" t="s">
        <v>20</v>
      </c>
      <c r="D350" t="s">
        <v>11</v>
      </c>
      <c r="E350" t="s">
        <v>32</v>
      </c>
      <c r="F350">
        <v>5254</v>
      </c>
      <c r="G350">
        <v>14</v>
      </c>
      <c r="H350">
        <v>3222.23</v>
      </c>
    </row>
    <row r="351" spans="1:8" x14ac:dyDescent="0.3">
      <c r="A351" t="s">
        <v>384</v>
      </c>
      <c r="B351" t="s">
        <v>38</v>
      </c>
      <c r="C351" t="s">
        <v>20</v>
      </c>
      <c r="D351" t="s">
        <v>14</v>
      </c>
      <c r="E351" t="s">
        <v>12</v>
      </c>
      <c r="F351">
        <v>78087</v>
      </c>
      <c r="G351">
        <v>5</v>
      </c>
      <c r="H351">
        <v>50077.02</v>
      </c>
    </row>
    <row r="352" spans="1:8" x14ac:dyDescent="0.3">
      <c r="A352" t="s">
        <v>385</v>
      </c>
      <c r="B352" t="s">
        <v>31</v>
      </c>
      <c r="C352" t="s">
        <v>27</v>
      </c>
      <c r="D352" t="s">
        <v>17</v>
      </c>
      <c r="E352" t="s">
        <v>35</v>
      </c>
      <c r="F352">
        <v>75449</v>
      </c>
      <c r="G352">
        <v>10</v>
      </c>
      <c r="H352">
        <v>50454.26</v>
      </c>
    </row>
    <row r="353" spans="1:8" x14ac:dyDescent="0.3">
      <c r="A353" t="s">
        <v>386</v>
      </c>
      <c r="B353" t="s">
        <v>44</v>
      </c>
      <c r="C353" t="s">
        <v>10</v>
      </c>
      <c r="D353" t="s">
        <v>21</v>
      </c>
      <c r="E353" t="s">
        <v>32</v>
      </c>
      <c r="F353">
        <v>116619</v>
      </c>
      <c r="G353">
        <v>4</v>
      </c>
      <c r="H353">
        <v>77150.509999999995</v>
      </c>
    </row>
    <row r="354" spans="1:8" x14ac:dyDescent="0.3">
      <c r="A354" t="s">
        <v>387</v>
      </c>
      <c r="B354" t="s">
        <v>38</v>
      </c>
      <c r="C354" t="s">
        <v>20</v>
      </c>
      <c r="D354" t="s">
        <v>11</v>
      </c>
      <c r="E354" t="s">
        <v>28</v>
      </c>
      <c r="F354">
        <v>105639</v>
      </c>
      <c r="G354">
        <v>5</v>
      </c>
      <c r="H354">
        <v>64064.32</v>
      </c>
    </row>
    <row r="355" spans="1:8" x14ac:dyDescent="0.3">
      <c r="A355" t="s">
        <v>388</v>
      </c>
      <c r="B355" t="s">
        <v>26</v>
      </c>
      <c r="C355" t="s">
        <v>27</v>
      </c>
      <c r="D355" t="s">
        <v>14</v>
      </c>
      <c r="E355" t="s">
        <v>35</v>
      </c>
      <c r="F355">
        <v>90037</v>
      </c>
      <c r="G355">
        <v>12</v>
      </c>
      <c r="H355">
        <v>64683.35</v>
      </c>
    </row>
    <row r="356" spans="1:8" x14ac:dyDescent="0.3">
      <c r="A356" t="s">
        <v>389</v>
      </c>
      <c r="B356" t="s">
        <v>34</v>
      </c>
      <c r="C356" t="s">
        <v>10</v>
      </c>
      <c r="D356" t="s">
        <v>17</v>
      </c>
      <c r="E356" t="s">
        <v>15</v>
      </c>
      <c r="F356">
        <v>88744</v>
      </c>
      <c r="G356">
        <v>12</v>
      </c>
      <c r="H356">
        <v>65700.14</v>
      </c>
    </row>
    <row r="357" spans="1:8" x14ac:dyDescent="0.3">
      <c r="A357" t="s">
        <v>390</v>
      </c>
      <c r="B357" t="s">
        <v>38</v>
      </c>
      <c r="C357" t="s">
        <v>20</v>
      </c>
      <c r="D357" t="s">
        <v>21</v>
      </c>
      <c r="E357" t="s">
        <v>54</v>
      </c>
      <c r="F357">
        <v>102159</v>
      </c>
      <c r="G357">
        <v>4</v>
      </c>
      <c r="H357">
        <v>68140.02</v>
      </c>
    </row>
    <row r="358" spans="1:8" x14ac:dyDescent="0.3">
      <c r="A358" t="s">
        <v>391</v>
      </c>
      <c r="B358" t="s">
        <v>44</v>
      </c>
      <c r="C358" t="s">
        <v>10</v>
      </c>
      <c r="D358" t="s">
        <v>11</v>
      </c>
      <c r="E358" t="s">
        <v>15</v>
      </c>
      <c r="F358">
        <v>56121</v>
      </c>
      <c r="G358">
        <v>15</v>
      </c>
      <c r="H358">
        <v>39723.78</v>
      </c>
    </row>
    <row r="359" spans="1:8" x14ac:dyDescent="0.3">
      <c r="A359" t="s">
        <v>392</v>
      </c>
      <c r="B359" t="s">
        <v>31</v>
      </c>
      <c r="C359" t="s">
        <v>27</v>
      </c>
      <c r="D359" t="s">
        <v>14</v>
      </c>
      <c r="E359" t="s">
        <v>52</v>
      </c>
      <c r="F359">
        <v>57318</v>
      </c>
      <c r="G359">
        <v>4</v>
      </c>
      <c r="H359">
        <v>35074.65</v>
      </c>
    </row>
    <row r="360" spans="1:8" x14ac:dyDescent="0.3">
      <c r="A360" t="s">
        <v>393</v>
      </c>
      <c r="B360" t="s">
        <v>44</v>
      </c>
      <c r="C360" t="s">
        <v>10</v>
      </c>
      <c r="D360" t="s">
        <v>17</v>
      </c>
      <c r="E360" t="s">
        <v>32</v>
      </c>
      <c r="F360">
        <v>29386</v>
      </c>
      <c r="G360">
        <v>12</v>
      </c>
      <c r="H360">
        <v>17753.099999999999</v>
      </c>
    </row>
    <row r="361" spans="1:8" x14ac:dyDescent="0.3">
      <c r="A361" t="s">
        <v>394</v>
      </c>
      <c r="B361" t="s">
        <v>31</v>
      </c>
      <c r="C361" t="s">
        <v>27</v>
      </c>
      <c r="D361" t="s">
        <v>21</v>
      </c>
      <c r="E361" t="s">
        <v>35</v>
      </c>
      <c r="F361">
        <v>18749</v>
      </c>
      <c r="G361">
        <v>11</v>
      </c>
      <c r="H361">
        <v>12323.89</v>
      </c>
    </row>
    <row r="362" spans="1:8" x14ac:dyDescent="0.3">
      <c r="A362" t="s">
        <v>395</v>
      </c>
      <c r="B362" t="s">
        <v>75</v>
      </c>
      <c r="C362" t="s">
        <v>27</v>
      </c>
      <c r="D362" t="s">
        <v>11</v>
      </c>
      <c r="E362" t="s">
        <v>54</v>
      </c>
      <c r="F362">
        <v>27217</v>
      </c>
      <c r="G362">
        <v>8</v>
      </c>
      <c r="H362">
        <v>19828.77</v>
      </c>
    </row>
    <row r="363" spans="1:8" x14ac:dyDescent="0.3">
      <c r="A363" t="s">
        <v>396</v>
      </c>
      <c r="B363" t="s">
        <v>34</v>
      </c>
      <c r="C363" t="s">
        <v>10</v>
      </c>
      <c r="D363" t="s">
        <v>14</v>
      </c>
      <c r="E363" t="s">
        <v>52</v>
      </c>
      <c r="F363">
        <v>116243</v>
      </c>
      <c r="G363">
        <v>11</v>
      </c>
      <c r="H363">
        <v>73031.53</v>
      </c>
    </row>
    <row r="364" spans="1:8" x14ac:dyDescent="0.3">
      <c r="A364" t="s">
        <v>397</v>
      </c>
      <c r="B364" t="s">
        <v>75</v>
      </c>
      <c r="C364" t="s">
        <v>27</v>
      </c>
      <c r="D364" t="s">
        <v>17</v>
      </c>
      <c r="E364" t="s">
        <v>71</v>
      </c>
      <c r="F364">
        <v>91542</v>
      </c>
      <c r="G364">
        <v>14</v>
      </c>
      <c r="H364">
        <v>65106.73</v>
      </c>
    </row>
    <row r="365" spans="1:8" x14ac:dyDescent="0.3">
      <c r="A365" t="s">
        <v>398</v>
      </c>
      <c r="B365" t="s">
        <v>44</v>
      </c>
      <c r="C365" t="s">
        <v>10</v>
      </c>
      <c r="D365" t="s">
        <v>21</v>
      </c>
      <c r="E365" t="s">
        <v>52</v>
      </c>
      <c r="F365">
        <v>45236</v>
      </c>
      <c r="G365">
        <v>9</v>
      </c>
      <c r="H365">
        <v>33153.440000000002</v>
      </c>
    </row>
    <row r="366" spans="1:8" x14ac:dyDescent="0.3">
      <c r="A366" t="s">
        <v>399</v>
      </c>
      <c r="B366" t="s">
        <v>34</v>
      </c>
      <c r="C366" t="s">
        <v>10</v>
      </c>
      <c r="D366" t="s">
        <v>11</v>
      </c>
      <c r="E366" t="s">
        <v>24</v>
      </c>
      <c r="F366">
        <v>60903</v>
      </c>
      <c r="G366">
        <v>15</v>
      </c>
      <c r="H366">
        <v>37327.839999999997</v>
      </c>
    </row>
    <row r="367" spans="1:8" x14ac:dyDescent="0.3">
      <c r="A367" t="s">
        <v>400</v>
      </c>
      <c r="B367" t="s">
        <v>9</v>
      </c>
      <c r="C367" t="s">
        <v>10</v>
      </c>
      <c r="D367" t="s">
        <v>14</v>
      </c>
      <c r="E367" t="s">
        <v>40</v>
      </c>
      <c r="F367">
        <v>95361</v>
      </c>
      <c r="G367">
        <v>13</v>
      </c>
      <c r="H367">
        <v>61317.13</v>
      </c>
    </row>
    <row r="368" spans="1:8" x14ac:dyDescent="0.3">
      <c r="A368" t="s">
        <v>401</v>
      </c>
      <c r="B368" t="s">
        <v>34</v>
      </c>
      <c r="C368" t="s">
        <v>10</v>
      </c>
      <c r="D368" t="s">
        <v>17</v>
      </c>
      <c r="E368" t="s">
        <v>71</v>
      </c>
      <c r="F368">
        <v>141156</v>
      </c>
      <c r="G368">
        <v>4</v>
      </c>
      <c r="H368">
        <v>101746.26</v>
      </c>
    </row>
    <row r="369" spans="1:8" x14ac:dyDescent="0.3">
      <c r="A369" t="s">
        <v>402</v>
      </c>
      <c r="B369" t="s">
        <v>75</v>
      </c>
      <c r="C369" t="s">
        <v>27</v>
      </c>
      <c r="D369" t="s">
        <v>21</v>
      </c>
      <c r="E369" t="s">
        <v>35</v>
      </c>
      <c r="F369">
        <v>134499</v>
      </c>
      <c r="G369">
        <v>10</v>
      </c>
      <c r="H369">
        <v>89399.55</v>
      </c>
    </row>
    <row r="370" spans="1:8" x14ac:dyDescent="0.3">
      <c r="A370" t="s">
        <v>403</v>
      </c>
      <c r="B370" t="s">
        <v>19</v>
      </c>
      <c r="C370" t="s">
        <v>20</v>
      </c>
      <c r="D370" t="s">
        <v>11</v>
      </c>
      <c r="E370" t="s">
        <v>28</v>
      </c>
      <c r="F370">
        <v>86383</v>
      </c>
      <c r="G370">
        <v>11</v>
      </c>
      <c r="H370">
        <v>57194.43</v>
      </c>
    </row>
    <row r="371" spans="1:8" x14ac:dyDescent="0.3">
      <c r="A371" t="s">
        <v>404</v>
      </c>
      <c r="B371" t="s">
        <v>26</v>
      </c>
      <c r="C371" t="s">
        <v>27</v>
      </c>
      <c r="D371" t="s">
        <v>14</v>
      </c>
      <c r="E371" t="s">
        <v>52</v>
      </c>
      <c r="F371">
        <v>46403</v>
      </c>
      <c r="G371">
        <v>14</v>
      </c>
      <c r="H371">
        <v>30149.72</v>
      </c>
    </row>
    <row r="372" spans="1:8" x14ac:dyDescent="0.3">
      <c r="A372" t="s">
        <v>405</v>
      </c>
      <c r="B372" t="s">
        <v>44</v>
      </c>
      <c r="C372" t="s">
        <v>10</v>
      </c>
      <c r="D372" t="s">
        <v>17</v>
      </c>
      <c r="E372" t="s">
        <v>71</v>
      </c>
      <c r="F372">
        <v>101262</v>
      </c>
      <c r="G372">
        <v>11</v>
      </c>
      <c r="H372">
        <v>72135.81</v>
      </c>
    </row>
    <row r="373" spans="1:8" x14ac:dyDescent="0.3">
      <c r="A373" t="s">
        <v>406</v>
      </c>
      <c r="B373" t="s">
        <v>26</v>
      </c>
      <c r="C373" t="s">
        <v>27</v>
      </c>
      <c r="D373" t="s">
        <v>21</v>
      </c>
      <c r="E373" t="s">
        <v>24</v>
      </c>
      <c r="F373">
        <v>125484</v>
      </c>
      <c r="G373">
        <v>6</v>
      </c>
      <c r="H373">
        <v>84195.05</v>
      </c>
    </row>
    <row r="374" spans="1:8" x14ac:dyDescent="0.3">
      <c r="A374" t="s">
        <v>407</v>
      </c>
      <c r="B374" t="s">
        <v>38</v>
      </c>
      <c r="C374" t="s">
        <v>20</v>
      </c>
      <c r="D374" t="s">
        <v>11</v>
      </c>
      <c r="E374" t="s">
        <v>28</v>
      </c>
      <c r="F374">
        <v>100019</v>
      </c>
      <c r="G374">
        <v>1</v>
      </c>
      <c r="H374">
        <v>62625.84</v>
      </c>
    </row>
    <row r="375" spans="1:8" x14ac:dyDescent="0.3">
      <c r="A375" t="s">
        <v>408</v>
      </c>
      <c r="B375" t="s">
        <v>38</v>
      </c>
      <c r="C375" t="s">
        <v>20</v>
      </c>
      <c r="D375" t="s">
        <v>14</v>
      </c>
      <c r="E375" t="s">
        <v>35</v>
      </c>
      <c r="F375">
        <v>68542</v>
      </c>
      <c r="G375">
        <v>7</v>
      </c>
      <c r="H375">
        <v>47573.47</v>
      </c>
    </row>
    <row r="376" spans="1:8" x14ac:dyDescent="0.3">
      <c r="A376" t="s">
        <v>409</v>
      </c>
      <c r="B376" t="s">
        <v>26</v>
      </c>
      <c r="C376" t="s">
        <v>27</v>
      </c>
      <c r="D376" t="s">
        <v>17</v>
      </c>
      <c r="E376" t="s">
        <v>71</v>
      </c>
      <c r="F376">
        <v>68004</v>
      </c>
      <c r="G376">
        <v>4</v>
      </c>
      <c r="H376">
        <v>46341.05</v>
      </c>
    </row>
    <row r="377" spans="1:8" x14ac:dyDescent="0.3">
      <c r="A377" t="s">
        <v>410</v>
      </c>
      <c r="B377" t="s">
        <v>75</v>
      </c>
      <c r="C377" t="s">
        <v>27</v>
      </c>
      <c r="D377" t="s">
        <v>21</v>
      </c>
      <c r="E377" t="s">
        <v>12</v>
      </c>
      <c r="F377">
        <v>101085</v>
      </c>
      <c r="G377">
        <v>9</v>
      </c>
      <c r="H377">
        <v>67488.37</v>
      </c>
    </row>
    <row r="378" spans="1:8" x14ac:dyDescent="0.3">
      <c r="A378" t="s">
        <v>411</v>
      </c>
      <c r="B378" t="s">
        <v>9</v>
      </c>
      <c r="C378" t="s">
        <v>10</v>
      </c>
      <c r="D378" t="s">
        <v>11</v>
      </c>
      <c r="E378" t="s">
        <v>28</v>
      </c>
      <c r="F378">
        <v>109601</v>
      </c>
      <c r="G378">
        <v>10</v>
      </c>
      <c r="H378">
        <v>78724.67</v>
      </c>
    </row>
    <row r="379" spans="1:8" x14ac:dyDescent="0.3">
      <c r="A379" t="s">
        <v>412</v>
      </c>
      <c r="B379" t="s">
        <v>44</v>
      </c>
      <c r="C379" t="s">
        <v>10</v>
      </c>
      <c r="D379" t="s">
        <v>14</v>
      </c>
      <c r="E379" t="s">
        <v>54</v>
      </c>
      <c r="F379">
        <v>72439</v>
      </c>
      <c r="G379">
        <v>1</v>
      </c>
      <c r="H379">
        <v>48486.89</v>
      </c>
    </row>
    <row r="380" spans="1:8" x14ac:dyDescent="0.3">
      <c r="A380" t="s">
        <v>413</v>
      </c>
      <c r="B380" t="s">
        <v>19</v>
      </c>
      <c r="C380" t="s">
        <v>20</v>
      </c>
      <c r="D380" t="s">
        <v>17</v>
      </c>
      <c r="E380" t="s">
        <v>54</v>
      </c>
      <c r="F380">
        <v>35837</v>
      </c>
      <c r="G380">
        <v>5</v>
      </c>
      <c r="H380">
        <v>26683.63</v>
      </c>
    </row>
    <row r="381" spans="1:8" x14ac:dyDescent="0.3">
      <c r="A381" t="s">
        <v>414</v>
      </c>
      <c r="B381" t="s">
        <v>44</v>
      </c>
      <c r="C381" t="s">
        <v>10</v>
      </c>
      <c r="D381" t="s">
        <v>21</v>
      </c>
      <c r="E381" t="s">
        <v>54</v>
      </c>
      <c r="F381">
        <v>17484</v>
      </c>
      <c r="G381">
        <v>9</v>
      </c>
      <c r="H381">
        <v>12346.93</v>
      </c>
    </row>
    <row r="382" spans="1:8" x14ac:dyDescent="0.3">
      <c r="A382" t="s">
        <v>415</v>
      </c>
      <c r="B382" t="s">
        <v>9</v>
      </c>
      <c r="C382" t="s">
        <v>10</v>
      </c>
      <c r="D382" t="s">
        <v>11</v>
      </c>
      <c r="E382" t="s">
        <v>71</v>
      </c>
      <c r="F382">
        <v>139861</v>
      </c>
      <c r="G382">
        <v>4</v>
      </c>
      <c r="H382">
        <v>90485.14</v>
      </c>
    </row>
    <row r="383" spans="1:8" x14ac:dyDescent="0.3">
      <c r="A383" t="s">
        <v>416</v>
      </c>
      <c r="B383" t="s">
        <v>26</v>
      </c>
      <c r="C383" t="s">
        <v>27</v>
      </c>
      <c r="D383" t="s">
        <v>14</v>
      </c>
      <c r="E383" t="s">
        <v>52</v>
      </c>
      <c r="F383">
        <v>112897</v>
      </c>
      <c r="G383">
        <v>13</v>
      </c>
      <c r="H383">
        <v>77102.53</v>
      </c>
    </row>
    <row r="384" spans="1:8" x14ac:dyDescent="0.3">
      <c r="A384" t="s">
        <v>417</v>
      </c>
      <c r="B384" t="s">
        <v>44</v>
      </c>
      <c r="C384" t="s">
        <v>10</v>
      </c>
      <c r="D384" t="s">
        <v>17</v>
      </c>
      <c r="E384" t="s">
        <v>48</v>
      </c>
      <c r="F384">
        <v>66095</v>
      </c>
      <c r="G384">
        <v>15</v>
      </c>
      <c r="H384">
        <v>43844.21</v>
      </c>
    </row>
    <row r="385" spans="1:8" x14ac:dyDescent="0.3">
      <c r="A385" t="s">
        <v>418</v>
      </c>
      <c r="B385" t="s">
        <v>26</v>
      </c>
      <c r="C385" t="s">
        <v>27</v>
      </c>
      <c r="D385" t="s">
        <v>21</v>
      </c>
      <c r="E385" t="s">
        <v>12</v>
      </c>
      <c r="F385">
        <v>14553</v>
      </c>
      <c r="G385">
        <v>5</v>
      </c>
      <c r="H385">
        <v>10247.11</v>
      </c>
    </row>
    <row r="386" spans="1:8" x14ac:dyDescent="0.3">
      <c r="A386" t="s">
        <v>419</v>
      </c>
      <c r="B386" t="s">
        <v>38</v>
      </c>
      <c r="C386" t="s">
        <v>20</v>
      </c>
      <c r="D386" t="s">
        <v>11</v>
      </c>
      <c r="E386" t="s">
        <v>24</v>
      </c>
      <c r="F386">
        <v>50204</v>
      </c>
      <c r="G386">
        <v>4</v>
      </c>
      <c r="H386">
        <v>32873.230000000003</v>
      </c>
    </row>
    <row r="387" spans="1:8" x14ac:dyDescent="0.3">
      <c r="A387" t="s">
        <v>420</v>
      </c>
      <c r="B387" t="s">
        <v>34</v>
      </c>
      <c r="C387" t="s">
        <v>10</v>
      </c>
      <c r="D387" t="s">
        <v>14</v>
      </c>
      <c r="E387" t="s">
        <v>12</v>
      </c>
      <c r="F387">
        <v>66351</v>
      </c>
      <c r="G387">
        <v>9</v>
      </c>
      <c r="H387">
        <v>47358.17</v>
      </c>
    </row>
    <row r="388" spans="1:8" x14ac:dyDescent="0.3">
      <c r="A388" t="s">
        <v>421</v>
      </c>
      <c r="B388" t="s">
        <v>44</v>
      </c>
      <c r="C388" t="s">
        <v>10</v>
      </c>
      <c r="D388" t="s">
        <v>17</v>
      </c>
      <c r="E388" t="s">
        <v>15</v>
      </c>
      <c r="F388">
        <v>115016</v>
      </c>
      <c r="G388">
        <v>10</v>
      </c>
      <c r="H388">
        <v>75471.509999999995</v>
      </c>
    </row>
    <row r="389" spans="1:8" x14ac:dyDescent="0.3">
      <c r="A389" t="s">
        <v>422</v>
      </c>
      <c r="B389" t="s">
        <v>75</v>
      </c>
      <c r="C389" t="s">
        <v>27</v>
      </c>
      <c r="D389" t="s">
        <v>21</v>
      </c>
      <c r="E389" t="s">
        <v>71</v>
      </c>
      <c r="F389">
        <v>86375</v>
      </c>
      <c r="G389">
        <v>5</v>
      </c>
      <c r="H389">
        <v>64682.29</v>
      </c>
    </row>
    <row r="390" spans="1:8" x14ac:dyDescent="0.3">
      <c r="A390" t="s">
        <v>423</v>
      </c>
      <c r="B390" t="s">
        <v>75</v>
      </c>
      <c r="C390" t="s">
        <v>27</v>
      </c>
      <c r="D390" t="s">
        <v>11</v>
      </c>
      <c r="E390" t="s">
        <v>12</v>
      </c>
      <c r="F390">
        <v>145974</v>
      </c>
      <c r="G390">
        <v>15</v>
      </c>
      <c r="H390">
        <v>108751.06</v>
      </c>
    </row>
    <row r="391" spans="1:8" x14ac:dyDescent="0.3">
      <c r="A391" t="s">
        <v>424</v>
      </c>
      <c r="B391" t="s">
        <v>31</v>
      </c>
      <c r="C391" t="s">
        <v>27</v>
      </c>
      <c r="D391" t="s">
        <v>14</v>
      </c>
      <c r="E391" t="s">
        <v>54</v>
      </c>
      <c r="F391">
        <v>134999</v>
      </c>
      <c r="G391">
        <v>1</v>
      </c>
      <c r="H391">
        <v>101077.19</v>
      </c>
    </row>
    <row r="392" spans="1:8" x14ac:dyDescent="0.3">
      <c r="A392" t="s">
        <v>425</v>
      </c>
      <c r="B392" t="s">
        <v>44</v>
      </c>
      <c r="C392" t="s">
        <v>10</v>
      </c>
      <c r="D392" t="s">
        <v>17</v>
      </c>
      <c r="E392" t="s">
        <v>48</v>
      </c>
      <c r="F392">
        <v>96444</v>
      </c>
      <c r="G392">
        <v>3</v>
      </c>
      <c r="H392">
        <v>70063.63</v>
      </c>
    </row>
    <row r="393" spans="1:8" x14ac:dyDescent="0.3">
      <c r="A393" t="s">
        <v>426</v>
      </c>
      <c r="B393" t="s">
        <v>44</v>
      </c>
      <c r="C393" t="s">
        <v>10</v>
      </c>
      <c r="D393" t="s">
        <v>21</v>
      </c>
      <c r="E393" t="s">
        <v>24</v>
      </c>
      <c r="F393">
        <v>31592</v>
      </c>
      <c r="G393">
        <v>12</v>
      </c>
      <c r="H393">
        <v>19216.560000000001</v>
      </c>
    </row>
    <row r="394" spans="1:8" x14ac:dyDescent="0.3">
      <c r="A394" t="s">
        <v>427</v>
      </c>
      <c r="B394" t="s">
        <v>44</v>
      </c>
      <c r="C394" t="s">
        <v>10</v>
      </c>
      <c r="D394" t="s">
        <v>11</v>
      </c>
      <c r="E394" t="s">
        <v>24</v>
      </c>
      <c r="F394">
        <v>133563</v>
      </c>
      <c r="G394">
        <v>3</v>
      </c>
      <c r="H394">
        <v>90955.6</v>
      </c>
    </row>
    <row r="395" spans="1:8" x14ac:dyDescent="0.3">
      <c r="A395" t="s">
        <v>428</v>
      </c>
      <c r="B395" t="s">
        <v>31</v>
      </c>
      <c r="C395" t="s">
        <v>27</v>
      </c>
      <c r="D395" t="s">
        <v>14</v>
      </c>
      <c r="E395" t="s">
        <v>28</v>
      </c>
      <c r="F395">
        <v>144909</v>
      </c>
      <c r="G395">
        <v>4</v>
      </c>
      <c r="H395">
        <v>100697.2</v>
      </c>
    </row>
    <row r="396" spans="1:8" x14ac:dyDescent="0.3">
      <c r="A396" t="s">
        <v>429</v>
      </c>
      <c r="B396" t="s">
        <v>44</v>
      </c>
      <c r="C396" t="s">
        <v>10</v>
      </c>
      <c r="D396" t="s">
        <v>17</v>
      </c>
      <c r="E396" t="s">
        <v>71</v>
      </c>
      <c r="F396">
        <v>99460</v>
      </c>
      <c r="G396">
        <v>6</v>
      </c>
      <c r="H396">
        <v>66564.789999999994</v>
      </c>
    </row>
    <row r="397" spans="1:8" x14ac:dyDescent="0.3">
      <c r="A397" t="s">
        <v>430</v>
      </c>
      <c r="B397" t="s">
        <v>38</v>
      </c>
      <c r="C397" t="s">
        <v>20</v>
      </c>
      <c r="D397" t="s">
        <v>21</v>
      </c>
      <c r="E397" t="s">
        <v>32</v>
      </c>
      <c r="F397">
        <v>55557</v>
      </c>
      <c r="G397">
        <v>2</v>
      </c>
      <c r="H397">
        <v>34782.1</v>
      </c>
    </row>
    <row r="398" spans="1:8" x14ac:dyDescent="0.3">
      <c r="A398" t="s">
        <v>431</v>
      </c>
      <c r="B398" t="s">
        <v>26</v>
      </c>
      <c r="C398" t="s">
        <v>27</v>
      </c>
      <c r="D398" t="s">
        <v>11</v>
      </c>
      <c r="E398" t="s">
        <v>28</v>
      </c>
      <c r="F398">
        <v>12565</v>
      </c>
      <c r="G398">
        <v>13</v>
      </c>
      <c r="H398">
        <v>8901.2800000000007</v>
      </c>
    </row>
    <row r="399" spans="1:8" x14ac:dyDescent="0.3">
      <c r="A399" t="s">
        <v>432</v>
      </c>
      <c r="B399" t="s">
        <v>34</v>
      </c>
      <c r="C399" t="s">
        <v>10</v>
      </c>
      <c r="D399" t="s">
        <v>14</v>
      </c>
      <c r="E399" t="s">
        <v>71</v>
      </c>
      <c r="F399">
        <v>85033</v>
      </c>
      <c r="G399">
        <v>6</v>
      </c>
      <c r="H399">
        <v>60703.05</v>
      </c>
    </row>
    <row r="400" spans="1:8" x14ac:dyDescent="0.3">
      <c r="A400" t="s">
        <v>433</v>
      </c>
      <c r="B400" t="s">
        <v>31</v>
      </c>
      <c r="C400" t="s">
        <v>27</v>
      </c>
      <c r="D400" t="s">
        <v>17</v>
      </c>
      <c r="E400" t="s">
        <v>32</v>
      </c>
      <c r="F400">
        <v>116354</v>
      </c>
      <c r="G400">
        <v>11</v>
      </c>
      <c r="H400">
        <v>71801.039999999994</v>
      </c>
    </row>
    <row r="401" spans="1:8" x14ac:dyDescent="0.3">
      <c r="A401" t="s">
        <v>434</v>
      </c>
      <c r="B401" t="s">
        <v>9</v>
      </c>
      <c r="C401" t="s">
        <v>10</v>
      </c>
      <c r="D401" t="s">
        <v>21</v>
      </c>
      <c r="E401" t="s">
        <v>15</v>
      </c>
      <c r="F401">
        <v>55481</v>
      </c>
      <c r="G401">
        <v>10</v>
      </c>
      <c r="H401">
        <v>39592.9</v>
      </c>
    </row>
    <row r="402" spans="1:8" x14ac:dyDescent="0.3">
      <c r="A402" t="s">
        <v>435</v>
      </c>
      <c r="B402" t="s">
        <v>26</v>
      </c>
      <c r="C402" t="s">
        <v>27</v>
      </c>
      <c r="D402" t="s">
        <v>11</v>
      </c>
      <c r="E402" t="s">
        <v>35</v>
      </c>
      <c r="F402">
        <v>42506</v>
      </c>
      <c r="G402">
        <v>9</v>
      </c>
      <c r="H402">
        <v>30457.86</v>
      </c>
    </row>
    <row r="403" spans="1:8" x14ac:dyDescent="0.3">
      <c r="A403" t="s">
        <v>436</v>
      </c>
      <c r="B403" t="s">
        <v>75</v>
      </c>
      <c r="C403" t="s">
        <v>27</v>
      </c>
      <c r="D403" t="s">
        <v>14</v>
      </c>
      <c r="E403" t="s">
        <v>32</v>
      </c>
      <c r="F403">
        <v>55900</v>
      </c>
      <c r="G403">
        <v>11</v>
      </c>
      <c r="H403">
        <v>36071.879999999997</v>
      </c>
    </row>
    <row r="404" spans="1:8" x14ac:dyDescent="0.3">
      <c r="A404" t="s">
        <v>437</v>
      </c>
      <c r="B404" t="s">
        <v>9</v>
      </c>
      <c r="C404" t="s">
        <v>10</v>
      </c>
      <c r="D404" t="s">
        <v>17</v>
      </c>
      <c r="E404" t="s">
        <v>32</v>
      </c>
      <c r="F404">
        <v>5426</v>
      </c>
      <c r="G404">
        <v>1</v>
      </c>
      <c r="H404">
        <v>4061.96</v>
      </c>
    </row>
    <row r="405" spans="1:8" x14ac:dyDescent="0.3">
      <c r="A405" t="s">
        <v>438</v>
      </c>
      <c r="B405" t="s">
        <v>26</v>
      </c>
      <c r="C405" t="s">
        <v>27</v>
      </c>
      <c r="D405" t="s">
        <v>21</v>
      </c>
      <c r="E405" t="s">
        <v>71</v>
      </c>
      <c r="F405">
        <v>116468</v>
      </c>
      <c r="G405">
        <v>6</v>
      </c>
      <c r="H405">
        <v>77251.67</v>
      </c>
    </row>
    <row r="406" spans="1:8" x14ac:dyDescent="0.3">
      <c r="A406" t="s">
        <v>439</v>
      </c>
      <c r="B406" t="s">
        <v>31</v>
      </c>
      <c r="C406" t="s">
        <v>27</v>
      </c>
      <c r="D406" t="s">
        <v>11</v>
      </c>
      <c r="E406" t="s">
        <v>40</v>
      </c>
      <c r="F406">
        <v>53864</v>
      </c>
      <c r="G406">
        <v>12</v>
      </c>
      <c r="H406">
        <v>40309.61</v>
      </c>
    </row>
    <row r="407" spans="1:8" x14ac:dyDescent="0.3">
      <c r="A407" t="s">
        <v>440</v>
      </c>
      <c r="B407" t="s">
        <v>9</v>
      </c>
      <c r="C407" t="s">
        <v>10</v>
      </c>
      <c r="D407" t="s">
        <v>14</v>
      </c>
      <c r="E407" t="s">
        <v>52</v>
      </c>
      <c r="F407">
        <v>137915</v>
      </c>
      <c r="G407">
        <v>9</v>
      </c>
      <c r="H407">
        <v>101371.04</v>
      </c>
    </row>
    <row r="408" spans="1:8" x14ac:dyDescent="0.3">
      <c r="A408" t="s">
        <v>441</v>
      </c>
      <c r="B408" t="s">
        <v>9</v>
      </c>
      <c r="C408" t="s">
        <v>10</v>
      </c>
      <c r="D408" t="s">
        <v>17</v>
      </c>
      <c r="E408" t="s">
        <v>71</v>
      </c>
      <c r="F408">
        <v>54436</v>
      </c>
      <c r="G408">
        <v>1</v>
      </c>
      <c r="H408">
        <v>37444.26</v>
      </c>
    </row>
    <row r="409" spans="1:8" x14ac:dyDescent="0.3">
      <c r="A409" t="s">
        <v>442</v>
      </c>
      <c r="B409" t="s">
        <v>75</v>
      </c>
      <c r="C409" t="s">
        <v>27</v>
      </c>
      <c r="D409" t="s">
        <v>21</v>
      </c>
      <c r="E409" t="s">
        <v>12</v>
      </c>
      <c r="F409">
        <v>130948</v>
      </c>
      <c r="G409">
        <v>1</v>
      </c>
      <c r="H409">
        <v>96100.62</v>
      </c>
    </row>
    <row r="410" spans="1:8" x14ac:dyDescent="0.3">
      <c r="A410" t="s">
        <v>443</v>
      </c>
      <c r="B410" t="s">
        <v>34</v>
      </c>
      <c r="C410" t="s">
        <v>10</v>
      </c>
      <c r="D410" t="s">
        <v>11</v>
      </c>
      <c r="E410" t="s">
        <v>22</v>
      </c>
      <c r="F410">
        <v>16185</v>
      </c>
      <c r="G410">
        <v>6</v>
      </c>
      <c r="H410">
        <v>10596.62</v>
      </c>
    </row>
    <row r="411" spans="1:8" x14ac:dyDescent="0.3">
      <c r="A411" t="s">
        <v>444</v>
      </c>
      <c r="B411" t="s">
        <v>44</v>
      </c>
      <c r="C411" t="s">
        <v>10</v>
      </c>
      <c r="D411" t="s">
        <v>14</v>
      </c>
      <c r="E411" t="s">
        <v>28</v>
      </c>
      <c r="F411">
        <v>55933</v>
      </c>
      <c r="G411">
        <v>6</v>
      </c>
      <c r="H411">
        <v>36808.9</v>
      </c>
    </row>
    <row r="412" spans="1:8" x14ac:dyDescent="0.3">
      <c r="A412" t="s">
        <v>445</v>
      </c>
      <c r="B412" t="s">
        <v>19</v>
      </c>
      <c r="C412" t="s">
        <v>20</v>
      </c>
      <c r="D412" t="s">
        <v>17</v>
      </c>
      <c r="E412" t="s">
        <v>22</v>
      </c>
      <c r="F412">
        <v>59949</v>
      </c>
      <c r="G412">
        <v>7</v>
      </c>
      <c r="H412">
        <v>39301.980000000003</v>
      </c>
    </row>
    <row r="413" spans="1:8" x14ac:dyDescent="0.3">
      <c r="A413" t="s">
        <v>446</v>
      </c>
      <c r="B413" t="s">
        <v>19</v>
      </c>
      <c r="C413" t="s">
        <v>20</v>
      </c>
      <c r="D413" t="s">
        <v>21</v>
      </c>
      <c r="E413" t="s">
        <v>22</v>
      </c>
      <c r="F413">
        <v>16624</v>
      </c>
      <c r="G413">
        <v>9</v>
      </c>
      <c r="H413">
        <v>10055.08</v>
      </c>
    </row>
    <row r="414" spans="1:8" x14ac:dyDescent="0.3">
      <c r="A414" t="s">
        <v>447</v>
      </c>
      <c r="B414" t="s">
        <v>44</v>
      </c>
      <c r="C414" t="s">
        <v>10</v>
      </c>
      <c r="D414" t="s">
        <v>11</v>
      </c>
      <c r="E414" t="s">
        <v>32</v>
      </c>
      <c r="F414">
        <v>117047</v>
      </c>
      <c r="G414">
        <v>6</v>
      </c>
      <c r="H414">
        <v>86726.47</v>
      </c>
    </row>
    <row r="415" spans="1:8" x14ac:dyDescent="0.3">
      <c r="A415" t="s">
        <v>448</v>
      </c>
      <c r="B415" t="s">
        <v>31</v>
      </c>
      <c r="C415" t="s">
        <v>27</v>
      </c>
      <c r="D415" t="s">
        <v>14</v>
      </c>
      <c r="E415" t="s">
        <v>32</v>
      </c>
      <c r="F415">
        <v>56488</v>
      </c>
      <c r="G415">
        <v>15</v>
      </c>
      <c r="H415">
        <v>34580.17</v>
      </c>
    </row>
    <row r="416" spans="1:8" x14ac:dyDescent="0.3">
      <c r="A416" t="s">
        <v>449</v>
      </c>
      <c r="B416" t="s">
        <v>75</v>
      </c>
      <c r="C416" t="s">
        <v>27</v>
      </c>
      <c r="D416" t="s">
        <v>17</v>
      </c>
      <c r="E416" t="s">
        <v>48</v>
      </c>
      <c r="F416">
        <v>83372</v>
      </c>
      <c r="G416">
        <v>15</v>
      </c>
      <c r="H416">
        <v>53844.57</v>
      </c>
    </row>
    <row r="417" spans="1:8" x14ac:dyDescent="0.3">
      <c r="A417" t="s">
        <v>450</v>
      </c>
      <c r="B417" t="s">
        <v>19</v>
      </c>
      <c r="C417" t="s">
        <v>20</v>
      </c>
      <c r="D417" t="s">
        <v>21</v>
      </c>
      <c r="E417" t="s">
        <v>54</v>
      </c>
      <c r="F417">
        <v>137813</v>
      </c>
      <c r="G417">
        <v>13</v>
      </c>
      <c r="H417">
        <v>84242.98</v>
      </c>
    </row>
    <row r="418" spans="1:8" x14ac:dyDescent="0.3">
      <c r="A418" t="s">
        <v>451</v>
      </c>
      <c r="B418" t="s">
        <v>31</v>
      </c>
      <c r="C418" t="s">
        <v>27</v>
      </c>
      <c r="D418" t="s">
        <v>11</v>
      </c>
      <c r="E418" t="s">
        <v>24</v>
      </c>
      <c r="F418">
        <v>132333</v>
      </c>
      <c r="G418">
        <v>7</v>
      </c>
      <c r="H418">
        <v>83863.02</v>
      </c>
    </row>
    <row r="419" spans="1:8" x14ac:dyDescent="0.3">
      <c r="A419" t="s">
        <v>452</v>
      </c>
      <c r="B419" t="s">
        <v>34</v>
      </c>
      <c r="C419" t="s">
        <v>10</v>
      </c>
      <c r="D419" t="s">
        <v>14</v>
      </c>
      <c r="E419" t="s">
        <v>28</v>
      </c>
      <c r="F419">
        <v>99874</v>
      </c>
      <c r="G419">
        <v>8</v>
      </c>
      <c r="H419">
        <v>63101.95</v>
      </c>
    </row>
    <row r="420" spans="1:8" x14ac:dyDescent="0.3">
      <c r="A420" t="s">
        <v>453</v>
      </c>
      <c r="B420" t="s">
        <v>26</v>
      </c>
      <c r="C420" t="s">
        <v>27</v>
      </c>
      <c r="D420" t="s">
        <v>17</v>
      </c>
      <c r="E420" t="s">
        <v>24</v>
      </c>
      <c r="F420">
        <v>117293</v>
      </c>
      <c r="G420">
        <v>14</v>
      </c>
      <c r="H420">
        <v>71645.179999999993</v>
      </c>
    </row>
    <row r="421" spans="1:8" x14ac:dyDescent="0.3">
      <c r="A421" t="s">
        <v>454</v>
      </c>
      <c r="B421" t="s">
        <v>31</v>
      </c>
      <c r="C421" t="s">
        <v>27</v>
      </c>
      <c r="D421" t="s">
        <v>21</v>
      </c>
      <c r="E421" t="s">
        <v>15</v>
      </c>
      <c r="F421">
        <v>22207</v>
      </c>
      <c r="G421">
        <v>1</v>
      </c>
      <c r="H421">
        <v>15431.7</v>
      </c>
    </row>
    <row r="422" spans="1:8" x14ac:dyDescent="0.3">
      <c r="A422" t="s">
        <v>455</v>
      </c>
      <c r="B422" t="s">
        <v>9</v>
      </c>
      <c r="C422" t="s">
        <v>10</v>
      </c>
      <c r="D422" t="s">
        <v>11</v>
      </c>
      <c r="E422" t="s">
        <v>35</v>
      </c>
      <c r="F422">
        <v>106248</v>
      </c>
      <c r="G422">
        <v>2</v>
      </c>
      <c r="H422">
        <v>64411.25</v>
      </c>
    </row>
    <row r="423" spans="1:8" x14ac:dyDescent="0.3">
      <c r="A423" t="s">
        <v>456</v>
      </c>
      <c r="B423" t="s">
        <v>9</v>
      </c>
      <c r="C423" t="s">
        <v>10</v>
      </c>
      <c r="D423" t="s">
        <v>14</v>
      </c>
      <c r="E423" t="s">
        <v>54</v>
      </c>
      <c r="F423">
        <v>9495</v>
      </c>
      <c r="G423">
        <v>1</v>
      </c>
      <c r="H423">
        <v>7074.23</v>
      </c>
    </row>
    <row r="424" spans="1:8" x14ac:dyDescent="0.3">
      <c r="A424" t="s">
        <v>457</v>
      </c>
      <c r="B424" t="s">
        <v>26</v>
      </c>
      <c r="C424" t="s">
        <v>27</v>
      </c>
      <c r="D424" t="s">
        <v>17</v>
      </c>
      <c r="E424" t="s">
        <v>48</v>
      </c>
      <c r="F424">
        <v>117866</v>
      </c>
      <c r="G424">
        <v>2</v>
      </c>
      <c r="H424">
        <v>83977.77</v>
      </c>
    </row>
    <row r="425" spans="1:8" x14ac:dyDescent="0.3">
      <c r="A425" t="s">
        <v>458</v>
      </c>
      <c r="B425" t="s">
        <v>34</v>
      </c>
      <c r="C425" t="s">
        <v>10</v>
      </c>
      <c r="D425" t="s">
        <v>21</v>
      </c>
      <c r="E425" t="s">
        <v>15</v>
      </c>
      <c r="F425">
        <v>27348</v>
      </c>
      <c r="G425">
        <v>13</v>
      </c>
      <c r="H425">
        <v>17639.400000000001</v>
      </c>
    </row>
    <row r="426" spans="1:8" x14ac:dyDescent="0.3">
      <c r="A426" t="s">
        <v>459</v>
      </c>
      <c r="B426" t="s">
        <v>44</v>
      </c>
      <c r="C426" t="s">
        <v>10</v>
      </c>
      <c r="D426" t="s">
        <v>11</v>
      </c>
      <c r="E426" t="s">
        <v>40</v>
      </c>
      <c r="F426">
        <v>93692</v>
      </c>
      <c r="G426">
        <v>4</v>
      </c>
      <c r="H426">
        <v>67637.16</v>
      </c>
    </row>
    <row r="427" spans="1:8" x14ac:dyDescent="0.3">
      <c r="A427" t="s">
        <v>460</v>
      </c>
      <c r="B427" t="s">
        <v>75</v>
      </c>
      <c r="C427" t="s">
        <v>27</v>
      </c>
      <c r="D427" t="s">
        <v>14</v>
      </c>
      <c r="E427" t="s">
        <v>32</v>
      </c>
      <c r="F427">
        <v>145448</v>
      </c>
      <c r="G427">
        <v>12</v>
      </c>
      <c r="H427">
        <v>104169.91</v>
      </c>
    </row>
    <row r="428" spans="1:8" x14ac:dyDescent="0.3">
      <c r="A428" t="s">
        <v>461</v>
      </c>
      <c r="B428" t="s">
        <v>31</v>
      </c>
      <c r="C428" t="s">
        <v>27</v>
      </c>
      <c r="D428" t="s">
        <v>17</v>
      </c>
      <c r="E428" t="s">
        <v>24</v>
      </c>
      <c r="F428">
        <v>50033</v>
      </c>
      <c r="G428">
        <v>2</v>
      </c>
      <c r="H428">
        <v>33603.64</v>
      </c>
    </row>
    <row r="429" spans="1:8" x14ac:dyDescent="0.3">
      <c r="A429" t="s">
        <v>462</v>
      </c>
      <c r="B429" t="s">
        <v>44</v>
      </c>
      <c r="C429" t="s">
        <v>10</v>
      </c>
      <c r="D429" t="s">
        <v>21</v>
      </c>
      <c r="E429" t="s">
        <v>28</v>
      </c>
      <c r="F429">
        <v>32563</v>
      </c>
      <c r="G429">
        <v>9</v>
      </c>
      <c r="H429">
        <v>20991.78</v>
      </c>
    </row>
    <row r="430" spans="1:8" x14ac:dyDescent="0.3">
      <c r="A430" t="s">
        <v>463</v>
      </c>
      <c r="B430" t="s">
        <v>9</v>
      </c>
      <c r="C430" t="s">
        <v>10</v>
      </c>
      <c r="D430" t="s">
        <v>11</v>
      </c>
      <c r="E430" t="s">
        <v>24</v>
      </c>
      <c r="F430">
        <v>85244</v>
      </c>
      <c r="G430">
        <v>14</v>
      </c>
      <c r="H430">
        <v>62852.98</v>
      </c>
    </row>
    <row r="431" spans="1:8" x14ac:dyDescent="0.3">
      <c r="A431" t="s">
        <v>464</v>
      </c>
      <c r="B431" t="s">
        <v>19</v>
      </c>
      <c r="C431" t="s">
        <v>20</v>
      </c>
      <c r="D431" t="s">
        <v>14</v>
      </c>
      <c r="E431" t="s">
        <v>40</v>
      </c>
      <c r="F431">
        <v>118409</v>
      </c>
      <c r="G431">
        <v>12</v>
      </c>
      <c r="H431">
        <v>73231.259999999995</v>
      </c>
    </row>
    <row r="432" spans="1:8" x14ac:dyDescent="0.3">
      <c r="A432" t="s">
        <v>465</v>
      </c>
      <c r="B432" t="s">
        <v>44</v>
      </c>
      <c r="C432" t="s">
        <v>10</v>
      </c>
      <c r="D432" t="s">
        <v>17</v>
      </c>
      <c r="E432" t="s">
        <v>54</v>
      </c>
      <c r="F432">
        <v>147220</v>
      </c>
      <c r="G432">
        <v>8</v>
      </c>
      <c r="H432">
        <v>106995.28</v>
      </c>
    </row>
    <row r="433" spans="1:8" x14ac:dyDescent="0.3">
      <c r="A433" t="s">
        <v>466</v>
      </c>
      <c r="B433" t="s">
        <v>44</v>
      </c>
      <c r="C433" t="s">
        <v>10</v>
      </c>
      <c r="D433" t="s">
        <v>21</v>
      </c>
      <c r="E433" t="s">
        <v>24</v>
      </c>
      <c r="F433">
        <v>14146</v>
      </c>
      <c r="G433">
        <v>4</v>
      </c>
      <c r="H433">
        <v>8808.4</v>
      </c>
    </row>
    <row r="434" spans="1:8" x14ac:dyDescent="0.3">
      <c r="A434" t="s">
        <v>467</v>
      </c>
      <c r="B434" t="s">
        <v>75</v>
      </c>
      <c r="C434" t="s">
        <v>27</v>
      </c>
      <c r="D434" t="s">
        <v>11</v>
      </c>
      <c r="E434" t="s">
        <v>24</v>
      </c>
      <c r="F434">
        <v>148898</v>
      </c>
      <c r="G434">
        <v>15</v>
      </c>
      <c r="H434">
        <v>99464.81</v>
      </c>
    </row>
    <row r="435" spans="1:8" x14ac:dyDescent="0.3">
      <c r="A435" t="s">
        <v>468</v>
      </c>
      <c r="B435" t="s">
        <v>44</v>
      </c>
      <c r="C435" t="s">
        <v>10</v>
      </c>
      <c r="D435" t="s">
        <v>14</v>
      </c>
      <c r="E435" t="s">
        <v>54</v>
      </c>
      <c r="F435">
        <v>66338</v>
      </c>
      <c r="G435">
        <v>4</v>
      </c>
      <c r="H435">
        <v>43803.35</v>
      </c>
    </row>
    <row r="436" spans="1:8" x14ac:dyDescent="0.3">
      <c r="A436" t="s">
        <v>469</v>
      </c>
      <c r="B436" t="s">
        <v>34</v>
      </c>
      <c r="C436" t="s">
        <v>10</v>
      </c>
      <c r="D436" t="s">
        <v>17</v>
      </c>
      <c r="E436" t="s">
        <v>48</v>
      </c>
      <c r="F436">
        <v>94331</v>
      </c>
      <c r="G436">
        <v>5</v>
      </c>
      <c r="H436">
        <v>67245.09</v>
      </c>
    </row>
    <row r="437" spans="1:8" x14ac:dyDescent="0.3">
      <c r="A437" t="s">
        <v>470</v>
      </c>
      <c r="B437" t="s">
        <v>19</v>
      </c>
      <c r="C437" t="s">
        <v>20</v>
      </c>
      <c r="D437" t="s">
        <v>21</v>
      </c>
      <c r="E437" t="s">
        <v>40</v>
      </c>
      <c r="F437">
        <v>94340</v>
      </c>
      <c r="G437">
        <v>12</v>
      </c>
      <c r="H437">
        <v>70078.8</v>
      </c>
    </row>
    <row r="438" spans="1:8" x14ac:dyDescent="0.3">
      <c r="A438" t="s">
        <v>471</v>
      </c>
      <c r="B438" t="s">
        <v>75</v>
      </c>
      <c r="C438" t="s">
        <v>27</v>
      </c>
      <c r="D438" t="s">
        <v>11</v>
      </c>
      <c r="E438" t="s">
        <v>35</v>
      </c>
      <c r="F438">
        <v>106748</v>
      </c>
      <c r="G438">
        <v>12</v>
      </c>
      <c r="H438">
        <v>67145.06</v>
      </c>
    </row>
    <row r="439" spans="1:8" x14ac:dyDescent="0.3">
      <c r="A439" t="s">
        <v>472</v>
      </c>
      <c r="B439" t="s">
        <v>75</v>
      </c>
      <c r="C439" t="s">
        <v>27</v>
      </c>
      <c r="D439" t="s">
        <v>14</v>
      </c>
      <c r="E439" t="s">
        <v>54</v>
      </c>
      <c r="F439">
        <v>90023</v>
      </c>
      <c r="G439">
        <v>14</v>
      </c>
      <c r="H439">
        <v>63555.46</v>
      </c>
    </row>
    <row r="440" spans="1:8" x14ac:dyDescent="0.3">
      <c r="A440" t="s">
        <v>473</v>
      </c>
      <c r="B440" t="s">
        <v>44</v>
      </c>
      <c r="C440" t="s">
        <v>10</v>
      </c>
      <c r="D440" t="s">
        <v>17</v>
      </c>
      <c r="E440" t="s">
        <v>71</v>
      </c>
      <c r="F440">
        <v>70150</v>
      </c>
      <c r="G440">
        <v>10</v>
      </c>
      <c r="H440">
        <v>51905.54</v>
      </c>
    </row>
    <row r="441" spans="1:8" x14ac:dyDescent="0.3">
      <c r="A441" t="s">
        <v>474</v>
      </c>
      <c r="B441" t="s">
        <v>75</v>
      </c>
      <c r="C441" t="s">
        <v>27</v>
      </c>
      <c r="D441" t="s">
        <v>21</v>
      </c>
      <c r="E441" t="s">
        <v>32</v>
      </c>
      <c r="F441">
        <v>33695</v>
      </c>
      <c r="G441">
        <v>2</v>
      </c>
      <c r="H441">
        <v>20529.439999999999</v>
      </c>
    </row>
    <row r="442" spans="1:8" x14ac:dyDescent="0.3">
      <c r="A442" t="s">
        <v>475</v>
      </c>
      <c r="B442" t="s">
        <v>34</v>
      </c>
      <c r="C442" t="s">
        <v>10</v>
      </c>
      <c r="D442" t="s">
        <v>11</v>
      </c>
      <c r="E442" t="s">
        <v>52</v>
      </c>
      <c r="F442">
        <v>57458</v>
      </c>
      <c r="G442">
        <v>5</v>
      </c>
      <c r="H442">
        <v>41262.36</v>
      </c>
    </row>
    <row r="443" spans="1:8" x14ac:dyDescent="0.3">
      <c r="A443" t="s">
        <v>476</v>
      </c>
      <c r="B443" t="s">
        <v>34</v>
      </c>
      <c r="C443" t="s">
        <v>10</v>
      </c>
      <c r="D443" t="s">
        <v>14</v>
      </c>
      <c r="E443" t="s">
        <v>24</v>
      </c>
      <c r="F443">
        <v>8170</v>
      </c>
      <c r="G443">
        <v>13</v>
      </c>
      <c r="H443">
        <v>6070.2</v>
      </c>
    </row>
    <row r="444" spans="1:8" x14ac:dyDescent="0.3">
      <c r="A444" t="s">
        <v>477</v>
      </c>
      <c r="B444" t="s">
        <v>44</v>
      </c>
      <c r="C444" t="s">
        <v>10</v>
      </c>
      <c r="D444" t="s">
        <v>17</v>
      </c>
      <c r="E444" t="s">
        <v>22</v>
      </c>
      <c r="F444">
        <v>43345</v>
      </c>
      <c r="G444">
        <v>12</v>
      </c>
      <c r="H444">
        <v>29369.439999999999</v>
      </c>
    </row>
    <row r="445" spans="1:8" x14ac:dyDescent="0.3">
      <c r="A445" t="s">
        <v>478</v>
      </c>
      <c r="B445" t="s">
        <v>19</v>
      </c>
      <c r="C445" t="s">
        <v>20</v>
      </c>
      <c r="D445" t="s">
        <v>21</v>
      </c>
      <c r="E445" t="s">
        <v>54</v>
      </c>
      <c r="F445">
        <v>121145</v>
      </c>
      <c r="G445">
        <v>3</v>
      </c>
      <c r="H445">
        <v>85730.82</v>
      </c>
    </row>
    <row r="446" spans="1:8" x14ac:dyDescent="0.3">
      <c r="A446" t="s">
        <v>479</v>
      </c>
      <c r="B446" t="s">
        <v>38</v>
      </c>
      <c r="C446" t="s">
        <v>20</v>
      </c>
      <c r="D446" t="s">
        <v>11</v>
      </c>
      <c r="E446" t="s">
        <v>35</v>
      </c>
      <c r="F446">
        <v>97198</v>
      </c>
      <c r="G446">
        <v>7</v>
      </c>
      <c r="H446">
        <v>58969.2</v>
      </c>
    </row>
    <row r="447" spans="1:8" x14ac:dyDescent="0.3">
      <c r="A447" t="s">
        <v>480</v>
      </c>
      <c r="B447" t="s">
        <v>9</v>
      </c>
      <c r="C447" t="s">
        <v>10</v>
      </c>
      <c r="D447" t="s">
        <v>14</v>
      </c>
      <c r="E447" t="s">
        <v>28</v>
      </c>
      <c r="F447">
        <v>52304</v>
      </c>
      <c r="G447">
        <v>1</v>
      </c>
      <c r="H447">
        <v>38301.4</v>
      </c>
    </row>
    <row r="448" spans="1:8" x14ac:dyDescent="0.3">
      <c r="A448" t="s">
        <v>481</v>
      </c>
      <c r="B448" t="s">
        <v>34</v>
      </c>
      <c r="C448" t="s">
        <v>10</v>
      </c>
      <c r="D448" t="s">
        <v>17</v>
      </c>
      <c r="E448" t="s">
        <v>15</v>
      </c>
      <c r="F448">
        <v>76521</v>
      </c>
      <c r="G448">
        <v>11</v>
      </c>
      <c r="H448">
        <v>52235.15</v>
      </c>
    </row>
    <row r="449" spans="1:8" x14ac:dyDescent="0.3">
      <c r="A449" t="s">
        <v>482</v>
      </c>
      <c r="B449" t="s">
        <v>44</v>
      </c>
      <c r="C449" t="s">
        <v>10</v>
      </c>
      <c r="D449" t="s">
        <v>21</v>
      </c>
      <c r="E449" t="s">
        <v>35</v>
      </c>
      <c r="F449">
        <v>138701</v>
      </c>
      <c r="G449">
        <v>10</v>
      </c>
      <c r="H449">
        <v>101116.75</v>
      </c>
    </row>
    <row r="450" spans="1:8" x14ac:dyDescent="0.3">
      <c r="A450" t="s">
        <v>483</v>
      </c>
      <c r="B450" t="s">
        <v>75</v>
      </c>
      <c r="C450" t="s">
        <v>27</v>
      </c>
      <c r="D450" t="s">
        <v>11</v>
      </c>
      <c r="E450" t="s">
        <v>35</v>
      </c>
      <c r="F450">
        <v>69654</v>
      </c>
      <c r="G450">
        <v>12</v>
      </c>
      <c r="H450">
        <v>51718.63</v>
      </c>
    </row>
    <row r="451" spans="1:8" x14ac:dyDescent="0.3">
      <c r="A451" t="s">
        <v>484</v>
      </c>
      <c r="B451" t="s">
        <v>19</v>
      </c>
      <c r="C451" t="s">
        <v>20</v>
      </c>
      <c r="D451" t="s">
        <v>14</v>
      </c>
      <c r="E451" t="s">
        <v>52</v>
      </c>
      <c r="F451">
        <v>110852</v>
      </c>
      <c r="G451">
        <v>15</v>
      </c>
      <c r="H451">
        <v>77709.929999999993</v>
      </c>
    </row>
    <row r="452" spans="1:8" x14ac:dyDescent="0.3">
      <c r="A452" t="s">
        <v>485</v>
      </c>
      <c r="B452" t="s">
        <v>44</v>
      </c>
      <c r="C452" t="s">
        <v>10</v>
      </c>
      <c r="D452" t="s">
        <v>17</v>
      </c>
      <c r="E452" t="s">
        <v>71</v>
      </c>
      <c r="F452">
        <v>16599</v>
      </c>
      <c r="G452">
        <v>3</v>
      </c>
      <c r="H452">
        <v>10776.78</v>
      </c>
    </row>
    <row r="453" spans="1:8" x14ac:dyDescent="0.3">
      <c r="A453" t="s">
        <v>486</v>
      </c>
      <c r="B453" t="s">
        <v>26</v>
      </c>
      <c r="C453" t="s">
        <v>27</v>
      </c>
      <c r="D453" t="s">
        <v>21</v>
      </c>
      <c r="E453" t="s">
        <v>35</v>
      </c>
      <c r="F453">
        <v>64971</v>
      </c>
      <c r="G453">
        <v>6</v>
      </c>
      <c r="H453">
        <v>44078.04</v>
      </c>
    </row>
    <row r="454" spans="1:8" x14ac:dyDescent="0.3">
      <c r="A454" t="s">
        <v>487</v>
      </c>
      <c r="B454" t="s">
        <v>44</v>
      </c>
      <c r="C454" t="s">
        <v>10</v>
      </c>
      <c r="D454" t="s">
        <v>11</v>
      </c>
      <c r="E454" t="s">
        <v>35</v>
      </c>
      <c r="F454">
        <v>16384</v>
      </c>
      <c r="G454">
        <v>1</v>
      </c>
      <c r="H454">
        <v>10138.709999999999</v>
      </c>
    </row>
    <row r="455" spans="1:8" x14ac:dyDescent="0.3">
      <c r="A455" t="s">
        <v>488</v>
      </c>
      <c r="B455" t="s">
        <v>26</v>
      </c>
      <c r="C455" t="s">
        <v>27</v>
      </c>
      <c r="D455" t="s">
        <v>14</v>
      </c>
      <c r="E455" t="s">
        <v>40</v>
      </c>
      <c r="F455">
        <v>136646</v>
      </c>
      <c r="G455">
        <v>8</v>
      </c>
      <c r="H455">
        <v>88756.17</v>
      </c>
    </row>
    <row r="456" spans="1:8" x14ac:dyDescent="0.3">
      <c r="A456" t="s">
        <v>489</v>
      </c>
      <c r="B456" t="s">
        <v>44</v>
      </c>
      <c r="C456" t="s">
        <v>10</v>
      </c>
      <c r="D456" t="s">
        <v>17</v>
      </c>
      <c r="E456" t="s">
        <v>28</v>
      </c>
      <c r="F456">
        <v>25577</v>
      </c>
      <c r="G456">
        <v>4</v>
      </c>
      <c r="H456">
        <v>15899.58</v>
      </c>
    </row>
    <row r="457" spans="1:8" x14ac:dyDescent="0.3">
      <c r="A457" t="s">
        <v>490</v>
      </c>
      <c r="B457" t="s">
        <v>75</v>
      </c>
      <c r="C457" t="s">
        <v>27</v>
      </c>
      <c r="D457" t="s">
        <v>21</v>
      </c>
      <c r="E457" t="s">
        <v>24</v>
      </c>
      <c r="F457">
        <v>123085</v>
      </c>
      <c r="G457">
        <v>14</v>
      </c>
      <c r="H457">
        <v>88964.38</v>
      </c>
    </row>
    <row r="458" spans="1:8" x14ac:dyDescent="0.3">
      <c r="A458" t="s">
        <v>491</v>
      </c>
      <c r="B458" t="s">
        <v>9</v>
      </c>
      <c r="C458" t="s">
        <v>10</v>
      </c>
      <c r="D458" t="s">
        <v>11</v>
      </c>
      <c r="E458" t="s">
        <v>35</v>
      </c>
      <c r="F458">
        <v>20354</v>
      </c>
      <c r="G458">
        <v>7</v>
      </c>
      <c r="H458">
        <v>14619.46</v>
      </c>
    </row>
    <row r="459" spans="1:8" x14ac:dyDescent="0.3">
      <c r="A459" t="s">
        <v>492</v>
      </c>
      <c r="B459" t="s">
        <v>9</v>
      </c>
      <c r="C459" t="s">
        <v>10</v>
      </c>
      <c r="D459" t="s">
        <v>14</v>
      </c>
      <c r="E459" t="s">
        <v>28</v>
      </c>
      <c r="F459">
        <v>140908</v>
      </c>
      <c r="G459">
        <v>9</v>
      </c>
      <c r="H459">
        <v>91849.41</v>
      </c>
    </row>
    <row r="460" spans="1:8" x14ac:dyDescent="0.3">
      <c r="A460" t="s">
        <v>493</v>
      </c>
      <c r="B460" t="s">
        <v>75</v>
      </c>
      <c r="C460" t="s">
        <v>27</v>
      </c>
      <c r="D460" t="s">
        <v>17</v>
      </c>
      <c r="E460" t="s">
        <v>15</v>
      </c>
      <c r="F460">
        <v>94773</v>
      </c>
      <c r="G460">
        <v>1</v>
      </c>
      <c r="H460">
        <v>66962.89</v>
      </c>
    </row>
    <row r="461" spans="1:8" x14ac:dyDescent="0.3">
      <c r="A461" t="s">
        <v>494</v>
      </c>
      <c r="B461" t="s">
        <v>38</v>
      </c>
      <c r="C461" t="s">
        <v>20</v>
      </c>
      <c r="D461" t="s">
        <v>21</v>
      </c>
      <c r="E461" t="s">
        <v>15</v>
      </c>
      <c r="F461">
        <v>59454</v>
      </c>
      <c r="G461">
        <v>3</v>
      </c>
      <c r="H461">
        <v>43393.18</v>
      </c>
    </row>
    <row r="462" spans="1:8" x14ac:dyDescent="0.3">
      <c r="A462" t="s">
        <v>495</v>
      </c>
      <c r="B462" t="s">
        <v>34</v>
      </c>
      <c r="C462" t="s">
        <v>10</v>
      </c>
      <c r="D462" t="s">
        <v>11</v>
      </c>
      <c r="E462" t="s">
        <v>48</v>
      </c>
      <c r="F462">
        <v>102321</v>
      </c>
      <c r="G462">
        <v>11</v>
      </c>
      <c r="H462">
        <v>63274.97</v>
      </c>
    </row>
    <row r="463" spans="1:8" x14ac:dyDescent="0.3">
      <c r="A463" t="s">
        <v>496</v>
      </c>
      <c r="B463" t="s">
        <v>38</v>
      </c>
      <c r="C463" t="s">
        <v>20</v>
      </c>
      <c r="D463" t="s">
        <v>14</v>
      </c>
      <c r="E463" t="s">
        <v>35</v>
      </c>
      <c r="F463">
        <v>40424</v>
      </c>
      <c r="G463">
        <v>15</v>
      </c>
      <c r="H463">
        <v>28201.43</v>
      </c>
    </row>
    <row r="464" spans="1:8" x14ac:dyDescent="0.3">
      <c r="A464" t="s">
        <v>497</v>
      </c>
      <c r="B464" t="s">
        <v>9</v>
      </c>
      <c r="C464" t="s">
        <v>10</v>
      </c>
      <c r="D464" t="s">
        <v>17</v>
      </c>
      <c r="E464" t="s">
        <v>35</v>
      </c>
      <c r="F464">
        <v>130931</v>
      </c>
      <c r="G464">
        <v>3</v>
      </c>
      <c r="H464">
        <v>98182.55</v>
      </c>
    </row>
    <row r="465" spans="1:8" x14ac:dyDescent="0.3">
      <c r="A465" t="s">
        <v>498</v>
      </c>
      <c r="B465" t="s">
        <v>38</v>
      </c>
      <c r="C465" t="s">
        <v>20</v>
      </c>
      <c r="D465" t="s">
        <v>21</v>
      </c>
      <c r="E465" t="s">
        <v>52</v>
      </c>
      <c r="F465">
        <v>21044</v>
      </c>
      <c r="G465">
        <v>11</v>
      </c>
      <c r="H465">
        <v>14655.4</v>
      </c>
    </row>
    <row r="466" spans="1:8" x14ac:dyDescent="0.3">
      <c r="A466" t="s">
        <v>499</v>
      </c>
      <c r="B466" t="s">
        <v>9</v>
      </c>
      <c r="C466" t="s">
        <v>10</v>
      </c>
      <c r="D466" t="s">
        <v>11</v>
      </c>
      <c r="E466" t="s">
        <v>35</v>
      </c>
      <c r="F466">
        <v>35871</v>
      </c>
      <c r="G466">
        <v>12</v>
      </c>
      <c r="H466">
        <v>23310.07</v>
      </c>
    </row>
    <row r="467" spans="1:8" x14ac:dyDescent="0.3">
      <c r="A467" t="s">
        <v>500</v>
      </c>
      <c r="B467" t="s">
        <v>26</v>
      </c>
      <c r="C467" t="s">
        <v>27</v>
      </c>
      <c r="D467" t="s">
        <v>14</v>
      </c>
      <c r="E467" t="s">
        <v>15</v>
      </c>
      <c r="F467">
        <v>140234</v>
      </c>
      <c r="G467">
        <v>4</v>
      </c>
      <c r="H467">
        <v>89904.72</v>
      </c>
    </row>
    <row r="468" spans="1:8" x14ac:dyDescent="0.3">
      <c r="A468" t="s">
        <v>501</v>
      </c>
      <c r="B468" t="s">
        <v>44</v>
      </c>
      <c r="C468" t="s">
        <v>10</v>
      </c>
      <c r="D468" t="s">
        <v>17</v>
      </c>
      <c r="E468" t="s">
        <v>52</v>
      </c>
      <c r="F468">
        <v>52439</v>
      </c>
      <c r="G468">
        <v>4</v>
      </c>
      <c r="H468">
        <v>33166.17</v>
      </c>
    </row>
    <row r="469" spans="1:8" x14ac:dyDescent="0.3">
      <c r="A469" t="s">
        <v>502</v>
      </c>
      <c r="B469" t="s">
        <v>75</v>
      </c>
      <c r="C469" t="s">
        <v>27</v>
      </c>
      <c r="D469" t="s">
        <v>21</v>
      </c>
      <c r="E469" t="s">
        <v>15</v>
      </c>
      <c r="F469">
        <v>112276</v>
      </c>
      <c r="G469">
        <v>14</v>
      </c>
      <c r="H469">
        <v>77225.289999999994</v>
      </c>
    </row>
    <row r="470" spans="1:8" x14ac:dyDescent="0.3">
      <c r="A470" t="s">
        <v>503</v>
      </c>
      <c r="B470" t="s">
        <v>75</v>
      </c>
      <c r="C470" t="s">
        <v>27</v>
      </c>
      <c r="D470" t="s">
        <v>11</v>
      </c>
      <c r="E470" t="s">
        <v>12</v>
      </c>
      <c r="F470">
        <v>61944</v>
      </c>
      <c r="G470">
        <v>15</v>
      </c>
      <c r="H470">
        <v>37270.11</v>
      </c>
    </row>
    <row r="471" spans="1:8" x14ac:dyDescent="0.3">
      <c r="A471" t="s">
        <v>504</v>
      </c>
      <c r="B471" t="s">
        <v>44</v>
      </c>
      <c r="C471" t="s">
        <v>10</v>
      </c>
      <c r="D471" t="s">
        <v>14</v>
      </c>
      <c r="E471" t="s">
        <v>48</v>
      </c>
      <c r="F471">
        <v>134555</v>
      </c>
      <c r="G471">
        <v>9</v>
      </c>
      <c r="H471">
        <v>96783.87</v>
      </c>
    </row>
    <row r="472" spans="1:8" x14ac:dyDescent="0.3">
      <c r="A472" t="s">
        <v>505</v>
      </c>
      <c r="B472" t="s">
        <v>19</v>
      </c>
      <c r="C472" t="s">
        <v>20</v>
      </c>
      <c r="D472" t="s">
        <v>17</v>
      </c>
      <c r="E472" t="s">
        <v>22</v>
      </c>
      <c r="F472">
        <v>71567</v>
      </c>
      <c r="G472">
        <v>13</v>
      </c>
      <c r="H472">
        <v>45494</v>
      </c>
    </row>
    <row r="473" spans="1:8" x14ac:dyDescent="0.3">
      <c r="A473" t="s">
        <v>506</v>
      </c>
      <c r="B473" t="s">
        <v>38</v>
      </c>
      <c r="C473" t="s">
        <v>20</v>
      </c>
      <c r="D473" t="s">
        <v>21</v>
      </c>
      <c r="E473" t="s">
        <v>22</v>
      </c>
      <c r="F473">
        <v>7533</v>
      </c>
      <c r="G473">
        <v>13</v>
      </c>
      <c r="H473">
        <v>4607.16</v>
      </c>
    </row>
    <row r="474" spans="1:8" x14ac:dyDescent="0.3">
      <c r="A474" t="s">
        <v>507</v>
      </c>
      <c r="B474" t="s">
        <v>34</v>
      </c>
      <c r="C474" t="s">
        <v>10</v>
      </c>
      <c r="D474" t="s">
        <v>11</v>
      </c>
      <c r="E474" t="s">
        <v>54</v>
      </c>
      <c r="F474">
        <v>53331</v>
      </c>
      <c r="G474">
        <v>1</v>
      </c>
      <c r="H474">
        <v>37969.160000000003</v>
      </c>
    </row>
    <row r="475" spans="1:8" x14ac:dyDescent="0.3">
      <c r="A475" t="s">
        <v>508</v>
      </c>
      <c r="B475" t="s">
        <v>44</v>
      </c>
      <c r="C475" t="s">
        <v>10</v>
      </c>
      <c r="D475" t="s">
        <v>14</v>
      </c>
      <c r="E475" t="s">
        <v>52</v>
      </c>
      <c r="F475">
        <v>123569</v>
      </c>
      <c r="G475">
        <v>14</v>
      </c>
      <c r="H475">
        <v>75035.14</v>
      </c>
    </row>
    <row r="476" spans="1:8" x14ac:dyDescent="0.3">
      <c r="A476" t="s">
        <v>509</v>
      </c>
      <c r="B476" t="s">
        <v>9</v>
      </c>
      <c r="C476" t="s">
        <v>10</v>
      </c>
      <c r="D476" t="s">
        <v>17</v>
      </c>
      <c r="E476" t="s">
        <v>54</v>
      </c>
      <c r="F476">
        <v>63659</v>
      </c>
      <c r="G476">
        <v>1</v>
      </c>
      <c r="H476">
        <v>41458.46</v>
      </c>
    </row>
    <row r="477" spans="1:8" x14ac:dyDescent="0.3">
      <c r="A477" t="s">
        <v>510</v>
      </c>
      <c r="B477" t="s">
        <v>75</v>
      </c>
      <c r="C477" t="s">
        <v>27</v>
      </c>
      <c r="D477" t="s">
        <v>21</v>
      </c>
      <c r="E477" t="s">
        <v>54</v>
      </c>
      <c r="F477">
        <v>16434</v>
      </c>
      <c r="G477">
        <v>9</v>
      </c>
      <c r="H477">
        <v>11679.1</v>
      </c>
    </row>
    <row r="478" spans="1:8" x14ac:dyDescent="0.3">
      <c r="A478" t="s">
        <v>511</v>
      </c>
      <c r="B478" t="s">
        <v>26</v>
      </c>
      <c r="C478" t="s">
        <v>27</v>
      </c>
      <c r="D478" t="s">
        <v>11</v>
      </c>
      <c r="E478" t="s">
        <v>35</v>
      </c>
      <c r="F478">
        <v>35258</v>
      </c>
      <c r="G478">
        <v>4</v>
      </c>
      <c r="H478">
        <v>24279.37</v>
      </c>
    </row>
    <row r="479" spans="1:8" x14ac:dyDescent="0.3">
      <c r="A479" t="s">
        <v>512</v>
      </c>
      <c r="B479" t="s">
        <v>26</v>
      </c>
      <c r="C479" t="s">
        <v>27</v>
      </c>
      <c r="D479" t="s">
        <v>14</v>
      </c>
      <c r="E479" t="s">
        <v>35</v>
      </c>
      <c r="F479">
        <v>70356</v>
      </c>
      <c r="G479">
        <v>1</v>
      </c>
      <c r="H479">
        <v>49877.32</v>
      </c>
    </row>
    <row r="480" spans="1:8" x14ac:dyDescent="0.3">
      <c r="A480" t="s">
        <v>513</v>
      </c>
      <c r="B480" t="s">
        <v>75</v>
      </c>
      <c r="C480" t="s">
        <v>27</v>
      </c>
      <c r="D480" t="s">
        <v>17</v>
      </c>
      <c r="E480" t="s">
        <v>24</v>
      </c>
      <c r="F480">
        <v>137488</v>
      </c>
      <c r="G480">
        <v>12</v>
      </c>
      <c r="H480">
        <v>93479.21</v>
      </c>
    </row>
    <row r="481" spans="1:8" x14ac:dyDescent="0.3">
      <c r="A481" t="s">
        <v>514</v>
      </c>
      <c r="B481" t="s">
        <v>19</v>
      </c>
      <c r="C481" t="s">
        <v>20</v>
      </c>
      <c r="D481" t="s">
        <v>21</v>
      </c>
      <c r="E481" t="s">
        <v>40</v>
      </c>
      <c r="F481">
        <v>65462</v>
      </c>
      <c r="G481">
        <v>2</v>
      </c>
      <c r="H481">
        <v>46245.35</v>
      </c>
    </row>
    <row r="482" spans="1:8" x14ac:dyDescent="0.3">
      <c r="A482" t="s">
        <v>515</v>
      </c>
      <c r="B482" t="s">
        <v>9</v>
      </c>
      <c r="C482" t="s">
        <v>10</v>
      </c>
      <c r="D482" t="s">
        <v>11</v>
      </c>
      <c r="E482" t="s">
        <v>12</v>
      </c>
      <c r="F482">
        <v>144537</v>
      </c>
      <c r="G482">
        <v>5</v>
      </c>
      <c r="H482">
        <v>95859.9</v>
      </c>
    </row>
    <row r="483" spans="1:8" x14ac:dyDescent="0.3">
      <c r="A483" t="s">
        <v>516</v>
      </c>
      <c r="B483" t="s">
        <v>26</v>
      </c>
      <c r="C483" t="s">
        <v>27</v>
      </c>
      <c r="D483" t="s">
        <v>14</v>
      </c>
      <c r="E483" t="s">
        <v>48</v>
      </c>
      <c r="F483">
        <v>109840</v>
      </c>
      <c r="G483">
        <v>12</v>
      </c>
      <c r="H483">
        <v>79745.149999999994</v>
      </c>
    </row>
    <row r="484" spans="1:8" x14ac:dyDescent="0.3">
      <c r="A484" t="s">
        <v>517</v>
      </c>
      <c r="B484" t="s">
        <v>26</v>
      </c>
      <c r="C484" t="s">
        <v>27</v>
      </c>
      <c r="D484" t="s">
        <v>17</v>
      </c>
      <c r="E484" t="s">
        <v>24</v>
      </c>
      <c r="F484">
        <v>57603</v>
      </c>
      <c r="G484">
        <v>6</v>
      </c>
      <c r="H484">
        <v>41712.33</v>
      </c>
    </row>
    <row r="485" spans="1:8" x14ac:dyDescent="0.3">
      <c r="A485" t="s">
        <v>518</v>
      </c>
      <c r="B485" t="s">
        <v>19</v>
      </c>
      <c r="C485" t="s">
        <v>20</v>
      </c>
      <c r="D485" t="s">
        <v>21</v>
      </c>
      <c r="E485" t="s">
        <v>35</v>
      </c>
      <c r="F485">
        <v>140229</v>
      </c>
      <c r="G485">
        <v>4</v>
      </c>
      <c r="H485">
        <v>87504.29</v>
      </c>
    </row>
    <row r="486" spans="1:8" x14ac:dyDescent="0.3">
      <c r="A486" t="s">
        <v>519</v>
      </c>
      <c r="B486" t="s">
        <v>31</v>
      </c>
      <c r="C486" t="s">
        <v>27</v>
      </c>
      <c r="D486" t="s">
        <v>11</v>
      </c>
      <c r="E486" t="s">
        <v>71</v>
      </c>
      <c r="F486">
        <v>15319</v>
      </c>
      <c r="G486">
        <v>1</v>
      </c>
      <c r="H486">
        <v>10488.07</v>
      </c>
    </row>
    <row r="487" spans="1:8" x14ac:dyDescent="0.3">
      <c r="A487" t="s">
        <v>520</v>
      </c>
      <c r="B487" t="s">
        <v>75</v>
      </c>
      <c r="C487" t="s">
        <v>27</v>
      </c>
      <c r="D487" t="s">
        <v>14</v>
      </c>
      <c r="E487" t="s">
        <v>54</v>
      </c>
      <c r="F487">
        <v>20214</v>
      </c>
      <c r="G487">
        <v>7</v>
      </c>
      <c r="H487">
        <v>14771.92</v>
      </c>
    </row>
    <row r="488" spans="1:8" x14ac:dyDescent="0.3">
      <c r="A488" t="s">
        <v>521</v>
      </c>
      <c r="B488" t="s">
        <v>44</v>
      </c>
      <c r="C488" t="s">
        <v>10</v>
      </c>
      <c r="D488" t="s">
        <v>17</v>
      </c>
      <c r="E488" t="s">
        <v>12</v>
      </c>
      <c r="F488">
        <v>59982</v>
      </c>
      <c r="G488">
        <v>12</v>
      </c>
      <c r="H488">
        <v>41374.400000000001</v>
      </c>
    </row>
    <row r="489" spans="1:8" x14ac:dyDescent="0.3">
      <c r="A489" t="s">
        <v>522</v>
      </c>
      <c r="B489" t="s">
        <v>26</v>
      </c>
      <c r="C489" t="s">
        <v>27</v>
      </c>
      <c r="D489" t="s">
        <v>21</v>
      </c>
      <c r="E489" t="s">
        <v>40</v>
      </c>
      <c r="F489">
        <v>117425</v>
      </c>
      <c r="G489">
        <v>5</v>
      </c>
      <c r="H489">
        <v>80955.8</v>
      </c>
    </row>
    <row r="490" spans="1:8" x14ac:dyDescent="0.3">
      <c r="A490" t="s">
        <v>523</v>
      </c>
      <c r="B490" t="s">
        <v>31</v>
      </c>
      <c r="C490" t="s">
        <v>27</v>
      </c>
      <c r="D490" t="s">
        <v>11</v>
      </c>
      <c r="E490" t="s">
        <v>48</v>
      </c>
      <c r="F490">
        <v>106980</v>
      </c>
      <c r="G490">
        <v>14</v>
      </c>
      <c r="H490">
        <v>67349.740000000005</v>
      </c>
    </row>
    <row r="491" spans="1:8" x14ac:dyDescent="0.3">
      <c r="A491" t="s">
        <v>524</v>
      </c>
      <c r="B491" t="s">
        <v>34</v>
      </c>
      <c r="C491" t="s">
        <v>10</v>
      </c>
      <c r="D491" t="s">
        <v>14</v>
      </c>
      <c r="E491" t="s">
        <v>71</v>
      </c>
      <c r="F491">
        <v>88741</v>
      </c>
      <c r="G491">
        <v>6</v>
      </c>
      <c r="H491">
        <v>56916.47</v>
      </c>
    </row>
    <row r="492" spans="1:8" x14ac:dyDescent="0.3">
      <c r="A492" t="s">
        <v>525</v>
      </c>
      <c r="B492" t="s">
        <v>38</v>
      </c>
      <c r="C492" t="s">
        <v>20</v>
      </c>
      <c r="D492" t="s">
        <v>17</v>
      </c>
      <c r="E492" t="s">
        <v>52</v>
      </c>
      <c r="F492">
        <v>91034</v>
      </c>
      <c r="G492">
        <v>8</v>
      </c>
      <c r="H492">
        <v>56516.66</v>
      </c>
    </row>
    <row r="493" spans="1:8" x14ac:dyDescent="0.3">
      <c r="A493" t="s">
        <v>526</v>
      </c>
      <c r="B493" t="s">
        <v>26</v>
      </c>
      <c r="C493" t="s">
        <v>27</v>
      </c>
      <c r="D493" t="s">
        <v>21</v>
      </c>
      <c r="E493" t="s">
        <v>12</v>
      </c>
      <c r="F493">
        <v>29764</v>
      </c>
      <c r="G493">
        <v>11</v>
      </c>
      <c r="H493">
        <v>21549.21</v>
      </c>
    </row>
    <row r="494" spans="1:8" x14ac:dyDescent="0.3">
      <c r="A494" t="s">
        <v>527</v>
      </c>
      <c r="B494" t="s">
        <v>75</v>
      </c>
      <c r="C494" t="s">
        <v>27</v>
      </c>
      <c r="D494" t="s">
        <v>11</v>
      </c>
      <c r="E494" t="s">
        <v>35</v>
      </c>
      <c r="F494">
        <v>35708</v>
      </c>
      <c r="G494">
        <v>2</v>
      </c>
      <c r="H494">
        <v>26298.15</v>
      </c>
    </row>
    <row r="495" spans="1:8" x14ac:dyDescent="0.3">
      <c r="A495" t="s">
        <v>528</v>
      </c>
      <c r="B495" t="s">
        <v>26</v>
      </c>
      <c r="C495" t="s">
        <v>27</v>
      </c>
      <c r="D495" t="s">
        <v>14</v>
      </c>
      <c r="E495" t="s">
        <v>71</v>
      </c>
      <c r="F495">
        <v>22946</v>
      </c>
      <c r="G495">
        <v>9</v>
      </c>
      <c r="H495">
        <v>15692.66</v>
      </c>
    </row>
    <row r="496" spans="1:8" x14ac:dyDescent="0.3">
      <c r="A496" t="s">
        <v>529</v>
      </c>
      <c r="B496" t="s">
        <v>44</v>
      </c>
      <c r="C496" t="s">
        <v>10</v>
      </c>
      <c r="D496" t="s">
        <v>17</v>
      </c>
      <c r="E496" t="s">
        <v>40</v>
      </c>
      <c r="F496">
        <v>47246</v>
      </c>
      <c r="G496">
        <v>8</v>
      </c>
      <c r="H496">
        <v>31467.52</v>
      </c>
    </row>
    <row r="497" spans="1:8" x14ac:dyDescent="0.3">
      <c r="A497" t="s">
        <v>530</v>
      </c>
      <c r="B497" t="s">
        <v>38</v>
      </c>
      <c r="C497" t="s">
        <v>20</v>
      </c>
      <c r="D497" t="s">
        <v>21</v>
      </c>
      <c r="E497" t="s">
        <v>52</v>
      </c>
      <c r="F497">
        <v>37031</v>
      </c>
      <c r="G497">
        <v>6</v>
      </c>
      <c r="H497">
        <v>25456.16</v>
      </c>
    </row>
    <row r="498" spans="1:8" x14ac:dyDescent="0.3">
      <c r="A498" t="s">
        <v>531</v>
      </c>
      <c r="B498" t="s">
        <v>31</v>
      </c>
      <c r="C498" t="s">
        <v>27</v>
      </c>
      <c r="D498" t="s">
        <v>11</v>
      </c>
      <c r="E498" t="s">
        <v>24</v>
      </c>
      <c r="F498">
        <v>118058</v>
      </c>
      <c r="G498">
        <v>12</v>
      </c>
      <c r="H498">
        <v>86655.58</v>
      </c>
    </row>
    <row r="499" spans="1:8" x14ac:dyDescent="0.3">
      <c r="A499" t="s">
        <v>532</v>
      </c>
      <c r="B499" t="s">
        <v>26</v>
      </c>
      <c r="C499" t="s">
        <v>27</v>
      </c>
      <c r="D499" t="s">
        <v>14</v>
      </c>
      <c r="E499" t="s">
        <v>12</v>
      </c>
      <c r="F499">
        <v>142910</v>
      </c>
      <c r="G499">
        <v>15</v>
      </c>
      <c r="H499">
        <v>106372.09</v>
      </c>
    </row>
    <row r="500" spans="1:8" x14ac:dyDescent="0.3">
      <c r="A500" t="s">
        <v>533</v>
      </c>
      <c r="B500" t="s">
        <v>9</v>
      </c>
      <c r="C500" t="s">
        <v>10</v>
      </c>
      <c r="D500" t="s">
        <v>17</v>
      </c>
      <c r="E500" t="s">
        <v>15</v>
      </c>
      <c r="F500">
        <v>110325</v>
      </c>
      <c r="G500">
        <v>8</v>
      </c>
      <c r="H500">
        <v>79615.73</v>
      </c>
    </row>
    <row r="501" spans="1:8" x14ac:dyDescent="0.3">
      <c r="A501" t="s">
        <v>534</v>
      </c>
      <c r="B501" t="s">
        <v>75</v>
      </c>
      <c r="C501" t="s">
        <v>27</v>
      </c>
      <c r="D501" t="s">
        <v>21</v>
      </c>
      <c r="E501" t="s">
        <v>71</v>
      </c>
      <c r="F501">
        <v>130327</v>
      </c>
      <c r="G501">
        <v>15</v>
      </c>
      <c r="H501">
        <v>91928.02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F54FB-F738-42C4-A195-E67AE79AF315}">
  <dimension ref="A1:AD502"/>
  <sheetViews>
    <sheetView showGridLines="0" tabSelected="1" workbookViewId="0">
      <selection activeCell="I6" sqref="I6"/>
    </sheetView>
  </sheetViews>
  <sheetFormatPr defaultRowHeight="14.4" x14ac:dyDescent="0.3"/>
  <cols>
    <col min="1" max="1" width="8.6640625" bestFit="1" customWidth="1"/>
    <col min="2" max="2" width="11.77734375" bestFit="1" customWidth="1"/>
    <col min="3" max="3" width="11" bestFit="1" customWidth="1"/>
    <col min="4" max="4" width="6.88671875" bestFit="1" customWidth="1"/>
    <col min="5" max="5" width="9.21875" bestFit="1" customWidth="1"/>
    <col min="6" max="6" width="13.44140625" bestFit="1" customWidth="1"/>
    <col min="7" max="7" width="10.21875" bestFit="1" customWidth="1"/>
    <col min="8" max="8" width="12.77734375" bestFit="1" customWidth="1"/>
    <col min="9" max="9" width="27.77734375" customWidth="1"/>
    <col min="10" max="10" width="16.77734375" bestFit="1" customWidth="1"/>
    <col min="11" max="11" width="7.6640625" bestFit="1" customWidth="1"/>
    <col min="12" max="12" width="10.21875" bestFit="1" customWidth="1"/>
    <col min="13" max="13" width="6.88671875" bestFit="1" customWidth="1"/>
    <col min="14" max="14" width="9.21875" bestFit="1" customWidth="1"/>
    <col min="15" max="15" width="13.44140625" bestFit="1" customWidth="1"/>
    <col min="16" max="16" width="10.21875" bestFit="1" customWidth="1"/>
    <col min="17" max="17" width="12.77734375" bestFit="1" customWidth="1"/>
    <col min="18" max="18" width="8.88671875" hidden="1" customWidth="1"/>
    <col min="19" max="19" width="22.33203125" bestFit="1" customWidth="1"/>
    <col min="20" max="20" width="11.77734375" bestFit="1" customWidth="1"/>
    <col min="21" max="21" width="11" bestFit="1" customWidth="1"/>
    <col min="22" max="22" width="6.88671875" bestFit="1" customWidth="1"/>
    <col min="23" max="23" width="9.21875" bestFit="1" customWidth="1"/>
    <col min="24" max="24" width="13.44140625" bestFit="1" customWidth="1"/>
    <col min="25" max="25" width="10.21875" bestFit="1" customWidth="1"/>
    <col min="26" max="26" width="12.77734375" bestFit="1" customWidth="1"/>
    <col min="27" max="27" width="23.33203125" customWidth="1"/>
    <col min="28" max="28" width="18" bestFit="1" customWidth="1"/>
    <col min="30" max="30" width="13.33203125" bestFit="1" customWidth="1"/>
  </cols>
  <sheetData>
    <row r="1" spans="1:30" x14ac:dyDescent="0.3">
      <c r="A1" s="3" t="str" cm="1">
        <f t="array" ref="A1:H1">SalesTable[#Headers]</f>
        <v>OrderID</v>
      </c>
      <c r="B1" s="3" t="str">
        <v>Product</v>
      </c>
      <c r="C1" s="3" t="str">
        <v>Category</v>
      </c>
      <c r="D1" s="3" t="str">
        <v>Region</v>
      </c>
      <c r="E1" s="3" t="str">
        <v>Month</v>
      </c>
      <c r="F1" s="3" t="str">
        <v>Sales_Amount</v>
      </c>
      <c r="G1" s="3" t="str">
        <v>Units_Sold</v>
      </c>
      <c r="H1" s="3" t="str">
        <v>Cost_Amount</v>
      </c>
      <c r="J1" s="2" t="s">
        <v>535</v>
      </c>
      <c r="S1" s="1" t="s">
        <v>536</v>
      </c>
      <c r="AB1" s="2" t="s">
        <v>537</v>
      </c>
      <c r="AD1" s="2"/>
    </row>
    <row r="2" spans="1:30" x14ac:dyDescent="0.3">
      <c r="A2" s="4" t="str" cm="1">
        <f t="array" ref="A2:H377">_xlfn._xlws.FILTER(SalesTable[],SalesTable[Sales_Amount]&gt;50000)</f>
        <v>ORD0001</v>
      </c>
      <c r="B2" s="4" t="str">
        <v>Headphones</v>
      </c>
      <c r="C2" s="4" t="str">
        <v>Accessories</v>
      </c>
      <c r="D2" s="4" t="str">
        <v>North</v>
      </c>
      <c r="E2" s="4" t="str">
        <v>Mar-2025</v>
      </c>
      <c r="F2" s="4">
        <v>53800</v>
      </c>
      <c r="G2" s="4">
        <v>7</v>
      </c>
      <c r="H2" s="4">
        <v>33237.120000000003</v>
      </c>
      <c r="J2" s="3" t="str" cm="1">
        <f t="array" ref="J2:Q2">SalesTable[#Headers]</f>
        <v>OrderID</v>
      </c>
      <c r="K2" s="3" t="str">
        <v>Product</v>
      </c>
      <c r="L2" s="3" t="str">
        <v>Category</v>
      </c>
      <c r="M2" s="3" t="str">
        <v>Region</v>
      </c>
      <c r="N2" s="3" t="str">
        <v>Month</v>
      </c>
      <c r="O2" s="3" t="str">
        <v>Sales_Amount</v>
      </c>
      <c r="P2" s="3" t="str">
        <v>Units_Sold</v>
      </c>
      <c r="Q2" s="3" t="str">
        <v>Cost_Amount</v>
      </c>
      <c r="S2" s="3" t="str" cm="1">
        <f t="array" ref="S2:Z2">SalesTable[#Headers]</f>
        <v>OrderID</v>
      </c>
      <c r="T2" s="3" t="str">
        <v>Product</v>
      </c>
      <c r="U2" s="3" t="str">
        <v>Category</v>
      </c>
      <c r="V2" s="3" t="str">
        <v>Region</v>
      </c>
      <c r="W2" s="3" t="str">
        <v>Month</v>
      </c>
      <c r="X2" s="3" t="str">
        <v>Sales_Amount</v>
      </c>
      <c r="Y2" s="3" t="str">
        <v>Units_Sold</v>
      </c>
      <c r="Z2" s="3" t="str">
        <v>Cost_Amount</v>
      </c>
      <c r="AB2" s="4" t="str" cm="1">
        <f t="array" ref="AB2:AB5">_xlfn.UNIQUE(SalesTable[Region])</f>
        <v>North</v>
      </c>
      <c r="AD2" s="2" t="s">
        <v>540</v>
      </c>
    </row>
    <row r="3" spans="1:30" x14ac:dyDescent="0.3">
      <c r="A3" s="4" t="str">
        <v>ORD0002</v>
      </c>
      <c r="B3" s="4" t="str">
        <v>Headphones</v>
      </c>
      <c r="C3" s="4" t="str">
        <v>Accessories</v>
      </c>
      <c r="D3" s="4" t="str">
        <v>South</v>
      </c>
      <c r="E3" s="4" t="str">
        <v>Nov-2025</v>
      </c>
      <c r="F3" s="4">
        <v>120418</v>
      </c>
      <c r="G3" s="4">
        <v>3</v>
      </c>
      <c r="H3" s="4">
        <v>88544.53</v>
      </c>
      <c r="J3" s="4" t="str" cm="1">
        <f t="array" ref="J3:Q186">_xlfn._xlws.FILTER(SalesTable[],SalesTable[Category]="Electronics")</f>
        <v>ORD0006</v>
      </c>
      <c r="K3" s="4" t="str">
        <v>Tablet</v>
      </c>
      <c r="L3" s="4" t="str">
        <v>Electronics</v>
      </c>
      <c r="M3" s="4" t="str">
        <v>South</v>
      </c>
      <c r="N3" s="4" t="str">
        <v>Apr-2025</v>
      </c>
      <c r="O3" s="4">
        <v>120493</v>
      </c>
      <c r="P3" s="4">
        <v>8</v>
      </c>
      <c r="Q3" s="4">
        <v>82909.570000000007</v>
      </c>
      <c r="S3" s="4" t="str" cm="1">
        <f t="array" ref="S3:Z502">_xlfn._xlws.SORT(SalesTable[],6,-1)</f>
        <v>ORD0195</v>
      </c>
      <c r="T3" s="4" t="str">
        <v>Headphones</v>
      </c>
      <c r="U3" s="4" t="str">
        <v>Accessories</v>
      </c>
      <c r="V3" s="4" t="str">
        <v>East</v>
      </c>
      <c r="W3" s="4" t="str">
        <v>Aug-2025</v>
      </c>
      <c r="X3" s="4">
        <v>149624</v>
      </c>
      <c r="Y3" s="4">
        <v>12</v>
      </c>
      <c r="Z3" s="4">
        <v>106182.42</v>
      </c>
      <c r="AB3" s="4" t="str">
        <v>South</v>
      </c>
      <c r="AD3" s="4" t="str" cm="1">
        <f t="array" ref="AD3:AD14">TEXT(DATE(2025,_xlfn.SEQUENCE(12),1),"MMM")</f>
        <v>Jan</v>
      </c>
    </row>
    <row r="4" spans="1:30" x14ac:dyDescent="0.3">
      <c r="A4" s="4" t="str">
        <v>ORD0003</v>
      </c>
      <c r="B4" s="4" t="str">
        <v>Headphones</v>
      </c>
      <c r="C4" s="4" t="str">
        <v>Accessories</v>
      </c>
      <c r="D4" s="4" t="str">
        <v>East</v>
      </c>
      <c r="E4" s="4" t="str">
        <v>Mar-2025</v>
      </c>
      <c r="F4" s="4">
        <v>130739</v>
      </c>
      <c r="G4" s="4">
        <v>7</v>
      </c>
      <c r="H4" s="4">
        <v>91422.66</v>
      </c>
      <c r="J4" s="4" t="str">
        <v>ORD0007</v>
      </c>
      <c r="K4" s="4" t="str">
        <v>Tablet</v>
      </c>
      <c r="L4" s="4" t="str">
        <v>Electronics</v>
      </c>
      <c r="M4" s="4" t="str">
        <v>East</v>
      </c>
      <c r="N4" s="4" t="str">
        <v>Mar-2025</v>
      </c>
      <c r="O4" s="4">
        <v>130662</v>
      </c>
      <c r="P4" s="4">
        <v>10</v>
      </c>
      <c r="Q4" s="4">
        <v>89628.82</v>
      </c>
      <c r="S4" s="4" t="str">
        <v>ORD0433</v>
      </c>
      <c r="T4" s="4" t="str">
        <v>Phone</v>
      </c>
      <c r="U4" s="4" t="str">
        <v>Electronics</v>
      </c>
      <c r="V4" s="4" t="str">
        <v>North</v>
      </c>
      <c r="W4" s="4" t="str">
        <v>Aug-2025</v>
      </c>
      <c r="X4" s="4">
        <v>148898</v>
      </c>
      <c r="Y4" s="4">
        <v>15</v>
      </c>
      <c r="Z4" s="4">
        <v>99464.81</v>
      </c>
      <c r="AB4" s="4" t="str">
        <v>East</v>
      </c>
      <c r="AD4" s="4" t="str">
        <v>Feb</v>
      </c>
    </row>
    <row r="5" spans="1:30" x14ac:dyDescent="0.3">
      <c r="A5" s="4" t="str">
        <v>ORD0004</v>
      </c>
      <c r="B5" s="4" t="str">
        <v>Printer</v>
      </c>
      <c r="C5" s="4" t="str">
        <v>Peripherals</v>
      </c>
      <c r="D5" s="4" t="str">
        <v>West</v>
      </c>
      <c r="E5" s="4" t="str">
        <v>Dec-2025</v>
      </c>
      <c r="F5" s="4">
        <v>54975</v>
      </c>
      <c r="G5" s="4">
        <v>9</v>
      </c>
      <c r="H5" s="4">
        <v>40814.03</v>
      </c>
      <c r="J5" s="4" t="str">
        <v>ORD0008</v>
      </c>
      <c r="K5" s="4" t="str">
        <v>Laptop</v>
      </c>
      <c r="L5" s="4" t="str">
        <v>Electronics</v>
      </c>
      <c r="M5" s="4" t="str">
        <v>West</v>
      </c>
      <c r="N5" s="4" t="str">
        <v>Feb-2025</v>
      </c>
      <c r="O5" s="4">
        <v>70506</v>
      </c>
      <c r="P5" s="4">
        <v>13</v>
      </c>
      <c r="Q5" s="4">
        <v>44961.54</v>
      </c>
      <c r="S5" s="4" t="str">
        <v>ORD0186</v>
      </c>
      <c r="T5" s="4" t="str">
        <v>Monitor</v>
      </c>
      <c r="U5" s="4" t="str">
        <v>Peripherals</v>
      </c>
      <c r="V5" s="4" t="str">
        <v>South</v>
      </c>
      <c r="W5" s="4" t="str">
        <v>Oct-2025</v>
      </c>
      <c r="X5" s="4">
        <v>148562</v>
      </c>
      <c r="Y5" s="4">
        <v>12</v>
      </c>
      <c r="Z5" s="4">
        <v>95695.2</v>
      </c>
      <c r="AB5" s="4" t="str">
        <v>West</v>
      </c>
      <c r="AD5" s="4" t="str">
        <v>Mar</v>
      </c>
    </row>
    <row r="6" spans="1:30" x14ac:dyDescent="0.3">
      <c r="A6" s="4" t="str">
        <v>ORD0006</v>
      </c>
      <c r="B6" s="4" t="str">
        <v>Tablet</v>
      </c>
      <c r="C6" s="4" t="str">
        <v>Electronics</v>
      </c>
      <c r="D6" s="4" t="str">
        <v>South</v>
      </c>
      <c r="E6" s="4" t="str">
        <v>Apr-2025</v>
      </c>
      <c r="F6" s="4">
        <v>120493</v>
      </c>
      <c r="G6" s="4">
        <v>8</v>
      </c>
      <c r="H6" s="4">
        <v>82909.570000000007</v>
      </c>
      <c r="J6" s="4" t="str">
        <v>ORD0010</v>
      </c>
      <c r="K6" s="4" t="str">
        <v>Laptop</v>
      </c>
      <c r="L6" s="4" t="str">
        <v>Electronics</v>
      </c>
      <c r="M6" s="4" t="str">
        <v>South</v>
      </c>
      <c r="N6" s="4" t="str">
        <v>Nov-2025</v>
      </c>
      <c r="O6" s="4">
        <v>85760</v>
      </c>
      <c r="P6" s="4">
        <v>5</v>
      </c>
      <c r="Q6" s="4">
        <v>55941.919999999998</v>
      </c>
      <c r="S6" s="4" t="str">
        <v>ORD0220</v>
      </c>
      <c r="T6" s="4" t="str">
        <v>Keyboard</v>
      </c>
      <c r="U6" s="4" t="str">
        <v>Accessories</v>
      </c>
      <c r="V6" s="4" t="str">
        <v>West</v>
      </c>
      <c r="W6" s="4" t="str">
        <v>Nov-2025</v>
      </c>
      <c r="X6" s="4">
        <v>148383</v>
      </c>
      <c r="Y6" s="4">
        <v>1</v>
      </c>
      <c r="Z6" s="4">
        <v>97975.7</v>
      </c>
      <c r="AD6" s="4" t="str">
        <v>Apr</v>
      </c>
    </row>
    <row r="7" spans="1:30" x14ac:dyDescent="0.3">
      <c r="A7" s="4" t="str">
        <v>ORD0007</v>
      </c>
      <c r="B7" s="4" t="str">
        <v>Tablet</v>
      </c>
      <c r="C7" s="4" t="str">
        <v>Electronics</v>
      </c>
      <c r="D7" s="4" t="str">
        <v>East</v>
      </c>
      <c r="E7" s="4" t="str">
        <v>Mar-2025</v>
      </c>
      <c r="F7" s="4">
        <v>130662</v>
      </c>
      <c r="G7" s="4">
        <v>10</v>
      </c>
      <c r="H7" s="4">
        <v>89628.82</v>
      </c>
      <c r="J7" s="4" t="str">
        <v>ORD0027</v>
      </c>
      <c r="K7" s="4" t="str">
        <v>Laptop</v>
      </c>
      <c r="L7" s="4" t="str">
        <v>Electronics</v>
      </c>
      <c r="M7" s="4" t="str">
        <v>East</v>
      </c>
      <c r="N7" s="4" t="str">
        <v>Apr-2025</v>
      </c>
      <c r="O7" s="4">
        <v>48982</v>
      </c>
      <c r="P7" s="4">
        <v>3</v>
      </c>
      <c r="Q7" s="4">
        <v>35166.29</v>
      </c>
      <c r="S7" s="4" t="str">
        <v>ORD0056</v>
      </c>
      <c r="T7" s="4" t="str">
        <v>Mouse</v>
      </c>
      <c r="U7" s="4" t="str">
        <v>Accessories</v>
      </c>
      <c r="V7" s="4" t="str">
        <v>West</v>
      </c>
      <c r="W7" s="4" t="str">
        <v>Jul-2025</v>
      </c>
      <c r="X7" s="4">
        <v>148326</v>
      </c>
      <c r="Y7" s="4">
        <v>9</v>
      </c>
      <c r="Z7" s="4">
        <v>108557.11</v>
      </c>
      <c r="AD7" s="4" t="str">
        <v>May</v>
      </c>
    </row>
    <row r="8" spans="1:30" x14ac:dyDescent="0.3">
      <c r="A8" s="4" t="str">
        <v>ORD0008</v>
      </c>
      <c r="B8" s="4" t="str">
        <v>Laptop</v>
      </c>
      <c r="C8" s="4" t="str">
        <v>Electronics</v>
      </c>
      <c r="D8" s="4" t="str">
        <v>West</v>
      </c>
      <c r="E8" s="4" t="str">
        <v>Feb-2025</v>
      </c>
      <c r="F8" s="4">
        <v>70506</v>
      </c>
      <c r="G8" s="4">
        <v>13</v>
      </c>
      <c r="H8" s="4">
        <v>44961.54</v>
      </c>
      <c r="J8" s="4" t="str">
        <v>ORD0028</v>
      </c>
      <c r="K8" s="4" t="str">
        <v>Tablet</v>
      </c>
      <c r="L8" s="4" t="str">
        <v>Electronics</v>
      </c>
      <c r="M8" s="4" t="str">
        <v>West</v>
      </c>
      <c r="N8" s="4" t="str">
        <v>Jun-2025</v>
      </c>
      <c r="O8" s="4">
        <v>129970</v>
      </c>
      <c r="P8" s="4">
        <v>3</v>
      </c>
      <c r="Q8" s="4">
        <v>87978.7</v>
      </c>
      <c r="S8" s="4" t="str">
        <v>ORD0156</v>
      </c>
      <c r="T8" s="4" t="str">
        <v>Monitor</v>
      </c>
      <c r="U8" s="4" t="str">
        <v>Peripherals</v>
      </c>
      <c r="V8" s="4" t="str">
        <v>West</v>
      </c>
      <c r="W8" s="4" t="str">
        <v>Aug-2025</v>
      </c>
      <c r="X8" s="4">
        <v>147320</v>
      </c>
      <c r="Y8" s="4">
        <v>1</v>
      </c>
      <c r="Z8" s="4">
        <v>89581.96</v>
      </c>
      <c r="AB8" s="2" t="s">
        <v>538</v>
      </c>
      <c r="AD8" s="4" t="str">
        <v>Jun</v>
      </c>
    </row>
    <row r="9" spans="1:30" x14ac:dyDescent="0.3">
      <c r="A9" s="4" t="str">
        <v>ORD0010</v>
      </c>
      <c r="B9" s="4" t="str">
        <v>Laptop</v>
      </c>
      <c r="C9" s="4" t="str">
        <v>Electronics</v>
      </c>
      <c r="D9" s="4" t="str">
        <v>South</v>
      </c>
      <c r="E9" s="4" t="str">
        <v>Nov-2025</v>
      </c>
      <c r="F9" s="4">
        <v>85760</v>
      </c>
      <c r="G9" s="4">
        <v>5</v>
      </c>
      <c r="H9" s="4">
        <v>55941.919999999998</v>
      </c>
      <c r="J9" s="4" t="str">
        <v>ORD0031</v>
      </c>
      <c r="K9" s="4" t="str">
        <v>Tablet</v>
      </c>
      <c r="L9" s="4" t="str">
        <v>Electronics</v>
      </c>
      <c r="M9" s="4" t="str">
        <v>East</v>
      </c>
      <c r="N9" s="4" t="str">
        <v>May-2025</v>
      </c>
      <c r="O9" s="4">
        <v>51803</v>
      </c>
      <c r="P9" s="4">
        <v>2</v>
      </c>
      <c r="Q9" s="4">
        <v>36091.49</v>
      </c>
      <c r="S9" s="4" t="str">
        <v>ORD0336</v>
      </c>
      <c r="T9" s="4" t="str">
        <v>Monitor</v>
      </c>
      <c r="U9" s="4" t="str">
        <v>Peripherals</v>
      </c>
      <c r="V9" s="4" t="str">
        <v>West</v>
      </c>
      <c r="W9" s="4" t="str">
        <v>Oct-2025</v>
      </c>
      <c r="X9" s="4">
        <v>147250</v>
      </c>
      <c r="Y9" s="4">
        <v>6</v>
      </c>
      <c r="Z9" s="4">
        <v>98649.45</v>
      </c>
      <c r="AB9" s="4" t="str" cm="1">
        <f t="array" ref="AB9:AB16">_xlfn.UNIQUE(SalesTable[Product])</f>
        <v>Headphones</v>
      </c>
      <c r="AD9" s="4" t="str">
        <v>Jul</v>
      </c>
    </row>
    <row r="10" spans="1:30" x14ac:dyDescent="0.3">
      <c r="A10" s="4" t="str">
        <v>ORD0011</v>
      </c>
      <c r="B10" s="4" t="str">
        <v>Monitor</v>
      </c>
      <c r="C10" s="4" t="str">
        <v>Peripherals</v>
      </c>
      <c r="D10" s="4" t="str">
        <v>East</v>
      </c>
      <c r="E10" s="4" t="str">
        <v>Mar-2025</v>
      </c>
      <c r="F10" s="4">
        <v>89991</v>
      </c>
      <c r="G10" s="4">
        <v>1</v>
      </c>
      <c r="H10" s="4">
        <v>60373.37</v>
      </c>
      <c r="J10" s="4" t="str">
        <v>ORD0032</v>
      </c>
      <c r="K10" s="4" t="str">
        <v>Laptop</v>
      </c>
      <c r="L10" s="4" t="str">
        <v>Electronics</v>
      </c>
      <c r="M10" s="4" t="str">
        <v>West</v>
      </c>
      <c r="N10" s="4" t="str">
        <v>Mar-2025</v>
      </c>
      <c r="O10" s="4">
        <v>83263</v>
      </c>
      <c r="P10" s="4">
        <v>9</v>
      </c>
      <c r="Q10" s="4">
        <v>60573.7</v>
      </c>
      <c r="S10" s="4" t="str">
        <v>ORD0431</v>
      </c>
      <c r="T10" s="4" t="str">
        <v>Keyboard</v>
      </c>
      <c r="U10" s="4" t="str">
        <v>Accessories</v>
      </c>
      <c r="V10" s="4" t="str">
        <v>East</v>
      </c>
      <c r="W10" s="4" t="str">
        <v>Jun-2025</v>
      </c>
      <c r="X10" s="4">
        <v>147220</v>
      </c>
      <c r="Y10" s="4">
        <v>8</v>
      </c>
      <c r="Z10" s="4">
        <v>106995.28</v>
      </c>
      <c r="AB10" s="4" t="str">
        <v>Printer</v>
      </c>
      <c r="AD10" s="4" t="str">
        <v>Aug</v>
      </c>
    </row>
    <row r="11" spans="1:30" x14ac:dyDescent="0.3">
      <c r="A11" s="4" t="str">
        <v>ORD0012</v>
      </c>
      <c r="B11" s="4" t="str">
        <v>Printer</v>
      </c>
      <c r="C11" s="4" t="str">
        <v>Peripherals</v>
      </c>
      <c r="D11" s="4" t="str">
        <v>West</v>
      </c>
      <c r="E11" s="4" t="str">
        <v>Oct-2025</v>
      </c>
      <c r="F11" s="4">
        <v>65213</v>
      </c>
      <c r="G11" s="4">
        <v>7</v>
      </c>
      <c r="H11" s="4">
        <v>39930.04</v>
      </c>
      <c r="J11" s="4" t="str">
        <v>ORD0033</v>
      </c>
      <c r="K11" s="4" t="str">
        <v>Tablet</v>
      </c>
      <c r="L11" s="4" t="str">
        <v>Electronics</v>
      </c>
      <c r="M11" s="4" t="str">
        <v>North</v>
      </c>
      <c r="N11" s="4" t="str">
        <v>Apr-2025</v>
      </c>
      <c r="O11" s="4">
        <v>84865</v>
      </c>
      <c r="P11" s="4">
        <v>9</v>
      </c>
      <c r="Q11" s="4">
        <v>53751.38</v>
      </c>
      <c r="S11" s="4" t="str">
        <v>ORD0038</v>
      </c>
      <c r="T11" s="4" t="str">
        <v>Keyboard</v>
      </c>
      <c r="U11" s="4" t="str">
        <v>Accessories</v>
      </c>
      <c r="V11" s="4" t="str">
        <v>South</v>
      </c>
      <c r="W11" s="4" t="str">
        <v>Jan-2025</v>
      </c>
      <c r="X11" s="4">
        <v>146915</v>
      </c>
      <c r="Y11" s="4">
        <v>3</v>
      </c>
      <c r="Z11" s="4">
        <v>99817.05</v>
      </c>
      <c r="AB11" s="4" t="str">
        <v>Tablet</v>
      </c>
      <c r="AD11" s="4" t="str">
        <v>Sep</v>
      </c>
    </row>
    <row r="12" spans="1:30" x14ac:dyDescent="0.3">
      <c r="A12" s="4" t="str">
        <v>ORD0014</v>
      </c>
      <c r="B12" s="4" t="str">
        <v>Monitor</v>
      </c>
      <c r="C12" s="4" t="str">
        <v>Peripherals</v>
      </c>
      <c r="D12" s="4" t="str">
        <v>South</v>
      </c>
      <c r="E12" s="4" t="str">
        <v>Oct-2025</v>
      </c>
      <c r="F12" s="4">
        <v>115997</v>
      </c>
      <c r="G12" s="4">
        <v>10</v>
      </c>
      <c r="H12" s="4">
        <v>79845.97</v>
      </c>
      <c r="J12" s="4" t="str">
        <v>ORD0036</v>
      </c>
      <c r="K12" s="4" t="str">
        <v>Laptop</v>
      </c>
      <c r="L12" s="4" t="str">
        <v>Electronics</v>
      </c>
      <c r="M12" s="4" t="str">
        <v>West</v>
      </c>
      <c r="N12" s="4" t="str">
        <v>May-2025</v>
      </c>
      <c r="O12" s="4">
        <v>24791</v>
      </c>
      <c r="P12" s="4">
        <v>4</v>
      </c>
      <c r="Q12" s="4">
        <v>16441.09</v>
      </c>
      <c r="S12" s="4" t="str">
        <v>ORD0293</v>
      </c>
      <c r="T12" s="4" t="str">
        <v>Tablet</v>
      </c>
      <c r="U12" s="4" t="str">
        <v>Electronics</v>
      </c>
      <c r="V12" s="4" t="str">
        <v>North</v>
      </c>
      <c r="W12" s="4" t="str">
        <v>Oct-2025</v>
      </c>
      <c r="X12" s="4">
        <v>146713</v>
      </c>
      <c r="Y12" s="4">
        <v>6</v>
      </c>
      <c r="Z12" s="4">
        <v>108818.76</v>
      </c>
      <c r="AB12" s="4" t="str">
        <v>Laptop</v>
      </c>
      <c r="AD12" s="4" t="str">
        <v>Oct</v>
      </c>
    </row>
    <row r="13" spans="1:30" x14ac:dyDescent="0.3">
      <c r="A13" s="4" t="str">
        <v>ORD0015</v>
      </c>
      <c r="B13" s="4" t="str">
        <v>Keyboard</v>
      </c>
      <c r="C13" s="4" t="str">
        <v>Accessories</v>
      </c>
      <c r="D13" s="4" t="str">
        <v>East</v>
      </c>
      <c r="E13" s="4" t="str">
        <v>Jul-2025</v>
      </c>
      <c r="F13" s="4">
        <v>122012</v>
      </c>
      <c r="G13" s="4">
        <v>14</v>
      </c>
      <c r="H13" s="4">
        <v>84037.24</v>
      </c>
      <c r="J13" s="4" t="str">
        <v>ORD0041</v>
      </c>
      <c r="K13" s="4" t="str">
        <v>Phone</v>
      </c>
      <c r="L13" s="4" t="str">
        <v>Electronics</v>
      </c>
      <c r="M13" s="4" t="str">
        <v>North</v>
      </c>
      <c r="N13" s="4" t="str">
        <v>Sep-2025</v>
      </c>
      <c r="O13" s="4">
        <v>85608</v>
      </c>
      <c r="P13" s="4">
        <v>1</v>
      </c>
      <c r="Q13" s="4">
        <v>62122.080000000002</v>
      </c>
      <c r="S13" s="4" t="str">
        <v>ORD0022</v>
      </c>
      <c r="T13" s="4" t="str">
        <v>Headphones</v>
      </c>
      <c r="U13" s="4" t="str">
        <v>Accessories</v>
      </c>
      <c r="V13" s="4" t="str">
        <v>South</v>
      </c>
      <c r="W13" s="4" t="str">
        <v>Jun-2025</v>
      </c>
      <c r="X13" s="4">
        <v>146562</v>
      </c>
      <c r="Y13" s="4">
        <v>1</v>
      </c>
      <c r="Z13" s="4">
        <v>89814.47</v>
      </c>
      <c r="AB13" s="4" t="str">
        <v>Mouse</v>
      </c>
      <c r="AD13" s="4" t="str">
        <v>Nov</v>
      </c>
    </row>
    <row r="14" spans="1:30" x14ac:dyDescent="0.3">
      <c r="A14" s="4" t="str">
        <v>ORD0017</v>
      </c>
      <c r="B14" s="4" t="str">
        <v>Mouse</v>
      </c>
      <c r="C14" s="4" t="str">
        <v>Accessories</v>
      </c>
      <c r="D14" s="4" t="str">
        <v>North</v>
      </c>
      <c r="E14" s="4" t="str">
        <v>Mar-2025</v>
      </c>
      <c r="F14" s="4">
        <v>131176</v>
      </c>
      <c r="G14" s="4">
        <v>7</v>
      </c>
      <c r="H14" s="4">
        <v>86159.12</v>
      </c>
      <c r="J14" s="4" t="str">
        <v>ORD0043</v>
      </c>
      <c r="K14" s="4" t="str">
        <v>Laptop</v>
      </c>
      <c r="L14" s="4" t="str">
        <v>Electronics</v>
      </c>
      <c r="M14" s="4" t="str">
        <v>East</v>
      </c>
      <c r="N14" s="4" t="str">
        <v>Aug-2025</v>
      </c>
      <c r="O14" s="4">
        <v>136337</v>
      </c>
      <c r="P14" s="4">
        <v>9</v>
      </c>
      <c r="Q14" s="4">
        <v>83242.080000000002</v>
      </c>
      <c r="S14" s="4" t="str">
        <v>ORD0135</v>
      </c>
      <c r="T14" s="4" t="str">
        <v>Laptop</v>
      </c>
      <c r="U14" s="4" t="str">
        <v>Electronics</v>
      </c>
      <c r="V14" s="4" t="str">
        <v>East</v>
      </c>
      <c r="W14" s="4" t="str">
        <v>Nov-2025</v>
      </c>
      <c r="X14" s="4">
        <v>146429</v>
      </c>
      <c r="Y14" s="4">
        <v>11</v>
      </c>
      <c r="Z14" s="4">
        <v>88999.78</v>
      </c>
      <c r="AB14" s="4" t="str">
        <v>Monitor</v>
      </c>
      <c r="AD14" s="4" t="str">
        <v>Dec</v>
      </c>
    </row>
    <row r="15" spans="1:30" x14ac:dyDescent="0.3">
      <c r="A15" s="4" t="str">
        <v>ORD0018</v>
      </c>
      <c r="B15" s="4" t="str">
        <v>Keyboard</v>
      </c>
      <c r="C15" s="4" t="str">
        <v>Accessories</v>
      </c>
      <c r="D15" s="4" t="str">
        <v>South</v>
      </c>
      <c r="E15" s="4" t="str">
        <v>Sep-2025</v>
      </c>
      <c r="F15" s="4">
        <v>82909</v>
      </c>
      <c r="G15" s="4">
        <v>2</v>
      </c>
      <c r="H15" s="4">
        <v>54247.89</v>
      </c>
      <c r="J15" s="4" t="str">
        <v>ORD0046</v>
      </c>
      <c r="K15" s="4" t="str">
        <v>Laptop</v>
      </c>
      <c r="L15" s="4" t="str">
        <v>Electronics</v>
      </c>
      <c r="M15" s="4" t="str">
        <v>South</v>
      </c>
      <c r="N15" s="4" t="str">
        <v>Oct-2025</v>
      </c>
      <c r="O15" s="4">
        <v>75036</v>
      </c>
      <c r="P15" s="4">
        <v>9</v>
      </c>
      <c r="Q15" s="4">
        <v>50371.839999999997</v>
      </c>
      <c r="S15" s="4" t="str">
        <v>ORD0389</v>
      </c>
      <c r="T15" s="4" t="str">
        <v>Phone</v>
      </c>
      <c r="U15" s="4" t="str">
        <v>Electronics</v>
      </c>
      <c r="V15" s="4" t="str">
        <v>North</v>
      </c>
      <c r="W15" s="4" t="str">
        <v>Mar-2025</v>
      </c>
      <c r="X15" s="4">
        <v>145974</v>
      </c>
      <c r="Y15" s="4">
        <v>15</v>
      </c>
      <c r="Z15" s="4">
        <v>108751.06</v>
      </c>
      <c r="AB15" s="4" t="str">
        <v>Keyboard</v>
      </c>
    </row>
    <row r="16" spans="1:30" x14ac:dyDescent="0.3">
      <c r="A16" s="4" t="str">
        <v>ORD0019</v>
      </c>
      <c r="B16" s="4" t="str">
        <v>Headphones</v>
      </c>
      <c r="C16" s="4" t="str">
        <v>Accessories</v>
      </c>
      <c r="D16" s="4" t="str">
        <v>East</v>
      </c>
      <c r="E16" s="4" t="str">
        <v>Mar-2025</v>
      </c>
      <c r="F16" s="4">
        <v>93793</v>
      </c>
      <c r="G16" s="4">
        <v>11</v>
      </c>
      <c r="H16" s="4">
        <v>61845.85</v>
      </c>
      <c r="J16" s="4" t="str">
        <v>ORD0050</v>
      </c>
      <c r="K16" s="4" t="str">
        <v>Phone</v>
      </c>
      <c r="L16" s="4" t="str">
        <v>Electronics</v>
      </c>
      <c r="M16" s="4" t="str">
        <v>South</v>
      </c>
      <c r="N16" s="4" t="str">
        <v>Dec-2025</v>
      </c>
      <c r="O16" s="4">
        <v>54464</v>
      </c>
      <c r="P16" s="4">
        <v>3</v>
      </c>
      <c r="Q16" s="4">
        <v>38191.75</v>
      </c>
      <c r="S16" s="4" t="str">
        <v>ORD0426</v>
      </c>
      <c r="T16" s="4" t="str">
        <v>Phone</v>
      </c>
      <c r="U16" s="4" t="str">
        <v>Electronics</v>
      </c>
      <c r="V16" s="4" t="str">
        <v>South</v>
      </c>
      <c r="W16" s="4" t="str">
        <v>Feb-2025</v>
      </c>
      <c r="X16" s="4">
        <v>145448</v>
      </c>
      <c r="Y16" s="4">
        <v>12</v>
      </c>
      <c r="Z16" s="4">
        <v>104169.91</v>
      </c>
      <c r="AB16" s="4" t="str">
        <v>Phone</v>
      </c>
    </row>
    <row r="17" spans="1:28" x14ac:dyDescent="0.3">
      <c r="A17" s="4" t="str">
        <v>ORD0020</v>
      </c>
      <c r="B17" s="4" t="str">
        <v>Keyboard</v>
      </c>
      <c r="C17" s="4" t="str">
        <v>Accessories</v>
      </c>
      <c r="D17" s="4" t="str">
        <v>West</v>
      </c>
      <c r="E17" s="4" t="str">
        <v>Jul-2025</v>
      </c>
      <c r="F17" s="4">
        <v>129921</v>
      </c>
      <c r="G17" s="4">
        <v>2</v>
      </c>
      <c r="H17" s="4">
        <v>86079.99</v>
      </c>
      <c r="J17" s="4" t="str">
        <v>ORD0051</v>
      </c>
      <c r="K17" s="4" t="str">
        <v>Phone</v>
      </c>
      <c r="L17" s="4" t="str">
        <v>Electronics</v>
      </c>
      <c r="M17" s="4" t="str">
        <v>East</v>
      </c>
      <c r="N17" s="4" t="str">
        <v>Sep-2025</v>
      </c>
      <c r="O17" s="4">
        <v>82994</v>
      </c>
      <c r="P17" s="4">
        <v>12</v>
      </c>
      <c r="Q17" s="4">
        <v>60725.760000000002</v>
      </c>
      <c r="S17" s="4" t="str">
        <v>ORD0189</v>
      </c>
      <c r="T17" s="4" t="str">
        <v>Headphones</v>
      </c>
      <c r="U17" s="4" t="str">
        <v>Accessories</v>
      </c>
      <c r="V17" s="4" t="str">
        <v>North</v>
      </c>
      <c r="W17" s="4" t="str">
        <v>Jul-2025</v>
      </c>
      <c r="X17" s="4">
        <v>145000</v>
      </c>
      <c r="Y17" s="4">
        <v>12</v>
      </c>
      <c r="Z17" s="4">
        <v>102713.49</v>
      </c>
    </row>
    <row r="18" spans="1:28" x14ac:dyDescent="0.3">
      <c r="A18" s="4" t="str">
        <v>ORD0021</v>
      </c>
      <c r="B18" s="4" t="str">
        <v>Headphones</v>
      </c>
      <c r="C18" s="4" t="str">
        <v>Accessories</v>
      </c>
      <c r="D18" s="4" t="str">
        <v>North</v>
      </c>
      <c r="E18" s="4" t="str">
        <v>May-2025</v>
      </c>
      <c r="F18" s="4">
        <v>109188</v>
      </c>
      <c r="G18" s="4">
        <v>4</v>
      </c>
      <c r="H18" s="4">
        <v>79929.52</v>
      </c>
      <c r="J18" s="4" t="str">
        <v>ORD0058</v>
      </c>
      <c r="K18" s="4" t="str">
        <v>Tablet</v>
      </c>
      <c r="L18" s="4" t="str">
        <v>Electronics</v>
      </c>
      <c r="M18" s="4" t="str">
        <v>South</v>
      </c>
      <c r="N18" s="4" t="str">
        <v>Nov-2025</v>
      </c>
      <c r="O18" s="4">
        <v>104612</v>
      </c>
      <c r="P18" s="4">
        <v>14</v>
      </c>
      <c r="Q18" s="4">
        <v>63528.58</v>
      </c>
      <c r="S18" s="4" t="str">
        <v>ORD0288</v>
      </c>
      <c r="T18" s="4" t="str">
        <v>Keyboard</v>
      </c>
      <c r="U18" s="4" t="str">
        <v>Accessories</v>
      </c>
      <c r="V18" s="4" t="str">
        <v>West</v>
      </c>
      <c r="W18" s="4" t="str">
        <v>Dec-2025</v>
      </c>
      <c r="X18" s="4">
        <v>144979</v>
      </c>
      <c r="Y18" s="4">
        <v>11</v>
      </c>
      <c r="Z18" s="4">
        <v>92858.62</v>
      </c>
    </row>
    <row r="19" spans="1:28" x14ac:dyDescent="0.3">
      <c r="A19" s="4" t="str">
        <v>ORD0022</v>
      </c>
      <c r="B19" s="4" t="str">
        <v>Headphones</v>
      </c>
      <c r="C19" s="4" t="str">
        <v>Accessories</v>
      </c>
      <c r="D19" s="4" t="str">
        <v>South</v>
      </c>
      <c r="E19" s="4" t="str">
        <v>Jun-2025</v>
      </c>
      <c r="F19" s="4">
        <v>146562</v>
      </c>
      <c r="G19" s="4">
        <v>1</v>
      </c>
      <c r="H19" s="4">
        <v>89814.47</v>
      </c>
      <c r="J19" s="4" t="str">
        <v>ORD0059</v>
      </c>
      <c r="K19" s="4" t="str">
        <v>Tablet</v>
      </c>
      <c r="L19" s="4" t="str">
        <v>Electronics</v>
      </c>
      <c r="M19" s="4" t="str">
        <v>East</v>
      </c>
      <c r="N19" s="4" t="str">
        <v>Oct-2025</v>
      </c>
      <c r="O19" s="4">
        <v>116610</v>
      </c>
      <c r="P19" s="4">
        <v>6</v>
      </c>
      <c r="Q19" s="4">
        <v>70568.31</v>
      </c>
      <c r="S19" s="4" t="str">
        <v>ORD0394</v>
      </c>
      <c r="T19" s="4" t="str">
        <v>Laptop</v>
      </c>
      <c r="U19" s="4" t="str">
        <v>Electronics</v>
      </c>
      <c r="V19" s="4" t="str">
        <v>South</v>
      </c>
      <c r="W19" s="4" t="str">
        <v>Apr-2025</v>
      </c>
      <c r="X19" s="4">
        <v>144909</v>
      </c>
      <c r="Y19" s="4">
        <v>4</v>
      </c>
      <c r="Z19" s="4">
        <v>100697.2</v>
      </c>
      <c r="AB19" s="2" t="s">
        <v>539</v>
      </c>
    </row>
    <row r="20" spans="1:28" x14ac:dyDescent="0.3">
      <c r="A20" s="4" t="str">
        <v>ORD0023</v>
      </c>
      <c r="B20" s="4" t="str">
        <v>Headphones</v>
      </c>
      <c r="C20" s="4" t="str">
        <v>Accessories</v>
      </c>
      <c r="D20" s="4" t="str">
        <v>East</v>
      </c>
      <c r="E20" s="4" t="str">
        <v>Sep-2025</v>
      </c>
      <c r="F20" s="4">
        <v>119556</v>
      </c>
      <c r="G20" s="4">
        <v>4</v>
      </c>
      <c r="H20" s="4">
        <v>78402.67</v>
      </c>
      <c r="J20" s="4" t="str">
        <v>ORD0062</v>
      </c>
      <c r="K20" s="4" t="str">
        <v>Tablet</v>
      </c>
      <c r="L20" s="4" t="str">
        <v>Electronics</v>
      </c>
      <c r="M20" s="4" t="str">
        <v>South</v>
      </c>
      <c r="N20" s="4" t="str">
        <v>Dec-2025</v>
      </c>
      <c r="O20" s="4">
        <v>94839</v>
      </c>
      <c r="P20" s="4">
        <v>12</v>
      </c>
      <c r="Q20" s="4">
        <v>63674.81</v>
      </c>
      <c r="S20" s="4" t="str">
        <v>ORD0243</v>
      </c>
      <c r="T20" s="4" t="str">
        <v>Printer</v>
      </c>
      <c r="U20" s="4" t="str">
        <v>Peripherals</v>
      </c>
      <c r="V20" s="4" t="str">
        <v>East</v>
      </c>
      <c r="W20" s="4" t="str">
        <v>Mar-2025</v>
      </c>
      <c r="X20" s="4">
        <v>144850</v>
      </c>
      <c r="Y20" s="4">
        <v>10</v>
      </c>
      <c r="Z20" s="4">
        <v>92291.42</v>
      </c>
      <c r="AB20" s="4" cm="1">
        <f t="array" ref="AB20:AB31">_xlfn.SEQUENCE(12)</f>
        <v>1</v>
      </c>
    </row>
    <row r="21" spans="1:28" x14ac:dyDescent="0.3">
      <c r="A21" s="4" t="str">
        <v>ORD0024</v>
      </c>
      <c r="B21" s="4" t="str">
        <v>Printer</v>
      </c>
      <c r="C21" s="4" t="str">
        <v>Peripherals</v>
      </c>
      <c r="D21" s="4" t="str">
        <v>West</v>
      </c>
      <c r="E21" s="4" t="str">
        <v>May-2025</v>
      </c>
      <c r="F21" s="4">
        <v>54289</v>
      </c>
      <c r="G21" s="4">
        <v>13</v>
      </c>
      <c r="H21" s="4">
        <v>34531.08</v>
      </c>
      <c r="J21" s="4" t="str">
        <v>ORD0068</v>
      </c>
      <c r="K21" s="4" t="str">
        <v>Phone</v>
      </c>
      <c r="L21" s="4" t="str">
        <v>Electronics</v>
      </c>
      <c r="M21" s="4" t="str">
        <v>West</v>
      </c>
      <c r="N21" s="4" t="str">
        <v>Dec-2025</v>
      </c>
      <c r="O21" s="4">
        <v>70507</v>
      </c>
      <c r="P21" s="4">
        <v>1</v>
      </c>
      <c r="Q21" s="4">
        <v>49512.959999999999</v>
      </c>
      <c r="S21" s="4" t="str">
        <v>ORD0481</v>
      </c>
      <c r="T21" s="4" t="str">
        <v>Headphones</v>
      </c>
      <c r="U21" s="4" t="str">
        <v>Accessories</v>
      </c>
      <c r="V21" s="4" t="str">
        <v>North</v>
      </c>
      <c r="W21" s="4" t="str">
        <v>Mar-2025</v>
      </c>
      <c r="X21" s="4">
        <v>144537</v>
      </c>
      <c r="Y21" s="4">
        <v>5</v>
      </c>
      <c r="Z21" s="4">
        <v>95859.9</v>
      </c>
      <c r="AB21" s="4">
        <v>2</v>
      </c>
    </row>
    <row r="22" spans="1:28" x14ac:dyDescent="0.3">
      <c r="A22" s="4" t="str">
        <v>ORD0025</v>
      </c>
      <c r="B22" s="4" t="str">
        <v>Headphones</v>
      </c>
      <c r="C22" s="4" t="str">
        <v>Accessories</v>
      </c>
      <c r="D22" s="4" t="str">
        <v>North</v>
      </c>
      <c r="E22" s="4" t="str">
        <v>May-2025</v>
      </c>
      <c r="F22" s="4">
        <v>105530</v>
      </c>
      <c r="G22" s="4">
        <v>5</v>
      </c>
      <c r="H22" s="4">
        <v>67441.740000000005</v>
      </c>
      <c r="J22" s="4" t="str">
        <v>ORD0069</v>
      </c>
      <c r="K22" s="4" t="str">
        <v>Laptop</v>
      </c>
      <c r="L22" s="4" t="str">
        <v>Electronics</v>
      </c>
      <c r="M22" s="4" t="str">
        <v>North</v>
      </c>
      <c r="N22" s="4" t="str">
        <v>Sep-2025</v>
      </c>
      <c r="O22" s="4">
        <v>17367</v>
      </c>
      <c r="P22" s="4">
        <v>11</v>
      </c>
      <c r="Q22" s="4">
        <v>11191.18</v>
      </c>
      <c r="S22" s="4" t="str">
        <v>ORD0295</v>
      </c>
      <c r="T22" s="4" t="str">
        <v>Tablet</v>
      </c>
      <c r="U22" s="4" t="str">
        <v>Electronics</v>
      </c>
      <c r="V22" s="4" t="str">
        <v>East</v>
      </c>
      <c r="W22" s="4" t="str">
        <v>Apr-2025</v>
      </c>
      <c r="X22" s="4">
        <v>144298</v>
      </c>
      <c r="Y22" s="4">
        <v>1</v>
      </c>
      <c r="Z22" s="4">
        <v>107431.97</v>
      </c>
      <c r="AB22" s="4">
        <v>3</v>
      </c>
    </row>
    <row r="23" spans="1:28" x14ac:dyDescent="0.3">
      <c r="A23" s="4" t="str">
        <v>ORD0026</v>
      </c>
      <c r="B23" s="4" t="str">
        <v>Printer</v>
      </c>
      <c r="C23" s="4" t="str">
        <v>Peripherals</v>
      </c>
      <c r="D23" s="4" t="str">
        <v>South</v>
      </c>
      <c r="E23" s="4" t="str">
        <v>Sep-2025</v>
      </c>
      <c r="F23" s="4">
        <v>62967</v>
      </c>
      <c r="G23" s="4">
        <v>13</v>
      </c>
      <c r="H23" s="4">
        <v>40836.449999999997</v>
      </c>
      <c r="J23" s="4" t="str">
        <v>ORD0072</v>
      </c>
      <c r="K23" s="4" t="str">
        <v>Tablet</v>
      </c>
      <c r="L23" s="4" t="str">
        <v>Electronics</v>
      </c>
      <c r="M23" s="4" t="str">
        <v>West</v>
      </c>
      <c r="N23" s="4" t="str">
        <v>Feb-2025</v>
      </c>
      <c r="O23" s="4">
        <v>59492</v>
      </c>
      <c r="P23" s="4">
        <v>3</v>
      </c>
      <c r="Q23" s="4">
        <v>41221.699999999997</v>
      </c>
      <c r="S23" s="4" t="str">
        <v>ORD0180</v>
      </c>
      <c r="T23" s="4" t="str">
        <v>Mouse</v>
      </c>
      <c r="U23" s="4" t="str">
        <v>Accessories</v>
      </c>
      <c r="V23" s="4" t="str">
        <v>West</v>
      </c>
      <c r="W23" s="4" t="str">
        <v>May-2025</v>
      </c>
      <c r="X23" s="4">
        <v>144203</v>
      </c>
      <c r="Y23" s="4">
        <v>4</v>
      </c>
      <c r="Z23" s="4">
        <v>95087.79</v>
      </c>
      <c r="AB23" s="4">
        <v>4</v>
      </c>
    </row>
    <row r="24" spans="1:28" x14ac:dyDescent="0.3">
      <c r="A24" s="4" t="str">
        <v>ORD0028</v>
      </c>
      <c r="B24" s="4" t="str">
        <v>Tablet</v>
      </c>
      <c r="C24" s="4" t="str">
        <v>Electronics</v>
      </c>
      <c r="D24" s="4" t="str">
        <v>West</v>
      </c>
      <c r="E24" s="4" t="str">
        <v>Jun-2025</v>
      </c>
      <c r="F24" s="4">
        <v>129970</v>
      </c>
      <c r="G24" s="4">
        <v>3</v>
      </c>
      <c r="H24" s="4">
        <v>87978.7</v>
      </c>
      <c r="J24" s="4" t="str">
        <v>ORD0074</v>
      </c>
      <c r="K24" s="4" t="str">
        <v>Laptop</v>
      </c>
      <c r="L24" s="4" t="str">
        <v>Electronics</v>
      </c>
      <c r="M24" s="4" t="str">
        <v>South</v>
      </c>
      <c r="N24" s="4" t="str">
        <v>Feb-2025</v>
      </c>
      <c r="O24" s="4">
        <v>88000</v>
      </c>
      <c r="P24" s="4">
        <v>15</v>
      </c>
      <c r="Q24" s="4">
        <v>64233.99</v>
      </c>
      <c r="S24" s="4" t="str">
        <v>ORD0116</v>
      </c>
      <c r="T24" s="4" t="str">
        <v>Tablet</v>
      </c>
      <c r="U24" s="4" t="str">
        <v>Electronics</v>
      </c>
      <c r="V24" s="4" t="str">
        <v>West</v>
      </c>
      <c r="W24" s="4" t="str">
        <v>Mar-2025</v>
      </c>
      <c r="X24" s="4">
        <v>143818</v>
      </c>
      <c r="Y24" s="4">
        <v>11</v>
      </c>
      <c r="Z24" s="4">
        <v>99096.07</v>
      </c>
      <c r="AB24" s="4">
        <v>5</v>
      </c>
    </row>
    <row r="25" spans="1:28" x14ac:dyDescent="0.3">
      <c r="A25" s="4" t="str">
        <v>ORD0029</v>
      </c>
      <c r="B25" s="4" t="str">
        <v>Monitor</v>
      </c>
      <c r="C25" s="4" t="str">
        <v>Peripherals</v>
      </c>
      <c r="D25" s="4" t="str">
        <v>North</v>
      </c>
      <c r="E25" s="4" t="str">
        <v>Apr-2025</v>
      </c>
      <c r="F25" s="4">
        <v>118496</v>
      </c>
      <c r="G25" s="4">
        <v>8</v>
      </c>
      <c r="H25" s="4">
        <v>74628.69</v>
      </c>
      <c r="J25" s="4" t="str">
        <v>ORD0077</v>
      </c>
      <c r="K25" s="4" t="str">
        <v>Tablet</v>
      </c>
      <c r="L25" s="4" t="str">
        <v>Electronics</v>
      </c>
      <c r="M25" s="4" t="str">
        <v>North</v>
      </c>
      <c r="N25" s="4" t="str">
        <v>Jul-2025</v>
      </c>
      <c r="O25" s="4">
        <v>92920</v>
      </c>
      <c r="P25" s="4">
        <v>3</v>
      </c>
      <c r="Q25" s="4">
        <v>61948.18</v>
      </c>
      <c r="S25" s="4" t="str">
        <v>ORD0098</v>
      </c>
      <c r="T25" s="4" t="str">
        <v>Keyboard</v>
      </c>
      <c r="U25" s="4" t="str">
        <v>Accessories</v>
      </c>
      <c r="V25" s="4" t="str">
        <v>South</v>
      </c>
      <c r="W25" s="4" t="str">
        <v>Jan-2025</v>
      </c>
      <c r="X25" s="4">
        <v>143625</v>
      </c>
      <c r="Y25" s="4">
        <v>1</v>
      </c>
      <c r="Z25" s="4">
        <v>102656.49</v>
      </c>
      <c r="AB25" s="4">
        <v>6</v>
      </c>
    </row>
    <row r="26" spans="1:28" x14ac:dyDescent="0.3">
      <c r="A26" s="4" t="str">
        <v>ORD0030</v>
      </c>
      <c r="B26" s="4" t="str">
        <v>Mouse</v>
      </c>
      <c r="C26" s="4" t="str">
        <v>Accessories</v>
      </c>
      <c r="D26" s="4" t="str">
        <v>South</v>
      </c>
      <c r="E26" s="4" t="str">
        <v>Mar-2025</v>
      </c>
      <c r="F26" s="4">
        <v>141845</v>
      </c>
      <c r="G26" s="4">
        <v>11</v>
      </c>
      <c r="H26" s="4">
        <v>100631.25</v>
      </c>
      <c r="J26" s="4" t="str">
        <v>ORD0078</v>
      </c>
      <c r="K26" s="4" t="str">
        <v>Laptop</v>
      </c>
      <c r="L26" s="4" t="str">
        <v>Electronics</v>
      </c>
      <c r="M26" s="4" t="str">
        <v>South</v>
      </c>
      <c r="N26" s="4" t="str">
        <v>Dec-2025</v>
      </c>
      <c r="O26" s="4">
        <v>140417</v>
      </c>
      <c r="P26" s="4">
        <v>9</v>
      </c>
      <c r="Q26" s="4">
        <v>90118.69</v>
      </c>
      <c r="S26" s="4" t="str">
        <v>ORD0498</v>
      </c>
      <c r="T26" s="4" t="str">
        <v>Tablet</v>
      </c>
      <c r="U26" s="4" t="str">
        <v>Electronics</v>
      </c>
      <c r="V26" s="4" t="str">
        <v>South</v>
      </c>
      <c r="W26" s="4" t="str">
        <v>Mar-2025</v>
      </c>
      <c r="X26" s="4">
        <v>142910</v>
      </c>
      <c r="Y26" s="4">
        <v>15</v>
      </c>
      <c r="Z26" s="4">
        <v>106372.09</v>
      </c>
      <c r="AB26" s="4">
        <v>7</v>
      </c>
    </row>
    <row r="27" spans="1:28" x14ac:dyDescent="0.3">
      <c r="A27" s="4" t="str">
        <v>ORD0031</v>
      </c>
      <c r="B27" s="4" t="str">
        <v>Tablet</v>
      </c>
      <c r="C27" s="4" t="str">
        <v>Electronics</v>
      </c>
      <c r="D27" s="4" t="str">
        <v>East</v>
      </c>
      <c r="E27" s="4" t="str">
        <v>May-2025</v>
      </c>
      <c r="F27" s="4">
        <v>51803</v>
      </c>
      <c r="G27" s="4">
        <v>2</v>
      </c>
      <c r="H27" s="4">
        <v>36091.49</v>
      </c>
      <c r="J27" s="4" t="str">
        <v>ORD0080</v>
      </c>
      <c r="K27" s="4" t="str">
        <v>Phone</v>
      </c>
      <c r="L27" s="4" t="str">
        <v>Electronics</v>
      </c>
      <c r="M27" s="4" t="str">
        <v>West</v>
      </c>
      <c r="N27" s="4" t="str">
        <v>Dec-2025</v>
      </c>
      <c r="O27" s="4">
        <v>14608</v>
      </c>
      <c r="P27" s="4">
        <v>12</v>
      </c>
      <c r="Q27" s="4">
        <v>10120.41</v>
      </c>
      <c r="S27" s="4" t="str">
        <v>ORD0199</v>
      </c>
      <c r="T27" s="4" t="str">
        <v>Monitor</v>
      </c>
      <c r="U27" s="4" t="str">
        <v>Peripherals</v>
      </c>
      <c r="V27" s="4" t="str">
        <v>East</v>
      </c>
      <c r="W27" s="4" t="str">
        <v>Mar-2025</v>
      </c>
      <c r="X27" s="4">
        <v>142843</v>
      </c>
      <c r="Y27" s="4">
        <v>13</v>
      </c>
      <c r="Z27" s="4">
        <v>85987.93</v>
      </c>
      <c r="AB27" s="4">
        <v>8</v>
      </c>
    </row>
    <row r="28" spans="1:28" x14ac:dyDescent="0.3">
      <c r="A28" s="4" t="str">
        <v>ORD0032</v>
      </c>
      <c r="B28" s="4" t="str">
        <v>Laptop</v>
      </c>
      <c r="C28" s="4" t="str">
        <v>Electronics</v>
      </c>
      <c r="D28" s="4" t="str">
        <v>West</v>
      </c>
      <c r="E28" s="4" t="str">
        <v>Mar-2025</v>
      </c>
      <c r="F28" s="4">
        <v>83263</v>
      </c>
      <c r="G28" s="4">
        <v>9</v>
      </c>
      <c r="H28" s="4">
        <v>60573.7</v>
      </c>
      <c r="J28" s="4" t="str">
        <v>ORD0081</v>
      </c>
      <c r="K28" s="4" t="str">
        <v>Laptop</v>
      </c>
      <c r="L28" s="4" t="str">
        <v>Electronics</v>
      </c>
      <c r="M28" s="4" t="str">
        <v>North</v>
      </c>
      <c r="N28" s="4" t="str">
        <v>May-2025</v>
      </c>
      <c r="O28" s="4">
        <v>133037</v>
      </c>
      <c r="P28" s="4">
        <v>11</v>
      </c>
      <c r="Q28" s="4">
        <v>96327.42</v>
      </c>
      <c r="S28" s="4" t="str">
        <v>ORD0075</v>
      </c>
      <c r="T28" s="4" t="str">
        <v>Mouse</v>
      </c>
      <c r="U28" s="4" t="str">
        <v>Accessories</v>
      </c>
      <c r="V28" s="4" t="str">
        <v>East</v>
      </c>
      <c r="W28" s="4" t="str">
        <v>Jan-2025</v>
      </c>
      <c r="X28" s="4">
        <v>142729</v>
      </c>
      <c r="Y28" s="4">
        <v>5</v>
      </c>
      <c r="Z28" s="4">
        <v>99113.83</v>
      </c>
      <c r="AB28" s="4">
        <v>9</v>
      </c>
    </row>
    <row r="29" spans="1:28" x14ac:dyDescent="0.3">
      <c r="A29" s="4" t="str">
        <v>ORD0033</v>
      </c>
      <c r="B29" s="4" t="str">
        <v>Tablet</v>
      </c>
      <c r="C29" s="4" t="str">
        <v>Electronics</v>
      </c>
      <c r="D29" s="4" t="str">
        <v>North</v>
      </c>
      <c r="E29" s="4" t="str">
        <v>Apr-2025</v>
      </c>
      <c r="F29" s="4">
        <v>84865</v>
      </c>
      <c r="G29" s="4">
        <v>9</v>
      </c>
      <c r="H29" s="4">
        <v>53751.38</v>
      </c>
      <c r="J29" s="4" t="str">
        <v>ORD0085</v>
      </c>
      <c r="K29" s="4" t="str">
        <v>Phone</v>
      </c>
      <c r="L29" s="4" t="str">
        <v>Electronics</v>
      </c>
      <c r="M29" s="4" t="str">
        <v>North</v>
      </c>
      <c r="N29" s="4" t="str">
        <v>Jun-2025</v>
      </c>
      <c r="O29" s="4">
        <v>65801</v>
      </c>
      <c r="P29" s="4">
        <v>11</v>
      </c>
      <c r="Q29" s="4">
        <v>49185.18</v>
      </c>
      <c r="S29" s="4" t="str">
        <v>ORD0148</v>
      </c>
      <c r="T29" s="4" t="str">
        <v>Keyboard</v>
      </c>
      <c r="U29" s="4" t="str">
        <v>Accessories</v>
      </c>
      <c r="V29" s="4" t="str">
        <v>West</v>
      </c>
      <c r="W29" s="4" t="str">
        <v>May-2025</v>
      </c>
      <c r="X29" s="4">
        <v>141983</v>
      </c>
      <c r="Y29" s="4">
        <v>10</v>
      </c>
      <c r="Z29" s="4">
        <v>105513.62</v>
      </c>
      <c r="AB29" s="4">
        <v>10</v>
      </c>
    </row>
    <row r="30" spans="1:28" x14ac:dyDescent="0.3">
      <c r="A30" s="4" t="str">
        <v>ORD0034</v>
      </c>
      <c r="B30" s="4" t="str">
        <v>Keyboard</v>
      </c>
      <c r="C30" s="4" t="str">
        <v>Accessories</v>
      </c>
      <c r="D30" s="4" t="str">
        <v>South</v>
      </c>
      <c r="E30" s="4" t="str">
        <v>Apr-2025</v>
      </c>
      <c r="F30" s="4">
        <v>138733</v>
      </c>
      <c r="G30" s="4">
        <v>8</v>
      </c>
      <c r="H30" s="4">
        <v>87961.46</v>
      </c>
      <c r="J30" s="4" t="str">
        <v>ORD0092</v>
      </c>
      <c r="K30" s="4" t="str">
        <v>Phone</v>
      </c>
      <c r="L30" s="4" t="str">
        <v>Electronics</v>
      </c>
      <c r="M30" s="4" t="str">
        <v>West</v>
      </c>
      <c r="N30" s="4" t="str">
        <v>Dec-2025</v>
      </c>
      <c r="O30" s="4">
        <v>6757</v>
      </c>
      <c r="P30" s="4">
        <v>5</v>
      </c>
      <c r="Q30" s="4">
        <v>4255.88</v>
      </c>
      <c r="S30" s="4" t="str">
        <v>ORD0030</v>
      </c>
      <c r="T30" s="4" t="str">
        <v>Mouse</v>
      </c>
      <c r="U30" s="4" t="str">
        <v>Accessories</v>
      </c>
      <c r="V30" s="4" t="str">
        <v>South</v>
      </c>
      <c r="W30" s="4" t="str">
        <v>Mar-2025</v>
      </c>
      <c r="X30" s="4">
        <v>141845</v>
      </c>
      <c r="Y30" s="4">
        <v>11</v>
      </c>
      <c r="Z30" s="4">
        <v>100631.25</v>
      </c>
      <c r="AB30" s="4">
        <v>11</v>
      </c>
    </row>
    <row r="31" spans="1:28" x14ac:dyDescent="0.3">
      <c r="A31" s="4" t="str">
        <v>ORD0035</v>
      </c>
      <c r="B31" s="4" t="str">
        <v>Printer</v>
      </c>
      <c r="C31" s="4" t="str">
        <v>Peripherals</v>
      </c>
      <c r="D31" s="4" t="str">
        <v>East</v>
      </c>
      <c r="E31" s="4" t="str">
        <v>Jun-2025</v>
      </c>
      <c r="F31" s="4">
        <v>109674</v>
      </c>
      <c r="G31" s="4">
        <v>5</v>
      </c>
      <c r="H31" s="4">
        <v>73003.839999999997</v>
      </c>
      <c r="J31" s="4" t="str">
        <v>ORD0096</v>
      </c>
      <c r="K31" s="4" t="str">
        <v>Tablet</v>
      </c>
      <c r="L31" s="4" t="str">
        <v>Electronics</v>
      </c>
      <c r="M31" s="4" t="str">
        <v>West</v>
      </c>
      <c r="N31" s="4" t="str">
        <v>Jul-2025</v>
      </c>
      <c r="O31" s="4">
        <v>78845</v>
      </c>
      <c r="P31" s="4">
        <v>1</v>
      </c>
      <c r="Q31" s="4">
        <v>54969.35</v>
      </c>
      <c r="S31" s="4" t="str">
        <v>ORD0158</v>
      </c>
      <c r="T31" s="4" t="str">
        <v>Printer</v>
      </c>
      <c r="U31" s="4" t="str">
        <v>Peripherals</v>
      </c>
      <c r="V31" s="4" t="str">
        <v>South</v>
      </c>
      <c r="W31" s="4" t="str">
        <v>Apr-2025</v>
      </c>
      <c r="X31" s="4">
        <v>141828</v>
      </c>
      <c r="Y31" s="4">
        <v>6</v>
      </c>
      <c r="Z31" s="4">
        <v>99857.51</v>
      </c>
      <c r="AB31" s="4">
        <v>12</v>
      </c>
    </row>
    <row r="32" spans="1:28" x14ac:dyDescent="0.3">
      <c r="A32" s="4" t="str">
        <v>ORD0037</v>
      </c>
      <c r="B32" s="4" t="str">
        <v>Headphones</v>
      </c>
      <c r="C32" s="4" t="str">
        <v>Accessories</v>
      </c>
      <c r="D32" s="4" t="str">
        <v>North</v>
      </c>
      <c r="E32" s="4" t="str">
        <v>Aug-2025</v>
      </c>
      <c r="F32" s="4">
        <v>87238</v>
      </c>
      <c r="G32" s="4">
        <v>4</v>
      </c>
      <c r="H32" s="4">
        <v>56786.64</v>
      </c>
      <c r="J32" s="4" t="str">
        <v>ORD0097</v>
      </c>
      <c r="K32" s="4" t="str">
        <v>Tablet</v>
      </c>
      <c r="L32" s="4" t="str">
        <v>Electronics</v>
      </c>
      <c r="M32" s="4" t="str">
        <v>North</v>
      </c>
      <c r="N32" s="4" t="str">
        <v>Jan-2025</v>
      </c>
      <c r="O32" s="4">
        <v>16353</v>
      </c>
      <c r="P32" s="4">
        <v>10</v>
      </c>
      <c r="Q32" s="4">
        <v>11805.26</v>
      </c>
      <c r="S32" s="4" t="str">
        <v>ORD0171</v>
      </c>
      <c r="T32" s="4" t="str">
        <v>Mouse</v>
      </c>
      <c r="U32" s="4" t="str">
        <v>Accessories</v>
      </c>
      <c r="V32" s="4" t="str">
        <v>East</v>
      </c>
      <c r="W32" s="4" t="str">
        <v>Jul-2025</v>
      </c>
      <c r="X32" s="4">
        <v>141485</v>
      </c>
      <c r="Y32" s="4">
        <v>5</v>
      </c>
      <c r="Z32" s="4">
        <v>98284.44</v>
      </c>
    </row>
    <row r="33" spans="1:26" x14ac:dyDescent="0.3">
      <c r="A33" s="4" t="str">
        <v>ORD0038</v>
      </c>
      <c r="B33" s="4" t="str">
        <v>Keyboard</v>
      </c>
      <c r="C33" s="4" t="str">
        <v>Accessories</v>
      </c>
      <c r="D33" s="4" t="str">
        <v>South</v>
      </c>
      <c r="E33" s="4" t="str">
        <v>Jan-2025</v>
      </c>
      <c r="F33" s="4">
        <v>146915</v>
      </c>
      <c r="G33" s="4">
        <v>3</v>
      </c>
      <c r="H33" s="4">
        <v>99817.05</v>
      </c>
      <c r="J33" s="4" t="str">
        <v>ORD0103</v>
      </c>
      <c r="K33" s="4" t="str">
        <v>Tablet</v>
      </c>
      <c r="L33" s="4" t="str">
        <v>Electronics</v>
      </c>
      <c r="M33" s="4" t="str">
        <v>East</v>
      </c>
      <c r="N33" s="4" t="str">
        <v>Oct-2025</v>
      </c>
      <c r="O33" s="4">
        <v>93174</v>
      </c>
      <c r="P33" s="4">
        <v>11</v>
      </c>
      <c r="Q33" s="4">
        <v>69553.19</v>
      </c>
      <c r="S33" s="4" t="str">
        <v>ORD0226</v>
      </c>
      <c r="T33" s="4" t="str">
        <v>Monitor</v>
      </c>
      <c r="U33" s="4" t="str">
        <v>Peripherals</v>
      </c>
      <c r="V33" s="4" t="str">
        <v>South</v>
      </c>
      <c r="W33" s="4" t="str">
        <v>May-2025</v>
      </c>
      <c r="X33" s="4">
        <v>141463</v>
      </c>
      <c r="Y33" s="4">
        <v>12</v>
      </c>
      <c r="Z33" s="4">
        <v>95875.97</v>
      </c>
    </row>
    <row r="34" spans="1:26" x14ac:dyDescent="0.3">
      <c r="A34" s="4" t="str">
        <v>ORD0039</v>
      </c>
      <c r="B34" s="4" t="str">
        <v>Printer</v>
      </c>
      <c r="C34" s="4" t="str">
        <v>Peripherals</v>
      </c>
      <c r="D34" s="4" t="str">
        <v>East</v>
      </c>
      <c r="E34" s="4" t="str">
        <v>Jan-2025</v>
      </c>
      <c r="F34" s="4">
        <v>104793</v>
      </c>
      <c r="G34" s="4">
        <v>1</v>
      </c>
      <c r="H34" s="4">
        <v>73221.06</v>
      </c>
      <c r="J34" s="4" t="str">
        <v>ORD0109</v>
      </c>
      <c r="K34" s="4" t="str">
        <v>Tablet</v>
      </c>
      <c r="L34" s="4" t="str">
        <v>Electronics</v>
      </c>
      <c r="M34" s="4" t="str">
        <v>North</v>
      </c>
      <c r="N34" s="4" t="str">
        <v>Jun-2025</v>
      </c>
      <c r="O34" s="4">
        <v>63691</v>
      </c>
      <c r="P34" s="4">
        <v>13</v>
      </c>
      <c r="Q34" s="4">
        <v>46236.72</v>
      </c>
      <c r="S34" s="4" t="str">
        <v>ORD0367</v>
      </c>
      <c r="T34" s="4" t="str">
        <v>Mouse</v>
      </c>
      <c r="U34" s="4" t="str">
        <v>Accessories</v>
      </c>
      <c r="V34" s="4" t="str">
        <v>East</v>
      </c>
      <c r="W34" s="4" t="str">
        <v>Jan-2025</v>
      </c>
      <c r="X34" s="4">
        <v>141156</v>
      </c>
      <c r="Y34" s="4">
        <v>4</v>
      </c>
      <c r="Z34" s="4">
        <v>101746.26</v>
      </c>
    </row>
    <row r="35" spans="1:26" x14ac:dyDescent="0.3">
      <c r="A35" s="4" t="str">
        <v>ORD0040</v>
      </c>
      <c r="B35" s="4" t="str">
        <v>Keyboard</v>
      </c>
      <c r="C35" s="4" t="str">
        <v>Accessories</v>
      </c>
      <c r="D35" s="4" t="str">
        <v>West</v>
      </c>
      <c r="E35" s="4" t="str">
        <v>Jun-2025</v>
      </c>
      <c r="F35" s="4">
        <v>81441</v>
      </c>
      <c r="G35" s="4">
        <v>9</v>
      </c>
      <c r="H35" s="4">
        <v>59683.6</v>
      </c>
      <c r="J35" s="4" t="str">
        <v>ORD0111</v>
      </c>
      <c r="K35" s="4" t="str">
        <v>Laptop</v>
      </c>
      <c r="L35" s="4" t="str">
        <v>Electronics</v>
      </c>
      <c r="M35" s="4" t="str">
        <v>East</v>
      </c>
      <c r="N35" s="4" t="str">
        <v>Apr-2025</v>
      </c>
      <c r="O35" s="4">
        <v>102944</v>
      </c>
      <c r="P35" s="4">
        <v>2</v>
      </c>
      <c r="Q35" s="4">
        <v>71297.59</v>
      </c>
      <c r="S35" s="4" t="str">
        <v>ORD0458</v>
      </c>
      <c r="T35" s="4" t="str">
        <v>Headphones</v>
      </c>
      <c r="U35" s="4" t="str">
        <v>Accessories</v>
      </c>
      <c r="V35" s="4" t="str">
        <v>South</v>
      </c>
      <c r="W35" s="4" t="str">
        <v>Apr-2025</v>
      </c>
      <c r="X35" s="4">
        <v>140908</v>
      </c>
      <c r="Y35" s="4">
        <v>9</v>
      </c>
      <c r="Z35" s="4">
        <v>91849.41</v>
      </c>
    </row>
    <row r="36" spans="1:26" x14ac:dyDescent="0.3">
      <c r="A36" s="4" t="str">
        <v>ORD0041</v>
      </c>
      <c r="B36" s="4" t="str">
        <v>Phone</v>
      </c>
      <c r="C36" s="4" t="str">
        <v>Electronics</v>
      </c>
      <c r="D36" s="4" t="str">
        <v>North</v>
      </c>
      <c r="E36" s="4" t="str">
        <v>Sep-2025</v>
      </c>
      <c r="F36" s="4">
        <v>85608</v>
      </c>
      <c r="G36" s="4">
        <v>1</v>
      </c>
      <c r="H36" s="4">
        <v>62122.080000000002</v>
      </c>
      <c r="J36" s="4" t="str">
        <v>ORD0116</v>
      </c>
      <c r="K36" s="4" t="str">
        <v>Tablet</v>
      </c>
      <c r="L36" s="4" t="str">
        <v>Electronics</v>
      </c>
      <c r="M36" s="4" t="str">
        <v>West</v>
      </c>
      <c r="N36" s="4" t="str">
        <v>Mar-2025</v>
      </c>
      <c r="O36" s="4">
        <v>143818</v>
      </c>
      <c r="P36" s="4">
        <v>11</v>
      </c>
      <c r="Q36" s="4">
        <v>99096.07</v>
      </c>
      <c r="S36" s="4" t="str">
        <v>ORD0168</v>
      </c>
      <c r="T36" s="4" t="str">
        <v>Tablet</v>
      </c>
      <c r="U36" s="4" t="str">
        <v>Electronics</v>
      </c>
      <c r="V36" s="4" t="str">
        <v>West</v>
      </c>
      <c r="W36" s="4" t="str">
        <v>Mar-2025</v>
      </c>
      <c r="X36" s="4">
        <v>140509</v>
      </c>
      <c r="Y36" s="4">
        <v>4</v>
      </c>
      <c r="Z36" s="4">
        <v>85484.37</v>
      </c>
    </row>
    <row r="37" spans="1:26" x14ac:dyDescent="0.3">
      <c r="A37" s="4" t="str">
        <v>ORD0042</v>
      </c>
      <c r="B37" s="4" t="str">
        <v>Mouse</v>
      </c>
      <c r="C37" s="4" t="str">
        <v>Accessories</v>
      </c>
      <c r="D37" s="4" t="str">
        <v>South</v>
      </c>
      <c r="E37" s="4" t="str">
        <v>Dec-2025</v>
      </c>
      <c r="F37" s="4">
        <v>120231</v>
      </c>
      <c r="G37" s="4">
        <v>4</v>
      </c>
      <c r="H37" s="4">
        <v>77892.5</v>
      </c>
      <c r="J37" s="4" t="str">
        <v>ORD0118</v>
      </c>
      <c r="K37" s="4" t="str">
        <v>Tablet</v>
      </c>
      <c r="L37" s="4" t="str">
        <v>Electronics</v>
      </c>
      <c r="M37" s="4" t="str">
        <v>South</v>
      </c>
      <c r="N37" s="4" t="str">
        <v>May-2025</v>
      </c>
      <c r="O37" s="4">
        <v>62315</v>
      </c>
      <c r="P37" s="4">
        <v>11</v>
      </c>
      <c r="Q37" s="4">
        <v>43779.45</v>
      </c>
      <c r="S37" s="4" t="str">
        <v>ORD0215</v>
      </c>
      <c r="T37" s="4" t="str">
        <v>Printer</v>
      </c>
      <c r="U37" s="4" t="str">
        <v>Peripherals</v>
      </c>
      <c r="V37" s="4" t="str">
        <v>East</v>
      </c>
      <c r="W37" s="4" t="str">
        <v>Feb-2025</v>
      </c>
      <c r="X37" s="4">
        <v>140492</v>
      </c>
      <c r="Y37" s="4">
        <v>12</v>
      </c>
      <c r="Z37" s="4">
        <v>101947.49</v>
      </c>
    </row>
    <row r="38" spans="1:26" x14ac:dyDescent="0.3">
      <c r="A38" s="4" t="str">
        <v>ORD0043</v>
      </c>
      <c r="B38" s="4" t="str">
        <v>Laptop</v>
      </c>
      <c r="C38" s="4" t="str">
        <v>Electronics</v>
      </c>
      <c r="D38" s="4" t="str">
        <v>East</v>
      </c>
      <c r="E38" s="4" t="str">
        <v>Aug-2025</v>
      </c>
      <c r="F38" s="4">
        <v>136337</v>
      </c>
      <c r="G38" s="4">
        <v>9</v>
      </c>
      <c r="H38" s="4">
        <v>83242.080000000002</v>
      </c>
      <c r="J38" s="4" t="str">
        <v>ORD0124</v>
      </c>
      <c r="K38" s="4" t="str">
        <v>Laptop</v>
      </c>
      <c r="L38" s="4" t="str">
        <v>Electronics</v>
      </c>
      <c r="M38" s="4" t="str">
        <v>West</v>
      </c>
      <c r="N38" s="4" t="str">
        <v>Jul-2025</v>
      </c>
      <c r="O38" s="4">
        <v>89513</v>
      </c>
      <c r="P38" s="4">
        <v>4</v>
      </c>
      <c r="Q38" s="4">
        <v>60402.23</v>
      </c>
      <c r="S38" s="4" t="str">
        <v>ORD0061</v>
      </c>
      <c r="T38" s="4" t="str">
        <v>Keyboard</v>
      </c>
      <c r="U38" s="4" t="str">
        <v>Accessories</v>
      </c>
      <c r="V38" s="4" t="str">
        <v>North</v>
      </c>
      <c r="W38" s="4" t="str">
        <v>Apr-2025</v>
      </c>
      <c r="X38" s="4">
        <v>140481</v>
      </c>
      <c r="Y38" s="4">
        <v>11</v>
      </c>
      <c r="Z38" s="4">
        <v>93012.64</v>
      </c>
    </row>
    <row r="39" spans="1:26" x14ac:dyDescent="0.3">
      <c r="A39" s="4" t="str">
        <v>ORD0044</v>
      </c>
      <c r="B39" s="4" t="str">
        <v>Headphones</v>
      </c>
      <c r="C39" s="4" t="str">
        <v>Accessories</v>
      </c>
      <c r="D39" s="4" t="str">
        <v>West</v>
      </c>
      <c r="E39" s="4" t="str">
        <v>Mar-2025</v>
      </c>
      <c r="F39" s="4">
        <v>66919</v>
      </c>
      <c r="G39" s="4">
        <v>2</v>
      </c>
      <c r="H39" s="4">
        <v>45036.26</v>
      </c>
      <c r="J39" s="4" t="str">
        <v>ORD0131</v>
      </c>
      <c r="K39" s="4" t="str">
        <v>Phone</v>
      </c>
      <c r="L39" s="4" t="str">
        <v>Electronics</v>
      </c>
      <c r="M39" s="4" t="str">
        <v>East</v>
      </c>
      <c r="N39" s="4" t="str">
        <v>Jan-2025</v>
      </c>
      <c r="O39" s="4">
        <v>118909</v>
      </c>
      <c r="P39" s="4">
        <v>8</v>
      </c>
      <c r="Q39" s="4">
        <v>80462.66</v>
      </c>
      <c r="S39" s="4" t="str">
        <v>ORD0078</v>
      </c>
      <c r="T39" s="4" t="str">
        <v>Laptop</v>
      </c>
      <c r="U39" s="4" t="str">
        <v>Electronics</v>
      </c>
      <c r="V39" s="4" t="str">
        <v>South</v>
      </c>
      <c r="W39" s="4" t="str">
        <v>Dec-2025</v>
      </c>
      <c r="X39" s="4">
        <v>140417</v>
      </c>
      <c r="Y39" s="4">
        <v>9</v>
      </c>
      <c r="Z39" s="4">
        <v>90118.69</v>
      </c>
    </row>
    <row r="40" spans="1:26" x14ac:dyDescent="0.3">
      <c r="A40" s="4" t="str">
        <v>ORD0046</v>
      </c>
      <c r="B40" s="4" t="str">
        <v>Laptop</v>
      </c>
      <c r="C40" s="4" t="str">
        <v>Electronics</v>
      </c>
      <c r="D40" s="4" t="str">
        <v>South</v>
      </c>
      <c r="E40" s="4" t="str">
        <v>Oct-2025</v>
      </c>
      <c r="F40" s="4">
        <v>75036</v>
      </c>
      <c r="G40" s="4">
        <v>9</v>
      </c>
      <c r="H40" s="4">
        <v>50371.839999999997</v>
      </c>
      <c r="J40" s="4" t="str">
        <v>ORD0135</v>
      </c>
      <c r="K40" s="4" t="str">
        <v>Laptop</v>
      </c>
      <c r="L40" s="4" t="str">
        <v>Electronics</v>
      </c>
      <c r="M40" s="4" t="str">
        <v>East</v>
      </c>
      <c r="N40" s="4" t="str">
        <v>Nov-2025</v>
      </c>
      <c r="O40" s="4">
        <v>146429</v>
      </c>
      <c r="P40" s="4">
        <v>11</v>
      </c>
      <c r="Q40" s="4">
        <v>88999.78</v>
      </c>
      <c r="S40" s="4" t="str">
        <v>ORD0466</v>
      </c>
      <c r="T40" s="4" t="str">
        <v>Tablet</v>
      </c>
      <c r="U40" s="4" t="str">
        <v>Electronics</v>
      </c>
      <c r="V40" s="4" t="str">
        <v>South</v>
      </c>
      <c r="W40" s="4" t="str">
        <v>Nov-2025</v>
      </c>
      <c r="X40" s="4">
        <v>140234</v>
      </c>
      <c r="Y40" s="4">
        <v>4</v>
      </c>
      <c r="Z40" s="4">
        <v>89904.72</v>
      </c>
    </row>
    <row r="41" spans="1:26" x14ac:dyDescent="0.3">
      <c r="A41" s="4" t="str">
        <v>ORD0047</v>
      </c>
      <c r="B41" s="4" t="str">
        <v>Headphones</v>
      </c>
      <c r="C41" s="4" t="str">
        <v>Accessories</v>
      </c>
      <c r="D41" s="4" t="str">
        <v>East</v>
      </c>
      <c r="E41" s="4" t="str">
        <v>Oct-2025</v>
      </c>
      <c r="F41" s="4">
        <v>105004</v>
      </c>
      <c r="G41" s="4">
        <v>12</v>
      </c>
      <c r="H41" s="4">
        <v>64566.6</v>
      </c>
      <c r="J41" s="4" t="str">
        <v>ORD0139</v>
      </c>
      <c r="K41" s="4" t="str">
        <v>Tablet</v>
      </c>
      <c r="L41" s="4" t="str">
        <v>Electronics</v>
      </c>
      <c r="M41" s="4" t="str">
        <v>East</v>
      </c>
      <c r="N41" s="4" t="str">
        <v>Jan-2025</v>
      </c>
      <c r="O41" s="4">
        <v>67983</v>
      </c>
      <c r="P41" s="4">
        <v>10</v>
      </c>
      <c r="Q41" s="4">
        <v>44579.59</v>
      </c>
      <c r="S41" s="4" t="str">
        <v>ORD0484</v>
      </c>
      <c r="T41" s="4" t="str">
        <v>Printer</v>
      </c>
      <c r="U41" s="4" t="str">
        <v>Peripherals</v>
      </c>
      <c r="V41" s="4" t="str">
        <v>West</v>
      </c>
      <c r="W41" s="4" t="str">
        <v>Jul-2025</v>
      </c>
      <c r="X41" s="4">
        <v>140229</v>
      </c>
      <c r="Y41" s="4">
        <v>4</v>
      </c>
      <c r="Z41" s="4">
        <v>87504.29</v>
      </c>
    </row>
    <row r="42" spans="1:26" x14ac:dyDescent="0.3">
      <c r="A42" s="4" t="str">
        <v>ORD0048</v>
      </c>
      <c r="B42" s="4" t="str">
        <v>Monitor</v>
      </c>
      <c r="C42" s="4" t="str">
        <v>Peripherals</v>
      </c>
      <c r="D42" s="4" t="str">
        <v>West</v>
      </c>
      <c r="E42" s="4" t="str">
        <v>Mar-2025</v>
      </c>
      <c r="F42" s="4">
        <v>98116</v>
      </c>
      <c r="G42" s="4">
        <v>1</v>
      </c>
      <c r="H42" s="4">
        <v>67738.7</v>
      </c>
      <c r="J42" s="4" t="str">
        <v>ORD0142</v>
      </c>
      <c r="K42" s="4" t="str">
        <v>Phone</v>
      </c>
      <c r="L42" s="4" t="str">
        <v>Electronics</v>
      </c>
      <c r="M42" s="4" t="str">
        <v>South</v>
      </c>
      <c r="N42" s="4" t="str">
        <v>Dec-2025</v>
      </c>
      <c r="O42" s="4">
        <v>96555</v>
      </c>
      <c r="P42" s="4">
        <v>5</v>
      </c>
      <c r="Q42" s="4">
        <v>62385.279999999999</v>
      </c>
      <c r="S42" s="4" t="str">
        <v>ORD0381</v>
      </c>
      <c r="T42" s="4" t="str">
        <v>Headphones</v>
      </c>
      <c r="U42" s="4" t="str">
        <v>Accessories</v>
      </c>
      <c r="V42" s="4" t="str">
        <v>North</v>
      </c>
      <c r="W42" s="4" t="str">
        <v>Jan-2025</v>
      </c>
      <c r="X42" s="4">
        <v>139861</v>
      </c>
      <c r="Y42" s="4">
        <v>4</v>
      </c>
      <c r="Z42" s="4">
        <v>90485.14</v>
      </c>
    </row>
    <row r="43" spans="1:26" x14ac:dyDescent="0.3">
      <c r="A43" s="4" t="str">
        <v>ORD0049</v>
      </c>
      <c r="B43" s="4" t="str">
        <v>Mouse</v>
      </c>
      <c r="C43" s="4" t="str">
        <v>Accessories</v>
      </c>
      <c r="D43" s="4" t="str">
        <v>North</v>
      </c>
      <c r="E43" s="4" t="str">
        <v>Oct-2025</v>
      </c>
      <c r="F43" s="4">
        <v>58069</v>
      </c>
      <c r="G43" s="4">
        <v>14</v>
      </c>
      <c r="H43" s="4">
        <v>42374.77</v>
      </c>
      <c r="J43" s="4" t="str">
        <v>ORD0143</v>
      </c>
      <c r="K43" s="4" t="str">
        <v>Tablet</v>
      </c>
      <c r="L43" s="4" t="str">
        <v>Electronics</v>
      </c>
      <c r="M43" s="4" t="str">
        <v>East</v>
      </c>
      <c r="N43" s="4" t="str">
        <v>Jan-2025</v>
      </c>
      <c r="O43" s="4">
        <v>128631</v>
      </c>
      <c r="P43" s="4">
        <v>12</v>
      </c>
      <c r="Q43" s="4">
        <v>80192.3</v>
      </c>
      <c r="S43" s="4" t="str">
        <v>ORD0324</v>
      </c>
      <c r="T43" s="4" t="str">
        <v>Keyboard</v>
      </c>
      <c r="U43" s="4" t="str">
        <v>Accessories</v>
      </c>
      <c r="V43" s="4" t="str">
        <v>West</v>
      </c>
      <c r="W43" s="4" t="str">
        <v>Feb-2025</v>
      </c>
      <c r="X43" s="4">
        <v>139663</v>
      </c>
      <c r="Y43" s="4">
        <v>9</v>
      </c>
      <c r="Z43" s="4">
        <v>101703.97</v>
      </c>
    </row>
    <row r="44" spans="1:26" x14ac:dyDescent="0.3">
      <c r="A44" s="4" t="str">
        <v>ORD0050</v>
      </c>
      <c r="B44" s="4" t="str">
        <v>Phone</v>
      </c>
      <c r="C44" s="4" t="str">
        <v>Electronics</v>
      </c>
      <c r="D44" s="4" t="str">
        <v>South</v>
      </c>
      <c r="E44" s="4" t="str">
        <v>Dec-2025</v>
      </c>
      <c r="F44" s="4">
        <v>54464</v>
      </c>
      <c r="G44" s="4">
        <v>3</v>
      </c>
      <c r="H44" s="4">
        <v>38191.75</v>
      </c>
      <c r="J44" s="4" t="str">
        <v>ORD0146</v>
      </c>
      <c r="K44" s="4" t="str">
        <v>Laptop</v>
      </c>
      <c r="L44" s="4" t="str">
        <v>Electronics</v>
      </c>
      <c r="M44" s="4" t="str">
        <v>South</v>
      </c>
      <c r="N44" s="4" t="str">
        <v>Jul-2025</v>
      </c>
      <c r="O44" s="4">
        <v>38107</v>
      </c>
      <c r="P44" s="4">
        <v>13</v>
      </c>
      <c r="Q44" s="4">
        <v>27367.3</v>
      </c>
      <c r="S44" s="4" t="str">
        <v>ORD0060</v>
      </c>
      <c r="T44" s="4" t="str">
        <v>Monitor</v>
      </c>
      <c r="U44" s="4" t="str">
        <v>Peripherals</v>
      </c>
      <c r="V44" s="4" t="str">
        <v>West</v>
      </c>
      <c r="W44" s="4" t="str">
        <v>Jan-2025</v>
      </c>
      <c r="X44" s="4">
        <v>138990</v>
      </c>
      <c r="Y44" s="4">
        <v>8</v>
      </c>
      <c r="Z44" s="4">
        <v>103615.23</v>
      </c>
    </row>
    <row r="45" spans="1:26" x14ac:dyDescent="0.3">
      <c r="A45" s="4" t="str">
        <v>ORD0051</v>
      </c>
      <c r="B45" s="4" t="str">
        <v>Phone</v>
      </c>
      <c r="C45" s="4" t="str">
        <v>Electronics</v>
      </c>
      <c r="D45" s="4" t="str">
        <v>East</v>
      </c>
      <c r="E45" s="4" t="str">
        <v>Sep-2025</v>
      </c>
      <c r="F45" s="4">
        <v>82994</v>
      </c>
      <c r="G45" s="4">
        <v>12</v>
      </c>
      <c r="H45" s="4">
        <v>60725.760000000002</v>
      </c>
      <c r="J45" s="4" t="str">
        <v>ORD0147</v>
      </c>
      <c r="K45" s="4" t="str">
        <v>Phone</v>
      </c>
      <c r="L45" s="4" t="str">
        <v>Electronics</v>
      </c>
      <c r="M45" s="4" t="str">
        <v>East</v>
      </c>
      <c r="N45" s="4" t="str">
        <v>Aug-2025</v>
      </c>
      <c r="O45" s="4">
        <v>31409</v>
      </c>
      <c r="P45" s="4">
        <v>6</v>
      </c>
      <c r="Q45" s="4">
        <v>21935.759999999998</v>
      </c>
      <c r="S45" s="4" t="str">
        <v>ORD0034</v>
      </c>
      <c r="T45" s="4" t="str">
        <v>Keyboard</v>
      </c>
      <c r="U45" s="4" t="str">
        <v>Accessories</v>
      </c>
      <c r="V45" s="4" t="str">
        <v>South</v>
      </c>
      <c r="W45" s="4" t="str">
        <v>Apr-2025</v>
      </c>
      <c r="X45" s="4">
        <v>138733</v>
      </c>
      <c r="Y45" s="4">
        <v>8</v>
      </c>
      <c r="Z45" s="4">
        <v>87961.46</v>
      </c>
    </row>
    <row r="46" spans="1:26" x14ac:dyDescent="0.3">
      <c r="A46" s="4" t="str">
        <v>ORD0052</v>
      </c>
      <c r="B46" s="4" t="str">
        <v>Keyboard</v>
      </c>
      <c r="C46" s="4" t="str">
        <v>Accessories</v>
      </c>
      <c r="D46" s="4" t="str">
        <v>West</v>
      </c>
      <c r="E46" s="4" t="str">
        <v>Oct-2025</v>
      </c>
      <c r="F46" s="4">
        <v>102468</v>
      </c>
      <c r="G46" s="4">
        <v>11</v>
      </c>
      <c r="H46" s="4">
        <v>61920.480000000003</v>
      </c>
      <c r="J46" s="4" t="str">
        <v>ORD0150</v>
      </c>
      <c r="K46" s="4" t="str">
        <v>Tablet</v>
      </c>
      <c r="L46" s="4" t="str">
        <v>Electronics</v>
      </c>
      <c r="M46" s="4" t="str">
        <v>South</v>
      </c>
      <c r="N46" s="4" t="str">
        <v>Feb-2025</v>
      </c>
      <c r="O46" s="4">
        <v>62305</v>
      </c>
      <c r="P46" s="4">
        <v>1</v>
      </c>
      <c r="Q46" s="4">
        <v>44588.23</v>
      </c>
      <c r="S46" s="4" t="str">
        <v>ORD0448</v>
      </c>
      <c r="T46" s="4" t="str">
        <v>Keyboard</v>
      </c>
      <c r="U46" s="4" t="str">
        <v>Accessories</v>
      </c>
      <c r="V46" s="4" t="str">
        <v>West</v>
      </c>
      <c r="W46" s="4" t="str">
        <v>Jul-2025</v>
      </c>
      <c r="X46" s="4">
        <v>138701</v>
      </c>
      <c r="Y46" s="4">
        <v>10</v>
      </c>
      <c r="Z46" s="4">
        <v>101116.75</v>
      </c>
    </row>
    <row r="47" spans="1:26" x14ac:dyDescent="0.3">
      <c r="A47" s="4" t="str">
        <v>ORD0056</v>
      </c>
      <c r="B47" s="4" t="str">
        <v>Mouse</v>
      </c>
      <c r="C47" s="4" t="str">
        <v>Accessories</v>
      </c>
      <c r="D47" s="4" t="str">
        <v>West</v>
      </c>
      <c r="E47" s="4" t="str">
        <v>Jul-2025</v>
      </c>
      <c r="F47" s="4">
        <v>148326</v>
      </c>
      <c r="G47" s="4">
        <v>9</v>
      </c>
      <c r="H47" s="4">
        <v>108557.11</v>
      </c>
      <c r="J47" s="4" t="str">
        <v>ORD0151</v>
      </c>
      <c r="K47" s="4" t="str">
        <v>Tablet</v>
      </c>
      <c r="L47" s="4" t="str">
        <v>Electronics</v>
      </c>
      <c r="M47" s="4" t="str">
        <v>East</v>
      </c>
      <c r="N47" s="4" t="str">
        <v>Mar-2025</v>
      </c>
      <c r="O47" s="4">
        <v>104055</v>
      </c>
      <c r="P47" s="4">
        <v>10</v>
      </c>
      <c r="Q47" s="4">
        <v>67486</v>
      </c>
      <c r="S47" s="4" t="str">
        <v>ORD0292</v>
      </c>
      <c r="T47" s="4" t="str">
        <v>Laptop</v>
      </c>
      <c r="U47" s="4" t="str">
        <v>Electronics</v>
      </c>
      <c r="V47" s="4" t="str">
        <v>West</v>
      </c>
      <c r="W47" s="4" t="str">
        <v>May-2025</v>
      </c>
      <c r="X47" s="4">
        <v>138320</v>
      </c>
      <c r="Y47" s="4">
        <v>8</v>
      </c>
      <c r="Z47" s="4">
        <v>98859.39</v>
      </c>
    </row>
    <row r="48" spans="1:26" x14ac:dyDescent="0.3">
      <c r="A48" s="4" t="str">
        <v>ORD0058</v>
      </c>
      <c r="B48" s="4" t="str">
        <v>Tablet</v>
      </c>
      <c r="C48" s="4" t="str">
        <v>Electronics</v>
      </c>
      <c r="D48" s="4" t="str">
        <v>South</v>
      </c>
      <c r="E48" s="4" t="str">
        <v>Nov-2025</v>
      </c>
      <c r="F48" s="4">
        <v>104612</v>
      </c>
      <c r="G48" s="4">
        <v>14</v>
      </c>
      <c r="H48" s="4">
        <v>63528.58</v>
      </c>
      <c r="J48" s="4" t="str">
        <v>ORD0152</v>
      </c>
      <c r="K48" s="4" t="str">
        <v>Laptop</v>
      </c>
      <c r="L48" s="4" t="str">
        <v>Electronics</v>
      </c>
      <c r="M48" s="4" t="str">
        <v>West</v>
      </c>
      <c r="N48" s="4" t="str">
        <v>Feb-2025</v>
      </c>
      <c r="O48" s="4">
        <v>137258</v>
      </c>
      <c r="P48" s="4">
        <v>13</v>
      </c>
      <c r="Q48" s="4">
        <v>98519.09</v>
      </c>
      <c r="S48" s="4" t="str">
        <v>ORD0127</v>
      </c>
      <c r="T48" s="4" t="str">
        <v>Printer</v>
      </c>
      <c r="U48" s="4" t="str">
        <v>Peripherals</v>
      </c>
      <c r="V48" s="4" t="str">
        <v>East</v>
      </c>
      <c r="W48" s="4" t="str">
        <v>Oct-2025</v>
      </c>
      <c r="X48" s="4">
        <v>137927</v>
      </c>
      <c r="Y48" s="4">
        <v>2</v>
      </c>
      <c r="Z48" s="4">
        <v>94977.04</v>
      </c>
    </row>
    <row r="49" spans="1:26" x14ac:dyDescent="0.3">
      <c r="A49" s="4" t="str">
        <v>ORD0059</v>
      </c>
      <c r="B49" s="4" t="str">
        <v>Tablet</v>
      </c>
      <c r="C49" s="4" t="str">
        <v>Electronics</v>
      </c>
      <c r="D49" s="4" t="str">
        <v>East</v>
      </c>
      <c r="E49" s="4" t="str">
        <v>Oct-2025</v>
      </c>
      <c r="F49" s="4">
        <v>116610</v>
      </c>
      <c r="G49" s="4">
        <v>6</v>
      </c>
      <c r="H49" s="4">
        <v>70568.31</v>
      </c>
      <c r="J49" s="4" t="str">
        <v>ORD0159</v>
      </c>
      <c r="K49" s="4" t="str">
        <v>Laptop</v>
      </c>
      <c r="L49" s="4" t="str">
        <v>Electronics</v>
      </c>
      <c r="M49" s="4" t="str">
        <v>East</v>
      </c>
      <c r="N49" s="4" t="str">
        <v>Jun-2025</v>
      </c>
      <c r="O49" s="4">
        <v>103446</v>
      </c>
      <c r="P49" s="4">
        <v>6</v>
      </c>
      <c r="Q49" s="4">
        <v>63844.72</v>
      </c>
      <c r="S49" s="4" t="str">
        <v>ORD0406</v>
      </c>
      <c r="T49" s="4" t="str">
        <v>Headphones</v>
      </c>
      <c r="U49" s="4" t="str">
        <v>Accessories</v>
      </c>
      <c r="V49" s="4" t="str">
        <v>South</v>
      </c>
      <c r="W49" s="4" t="str">
        <v>May-2025</v>
      </c>
      <c r="X49" s="4">
        <v>137915</v>
      </c>
      <c r="Y49" s="4">
        <v>9</v>
      </c>
      <c r="Z49" s="4">
        <v>101371.04</v>
      </c>
    </row>
    <row r="50" spans="1:26" x14ac:dyDescent="0.3">
      <c r="A50" s="4" t="str">
        <v>ORD0060</v>
      </c>
      <c r="B50" s="4" t="str">
        <v>Monitor</v>
      </c>
      <c r="C50" s="4" t="str">
        <v>Peripherals</v>
      </c>
      <c r="D50" s="4" t="str">
        <v>West</v>
      </c>
      <c r="E50" s="4" t="str">
        <v>Jan-2025</v>
      </c>
      <c r="F50" s="4">
        <v>138990</v>
      </c>
      <c r="G50" s="4">
        <v>8</v>
      </c>
      <c r="H50" s="4">
        <v>103615.23</v>
      </c>
      <c r="J50" s="4" t="str">
        <v>ORD0163</v>
      </c>
      <c r="K50" s="4" t="str">
        <v>Laptop</v>
      </c>
      <c r="L50" s="4" t="str">
        <v>Electronics</v>
      </c>
      <c r="M50" s="4" t="str">
        <v>East</v>
      </c>
      <c r="N50" s="4" t="str">
        <v>Jun-2025</v>
      </c>
      <c r="O50" s="4">
        <v>52062</v>
      </c>
      <c r="P50" s="4">
        <v>9</v>
      </c>
      <c r="Q50" s="4">
        <v>34691.57</v>
      </c>
      <c r="S50" s="4" t="str">
        <v>ORD0416</v>
      </c>
      <c r="T50" s="4" t="str">
        <v>Printer</v>
      </c>
      <c r="U50" s="4" t="str">
        <v>Peripherals</v>
      </c>
      <c r="V50" s="4" t="str">
        <v>West</v>
      </c>
      <c r="W50" s="4" t="str">
        <v>Jun-2025</v>
      </c>
      <c r="X50" s="4">
        <v>137813</v>
      </c>
      <c r="Y50" s="4">
        <v>13</v>
      </c>
      <c r="Z50" s="4">
        <v>84242.98</v>
      </c>
    </row>
    <row r="51" spans="1:26" x14ac:dyDescent="0.3">
      <c r="A51" s="4" t="str">
        <v>ORD0061</v>
      </c>
      <c r="B51" s="4" t="str">
        <v>Keyboard</v>
      </c>
      <c r="C51" s="4" t="str">
        <v>Accessories</v>
      </c>
      <c r="D51" s="4" t="str">
        <v>North</v>
      </c>
      <c r="E51" s="4" t="str">
        <v>Apr-2025</v>
      </c>
      <c r="F51" s="4">
        <v>140481</v>
      </c>
      <c r="G51" s="4">
        <v>11</v>
      </c>
      <c r="H51" s="4">
        <v>93012.64</v>
      </c>
      <c r="J51" s="4" t="str">
        <v>ORD0164</v>
      </c>
      <c r="K51" s="4" t="str">
        <v>Laptop</v>
      </c>
      <c r="L51" s="4" t="str">
        <v>Electronics</v>
      </c>
      <c r="M51" s="4" t="str">
        <v>West</v>
      </c>
      <c r="N51" s="4" t="str">
        <v>Nov-2025</v>
      </c>
      <c r="O51" s="4">
        <v>6365</v>
      </c>
      <c r="P51" s="4">
        <v>5</v>
      </c>
      <c r="Q51" s="4">
        <v>4128.62</v>
      </c>
      <c r="S51" s="4" t="str">
        <v>ORD0153</v>
      </c>
      <c r="T51" s="4" t="str">
        <v>Keyboard</v>
      </c>
      <c r="U51" s="4" t="str">
        <v>Accessories</v>
      </c>
      <c r="V51" s="4" t="str">
        <v>North</v>
      </c>
      <c r="W51" s="4" t="str">
        <v>May-2025</v>
      </c>
      <c r="X51" s="4">
        <v>137491</v>
      </c>
      <c r="Y51" s="4">
        <v>2</v>
      </c>
      <c r="Z51" s="4">
        <v>101727.66</v>
      </c>
    </row>
    <row r="52" spans="1:26" x14ac:dyDescent="0.3">
      <c r="A52" s="4" t="str">
        <v>ORD0062</v>
      </c>
      <c r="B52" s="4" t="str">
        <v>Tablet</v>
      </c>
      <c r="C52" s="4" t="str">
        <v>Electronics</v>
      </c>
      <c r="D52" s="4" t="str">
        <v>South</v>
      </c>
      <c r="E52" s="4" t="str">
        <v>Dec-2025</v>
      </c>
      <c r="F52" s="4">
        <v>94839</v>
      </c>
      <c r="G52" s="4">
        <v>12</v>
      </c>
      <c r="H52" s="4">
        <v>63674.81</v>
      </c>
      <c r="J52" s="4" t="str">
        <v>ORD0168</v>
      </c>
      <c r="K52" s="4" t="str">
        <v>Tablet</v>
      </c>
      <c r="L52" s="4" t="str">
        <v>Electronics</v>
      </c>
      <c r="M52" s="4" t="str">
        <v>West</v>
      </c>
      <c r="N52" s="4" t="str">
        <v>Mar-2025</v>
      </c>
      <c r="O52" s="4">
        <v>140509</v>
      </c>
      <c r="P52" s="4">
        <v>4</v>
      </c>
      <c r="Q52" s="4">
        <v>85484.37</v>
      </c>
      <c r="S52" s="4" t="str">
        <v>ORD0479</v>
      </c>
      <c r="T52" s="4" t="str">
        <v>Phone</v>
      </c>
      <c r="U52" s="4" t="str">
        <v>Electronics</v>
      </c>
      <c r="V52" s="4" t="str">
        <v>East</v>
      </c>
      <c r="W52" s="4" t="str">
        <v>Aug-2025</v>
      </c>
      <c r="X52" s="4">
        <v>137488</v>
      </c>
      <c r="Y52" s="4">
        <v>12</v>
      </c>
      <c r="Z52" s="4">
        <v>93479.21</v>
      </c>
    </row>
    <row r="53" spans="1:26" x14ac:dyDescent="0.3">
      <c r="A53" s="4" t="str">
        <v>ORD0063</v>
      </c>
      <c r="B53" s="4" t="str">
        <v>Mouse</v>
      </c>
      <c r="C53" s="4" t="str">
        <v>Accessories</v>
      </c>
      <c r="D53" s="4" t="str">
        <v>East</v>
      </c>
      <c r="E53" s="4" t="str">
        <v>Apr-2025</v>
      </c>
      <c r="F53" s="4">
        <v>89800</v>
      </c>
      <c r="G53" s="4">
        <v>1</v>
      </c>
      <c r="H53" s="4">
        <v>62545.38</v>
      </c>
      <c r="J53" s="4" t="str">
        <v>ORD0174</v>
      </c>
      <c r="K53" s="4" t="str">
        <v>Tablet</v>
      </c>
      <c r="L53" s="4" t="str">
        <v>Electronics</v>
      </c>
      <c r="M53" s="4" t="str">
        <v>South</v>
      </c>
      <c r="N53" s="4" t="str">
        <v>May-2025</v>
      </c>
      <c r="O53" s="4">
        <v>106387</v>
      </c>
      <c r="P53" s="4">
        <v>9</v>
      </c>
      <c r="Q53" s="4">
        <v>73497.78</v>
      </c>
      <c r="S53" s="4" t="str">
        <v>ORD0152</v>
      </c>
      <c r="T53" s="4" t="str">
        <v>Laptop</v>
      </c>
      <c r="U53" s="4" t="str">
        <v>Electronics</v>
      </c>
      <c r="V53" s="4" t="str">
        <v>West</v>
      </c>
      <c r="W53" s="4" t="str">
        <v>Feb-2025</v>
      </c>
      <c r="X53" s="4">
        <v>137258</v>
      </c>
      <c r="Y53" s="4">
        <v>13</v>
      </c>
      <c r="Z53" s="4">
        <v>98519.09</v>
      </c>
    </row>
    <row r="54" spans="1:26" x14ac:dyDescent="0.3">
      <c r="A54" s="4" t="str">
        <v>ORD0064</v>
      </c>
      <c r="B54" s="4" t="str">
        <v>Printer</v>
      </c>
      <c r="C54" s="4" t="str">
        <v>Peripherals</v>
      </c>
      <c r="D54" s="4" t="str">
        <v>West</v>
      </c>
      <c r="E54" s="4" t="str">
        <v>Aug-2025</v>
      </c>
      <c r="F54" s="4">
        <v>63354</v>
      </c>
      <c r="G54" s="4">
        <v>9</v>
      </c>
      <c r="H54" s="4">
        <v>44156.99</v>
      </c>
      <c r="J54" s="4" t="str">
        <v>ORD0175</v>
      </c>
      <c r="K54" s="4" t="str">
        <v>Laptop</v>
      </c>
      <c r="L54" s="4" t="str">
        <v>Electronics</v>
      </c>
      <c r="M54" s="4" t="str">
        <v>East</v>
      </c>
      <c r="N54" s="4" t="str">
        <v>Feb-2025</v>
      </c>
      <c r="O54" s="4">
        <v>121562</v>
      </c>
      <c r="P54" s="4">
        <v>11</v>
      </c>
      <c r="Q54" s="4">
        <v>73378.350000000006</v>
      </c>
      <c r="S54" s="4" t="str">
        <v>ORD0337</v>
      </c>
      <c r="T54" s="4" t="str">
        <v>Mouse</v>
      </c>
      <c r="U54" s="4" t="str">
        <v>Accessories</v>
      </c>
      <c r="V54" s="4" t="str">
        <v>North</v>
      </c>
      <c r="W54" s="4" t="str">
        <v>Apr-2025</v>
      </c>
      <c r="X54" s="4">
        <v>136939</v>
      </c>
      <c r="Y54" s="4">
        <v>2</v>
      </c>
      <c r="Z54" s="4">
        <v>85940.21</v>
      </c>
    </row>
    <row r="55" spans="1:26" x14ac:dyDescent="0.3">
      <c r="A55" s="4" t="str">
        <v>ORD0065</v>
      </c>
      <c r="B55" s="4" t="str">
        <v>Printer</v>
      </c>
      <c r="C55" s="4" t="str">
        <v>Peripherals</v>
      </c>
      <c r="D55" s="4" t="str">
        <v>North</v>
      </c>
      <c r="E55" s="4" t="str">
        <v>Apr-2025</v>
      </c>
      <c r="F55" s="4">
        <v>67681</v>
      </c>
      <c r="G55" s="4">
        <v>12</v>
      </c>
      <c r="H55" s="4">
        <v>50584.72</v>
      </c>
      <c r="J55" s="4" t="str">
        <v>ORD0176</v>
      </c>
      <c r="K55" s="4" t="str">
        <v>Laptop</v>
      </c>
      <c r="L55" s="4" t="str">
        <v>Electronics</v>
      </c>
      <c r="M55" s="4" t="str">
        <v>West</v>
      </c>
      <c r="N55" s="4" t="str">
        <v>Nov-2025</v>
      </c>
      <c r="O55" s="4">
        <v>37443</v>
      </c>
      <c r="P55" s="4">
        <v>13</v>
      </c>
      <c r="Q55" s="4">
        <v>25817.03</v>
      </c>
      <c r="S55" s="4" t="str">
        <v>ORD0454</v>
      </c>
      <c r="T55" s="4" t="str">
        <v>Tablet</v>
      </c>
      <c r="U55" s="4" t="str">
        <v>Electronics</v>
      </c>
      <c r="V55" s="4" t="str">
        <v>South</v>
      </c>
      <c r="W55" s="4" t="str">
        <v>Oct-2025</v>
      </c>
      <c r="X55" s="4">
        <v>136646</v>
      </c>
      <c r="Y55" s="4">
        <v>8</v>
      </c>
      <c r="Z55" s="4">
        <v>88756.17</v>
      </c>
    </row>
    <row r="56" spans="1:26" x14ac:dyDescent="0.3">
      <c r="A56" s="4" t="str">
        <v>ORD0067</v>
      </c>
      <c r="B56" s="4" t="str">
        <v>Keyboard</v>
      </c>
      <c r="C56" s="4" t="str">
        <v>Accessories</v>
      </c>
      <c r="D56" s="4" t="str">
        <v>East</v>
      </c>
      <c r="E56" s="4" t="str">
        <v>Jun-2025</v>
      </c>
      <c r="F56" s="4">
        <v>96106</v>
      </c>
      <c r="G56" s="4">
        <v>4</v>
      </c>
      <c r="H56" s="4">
        <v>65435.62</v>
      </c>
      <c r="J56" s="4" t="str">
        <v>ORD0178</v>
      </c>
      <c r="K56" s="4" t="str">
        <v>Phone</v>
      </c>
      <c r="L56" s="4" t="str">
        <v>Electronics</v>
      </c>
      <c r="M56" s="4" t="str">
        <v>South</v>
      </c>
      <c r="N56" s="4" t="str">
        <v>Oct-2025</v>
      </c>
      <c r="O56" s="4">
        <v>56685</v>
      </c>
      <c r="P56" s="4">
        <v>2</v>
      </c>
      <c r="Q56" s="4">
        <v>37750.74</v>
      </c>
      <c r="S56" s="4" t="str">
        <v>ORD0043</v>
      </c>
      <c r="T56" s="4" t="str">
        <v>Laptop</v>
      </c>
      <c r="U56" s="4" t="str">
        <v>Electronics</v>
      </c>
      <c r="V56" s="4" t="str">
        <v>East</v>
      </c>
      <c r="W56" s="4" t="str">
        <v>Aug-2025</v>
      </c>
      <c r="X56" s="4">
        <v>136337</v>
      </c>
      <c r="Y56" s="4">
        <v>9</v>
      </c>
      <c r="Z56" s="4">
        <v>83242.080000000002</v>
      </c>
    </row>
    <row r="57" spans="1:26" x14ac:dyDescent="0.3">
      <c r="A57" s="4" t="str">
        <v>ORD0068</v>
      </c>
      <c r="B57" s="4" t="str">
        <v>Phone</v>
      </c>
      <c r="C57" s="4" t="str">
        <v>Electronics</v>
      </c>
      <c r="D57" s="4" t="str">
        <v>West</v>
      </c>
      <c r="E57" s="4" t="str">
        <v>Dec-2025</v>
      </c>
      <c r="F57" s="4">
        <v>70507</v>
      </c>
      <c r="G57" s="4">
        <v>1</v>
      </c>
      <c r="H57" s="4">
        <v>49512.959999999999</v>
      </c>
      <c r="J57" s="4" t="str">
        <v>ORD0184</v>
      </c>
      <c r="K57" s="4" t="str">
        <v>Phone</v>
      </c>
      <c r="L57" s="4" t="str">
        <v>Electronics</v>
      </c>
      <c r="M57" s="4" t="str">
        <v>West</v>
      </c>
      <c r="N57" s="4" t="str">
        <v>Jul-2025</v>
      </c>
      <c r="O57" s="4">
        <v>9992</v>
      </c>
      <c r="P57" s="4">
        <v>7</v>
      </c>
      <c r="Q57" s="4">
        <v>6455.39</v>
      </c>
      <c r="S57" s="4" t="str">
        <v>ORD0256</v>
      </c>
      <c r="T57" s="4" t="str">
        <v>Mouse</v>
      </c>
      <c r="U57" s="4" t="str">
        <v>Accessories</v>
      </c>
      <c r="V57" s="4" t="str">
        <v>West</v>
      </c>
      <c r="W57" s="4" t="str">
        <v>Mar-2025</v>
      </c>
      <c r="X57" s="4">
        <v>135557</v>
      </c>
      <c r="Y57" s="4">
        <v>4</v>
      </c>
      <c r="Z57" s="4">
        <v>86786.41</v>
      </c>
    </row>
    <row r="58" spans="1:26" x14ac:dyDescent="0.3">
      <c r="A58" s="4" t="str">
        <v>ORD0070</v>
      </c>
      <c r="B58" s="4" t="str">
        <v>Monitor</v>
      </c>
      <c r="C58" s="4" t="str">
        <v>Peripherals</v>
      </c>
      <c r="D58" s="4" t="str">
        <v>South</v>
      </c>
      <c r="E58" s="4" t="str">
        <v>Oct-2025</v>
      </c>
      <c r="F58" s="4">
        <v>118732</v>
      </c>
      <c r="G58" s="4">
        <v>13</v>
      </c>
      <c r="H58" s="4">
        <v>85755.35</v>
      </c>
      <c r="J58" s="4" t="str">
        <v>ORD0191</v>
      </c>
      <c r="K58" s="4" t="str">
        <v>Tablet</v>
      </c>
      <c r="L58" s="4" t="str">
        <v>Electronics</v>
      </c>
      <c r="M58" s="4" t="str">
        <v>East</v>
      </c>
      <c r="N58" s="4" t="str">
        <v>Apr-2025</v>
      </c>
      <c r="O58" s="4">
        <v>84547</v>
      </c>
      <c r="P58" s="4">
        <v>3</v>
      </c>
      <c r="Q58" s="4">
        <v>60256.04</v>
      </c>
      <c r="S58" s="4" t="str">
        <v>ORD0390</v>
      </c>
      <c r="T58" s="4" t="str">
        <v>Laptop</v>
      </c>
      <c r="U58" s="4" t="str">
        <v>Electronics</v>
      </c>
      <c r="V58" s="4" t="str">
        <v>South</v>
      </c>
      <c r="W58" s="4" t="str">
        <v>Jun-2025</v>
      </c>
      <c r="X58" s="4">
        <v>134999</v>
      </c>
      <c r="Y58" s="4">
        <v>1</v>
      </c>
      <c r="Z58" s="4">
        <v>101077.19</v>
      </c>
    </row>
    <row r="59" spans="1:26" x14ac:dyDescent="0.3">
      <c r="A59" s="4" t="str">
        <v>ORD0071</v>
      </c>
      <c r="B59" s="4" t="str">
        <v>Keyboard</v>
      </c>
      <c r="C59" s="4" t="str">
        <v>Accessories</v>
      </c>
      <c r="D59" s="4" t="str">
        <v>East</v>
      </c>
      <c r="E59" s="4" t="str">
        <v>Feb-2025</v>
      </c>
      <c r="F59" s="4">
        <v>73409</v>
      </c>
      <c r="G59" s="4">
        <v>10</v>
      </c>
      <c r="H59" s="4">
        <v>48166.55</v>
      </c>
      <c r="J59" s="4" t="str">
        <v>ORD0193</v>
      </c>
      <c r="K59" s="4" t="str">
        <v>Laptop</v>
      </c>
      <c r="L59" s="4" t="str">
        <v>Electronics</v>
      </c>
      <c r="M59" s="4" t="str">
        <v>North</v>
      </c>
      <c r="N59" s="4" t="str">
        <v>Feb-2025</v>
      </c>
      <c r="O59" s="4">
        <v>56395</v>
      </c>
      <c r="P59" s="4">
        <v>11</v>
      </c>
      <c r="Q59" s="4">
        <v>34371.18</v>
      </c>
      <c r="S59" s="4" t="str">
        <v>ORD0221</v>
      </c>
      <c r="T59" s="4" t="str">
        <v>Printer</v>
      </c>
      <c r="U59" s="4" t="str">
        <v>Peripherals</v>
      </c>
      <c r="V59" s="4" t="str">
        <v>North</v>
      </c>
      <c r="W59" s="4" t="str">
        <v>Sep-2025</v>
      </c>
      <c r="X59" s="4">
        <v>134678</v>
      </c>
      <c r="Y59" s="4">
        <v>6</v>
      </c>
      <c r="Z59" s="4">
        <v>84588.17</v>
      </c>
    </row>
    <row r="60" spans="1:26" x14ac:dyDescent="0.3">
      <c r="A60" s="4" t="str">
        <v>ORD0072</v>
      </c>
      <c r="B60" s="4" t="str">
        <v>Tablet</v>
      </c>
      <c r="C60" s="4" t="str">
        <v>Electronics</v>
      </c>
      <c r="D60" s="4" t="str">
        <v>West</v>
      </c>
      <c r="E60" s="4" t="str">
        <v>Feb-2025</v>
      </c>
      <c r="F60" s="4">
        <v>59492</v>
      </c>
      <c r="G60" s="4">
        <v>3</v>
      </c>
      <c r="H60" s="4">
        <v>41221.699999999997</v>
      </c>
      <c r="J60" s="4" t="str">
        <v>ORD0194</v>
      </c>
      <c r="K60" s="4" t="str">
        <v>Tablet</v>
      </c>
      <c r="L60" s="4" t="str">
        <v>Electronics</v>
      </c>
      <c r="M60" s="4" t="str">
        <v>South</v>
      </c>
      <c r="N60" s="4" t="str">
        <v>Jun-2025</v>
      </c>
      <c r="O60" s="4">
        <v>131848</v>
      </c>
      <c r="P60" s="4">
        <v>7</v>
      </c>
      <c r="Q60" s="4">
        <v>92622.3</v>
      </c>
      <c r="S60" s="4" t="str">
        <v>ORD0470</v>
      </c>
      <c r="T60" s="4" t="str">
        <v>Keyboard</v>
      </c>
      <c r="U60" s="4" t="str">
        <v>Accessories</v>
      </c>
      <c r="V60" s="4" t="str">
        <v>South</v>
      </c>
      <c r="W60" s="4" t="str">
        <v>Sep-2025</v>
      </c>
      <c r="X60" s="4">
        <v>134555</v>
      </c>
      <c r="Y60" s="4">
        <v>9</v>
      </c>
      <c r="Z60" s="4">
        <v>96783.87</v>
      </c>
    </row>
    <row r="61" spans="1:26" x14ac:dyDescent="0.3">
      <c r="A61" s="4" t="str">
        <v>ORD0073</v>
      </c>
      <c r="B61" s="4" t="str">
        <v>Printer</v>
      </c>
      <c r="C61" s="4" t="str">
        <v>Peripherals</v>
      </c>
      <c r="D61" s="4" t="str">
        <v>North</v>
      </c>
      <c r="E61" s="4" t="str">
        <v>Apr-2025</v>
      </c>
      <c r="F61" s="4">
        <v>117579</v>
      </c>
      <c r="G61" s="4">
        <v>11</v>
      </c>
      <c r="H61" s="4">
        <v>86073.279999999999</v>
      </c>
      <c r="J61" s="4" t="str">
        <v>ORD0196</v>
      </c>
      <c r="K61" s="4" t="str">
        <v>Tablet</v>
      </c>
      <c r="L61" s="4" t="str">
        <v>Electronics</v>
      </c>
      <c r="M61" s="4" t="str">
        <v>West</v>
      </c>
      <c r="N61" s="4" t="str">
        <v>Sep-2025</v>
      </c>
      <c r="O61" s="4">
        <v>63053</v>
      </c>
      <c r="P61" s="4">
        <v>9</v>
      </c>
      <c r="Q61" s="4">
        <v>40991.050000000003</v>
      </c>
      <c r="S61" s="4" t="str">
        <v>ORD0088</v>
      </c>
      <c r="T61" s="4" t="str">
        <v>Headphones</v>
      </c>
      <c r="U61" s="4" t="str">
        <v>Accessories</v>
      </c>
      <c r="V61" s="4" t="str">
        <v>West</v>
      </c>
      <c r="W61" s="4" t="str">
        <v>Jun-2025</v>
      </c>
      <c r="X61" s="4">
        <v>134527</v>
      </c>
      <c r="Y61" s="4">
        <v>10</v>
      </c>
      <c r="Z61" s="4">
        <v>91515.47</v>
      </c>
    </row>
    <row r="62" spans="1:26" x14ac:dyDescent="0.3">
      <c r="A62" s="4" t="str">
        <v>ORD0074</v>
      </c>
      <c r="B62" s="4" t="str">
        <v>Laptop</v>
      </c>
      <c r="C62" s="4" t="str">
        <v>Electronics</v>
      </c>
      <c r="D62" s="4" t="str">
        <v>South</v>
      </c>
      <c r="E62" s="4" t="str">
        <v>Feb-2025</v>
      </c>
      <c r="F62" s="4">
        <v>88000</v>
      </c>
      <c r="G62" s="4">
        <v>15</v>
      </c>
      <c r="H62" s="4">
        <v>64233.99</v>
      </c>
      <c r="J62" s="4" t="str">
        <v>ORD0200</v>
      </c>
      <c r="K62" s="4" t="str">
        <v>Tablet</v>
      </c>
      <c r="L62" s="4" t="str">
        <v>Electronics</v>
      </c>
      <c r="M62" s="4" t="str">
        <v>West</v>
      </c>
      <c r="N62" s="4" t="str">
        <v>Dec-2025</v>
      </c>
      <c r="O62" s="4">
        <v>41475</v>
      </c>
      <c r="P62" s="4">
        <v>4</v>
      </c>
      <c r="Q62" s="4">
        <v>26104.33</v>
      </c>
      <c r="S62" s="4" t="str">
        <v>ORD0368</v>
      </c>
      <c r="T62" s="4" t="str">
        <v>Phone</v>
      </c>
      <c r="U62" s="4" t="str">
        <v>Electronics</v>
      </c>
      <c r="V62" s="4" t="str">
        <v>West</v>
      </c>
      <c r="W62" s="4" t="str">
        <v>Jul-2025</v>
      </c>
      <c r="X62" s="4">
        <v>134499</v>
      </c>
      <c r="Y62" s="4">
        <v>10</v>
      </c>
      <c r="Z62" s="4">
        <v>89399.55</v>
      </c>
    </row>
    <row r="63" spans="1:26" x14ac:dyDescent="0.3">
      <c r="A63" s="4" t="str">
        <v>ORD0075</v>
      </c>
      <c r="B63" s="4" t="str">
        <v>Mouse</v>
      </c>
      <c r="C63" s="4" t="str">
        <v>Accessories</v>
      </c>
      <c r="D63" s="4" t="str">
        <v>East</v>
      </c>
      <c r="E63" s="4" t="str">
        <v>Jan-2025</v>
      </c>
      <c r="F63" s="4">
        <v>142729</v>
      </c>
      <c r="G63" s="4">
        <v>5</v>
      </c>
      <c r="H63" s="4">
        <v>99113.83</v>
      </c>
      <c r="J63" s="4" t="str">
        <v>ORD0202</v>
      </c>
      <c r="K63" s="4" t="str">
        <v>Phone</v>
      </c>
      <c r="L63" s="4" t="str">
        <v>Electronics</v>
      </c>
      <c r="M63" s="4" t="str">
        <v>South</v>
      </c>
      <c r="N63" s="4" t="str">
        <v>Apr-2025</v>
      </c>
      <c r="O63" s="4">
        <v>55054</v>
      </c>
      <c r="P63" s="4">
        <v>11</v>
      </c>
      <c r="Q63" s="4">
        <v>40228.68</v>
      </c>
      <c r="S63" s="4" t="str">
        <v>ORD0393</v>
      </c>
      <c r="T63" s="4" t="str">
        <v>Keyboard</v>
      </c>
      <c r="U63" s="4" t="str">
        <v>Accessories</v>
      </c>
      <c r="V63" s="4" t="str">
        <v>North</v>
      </c>
      <c r="W63" s="4" t="str">
        <v>Aug-2025</v>
      </c>
      <c r="X63" s="4">
        <v>133563</v>
      </c>
      <c r="Y63" s="4">
        <v>3</v>
      </c>
      <c r="Z63" s="4">
        <v>90955.6</v>
      </c>
    </row>
    <row r="64" spans="1:26" x14ac:dyDescent="0.3">
      <c r="A64" s="4" t="str">
        <v>ORD0076</v>
      </c>
      <c r="B64" s="4" t="str">
        <v>Monitor</v>
      </c>
      <c r="C64" s="4" t="str">
        <v>Peripherals</v>
      </c>
      <c r="D64" s="4" t="str">
        <v>West</v>
      </c>
      <c r="E64" s="4" t="str">
        <v>Apr-2025</v>
      </c>
      <c r="F64" s="4">
        <v>110702</v>
      </c>
      <c r="G64" s="4">
        <v>10</v>
      </c>
      <c r="H64" s="4">
        <v>66892.55</v>
      </c>
      <c r="J64" s="4" t="str">
        <v>ORD0203</v>
      </c>
      <c r="K64" s="4" t="str">
        <v>Laptop</v>
      </c>
      <c r="L64" s="4" t="str">
        <v>Electronics</v>
      </c>
      <c r="M64" s="4" t="str">
        <v>East</v>
      </c>
      <c r="N64" s="4" t="str">
        <v>Mar-2025</v>
      </c>
      <c r="O64" s="4">
        <v>78275</v>
      </c>
      <c r="P64" s="4">
        <v>2</v>
      </c>
      <c r="Q64" s="4">
        <v>48383.34</v>
      </c>
      <c r="S64" s="4" t="str">
        <v>ORD0144</v>
      </c>
      <c r="T64" s="4" t="str">
        <v>Keyboard</v>
      </c>
      <c r="U64" s="4" t="str">
        <v>Accessories</v>
      </c>
      <c r="V64" s="4" t="str">
        <v>West</v>
      </c>
      <c r="W64" s="4" t="str">
        <v>Feb-2025</v>
      </c>
      <c r="X64" s="4">
        <v>133286</v>
      </c>
      <c r="Y64" s="4">
        <v>11</v>
      </c>
      <c r="Z64" s="4">
        <v>81490.009999999995</v>
      </c>
    </row>
    <row r="65" spans="1:26" x14ac:dyDescent="0.3">
      <c r="A65" s="4" t="str">
        <v>ORD0077</v>
      </c>
      <c r="B65" s="4" t="str">
        <v>Tablet</v>
      </c>
      <c r="C65" s="4" t="str">
        <v>Electronics</v>
      </c>
      <c r="D65" s="4" t="str">
        <v>North</v>
      </c>
      <c r="E65" s="4" t="str">
        <v>Jul-2025</v>
      </c>
      <c r="F65" s="4">
        <v>92920</v>
      </c>
      <c r="G65" s="4">
        <v>3</v>
      </c>
      <c r="H65" s="4">
        <v>61948.18</v>
      </c>
      <c r="J65" s="4" t="str">
        <v>ORD0204</v>
      </c>
      <c r="K65" s="4" t="str">
        <v>Phone</v>
      </c>
      <c r="L65" s="4" t="str">
        <v>Electronics</v>
      </c>
      <c r="M65" s="4" t="str">
        <v>West</v>
      </c>
      <c r="N65" s="4" t="str">
        <v>Nov-2025</v>
      </c>
      <c r="O65" s="4">
        <v>113884</v>
      </c>
      <c r="P65" s="4">
        <v>9</v>
      </c>
      <c r="Q65" s="4">
        <v>78567.320000000007</v>
      </c>
      <c r="S65" s="4" t="str">
        <v>ORD0241</v>
      </c>
      <c r="T65" s="4" t="str">
        <v>Phone</v>
      </c>
      <c r="U65" s="4" t="str">
        <v>Electronics</v>
      </c>
      <c r="V65" s="4" t="str">
        <v>North</v>
      </c>
      <c r="W65" s="4" t="str">
        <v>Jun-2025</v>
      </c>
      <c r="X65" s="4">
        <v>133194</v>
      </c>
      <c r="Y65" s="4">
        <v>4</v>
      </c>
      <c r="Z65" s="4">
        <v>83671.64</v>
      </c>
    </row>
    <row r="66" spans="1:26" x14ac:dyDescent="0.3">
      <c r="A66" s="4" t="str">
        <v>ORD0078</v>
      </c>
      <c r="B66" s="4" t="str">
        <v>Laptop</v>
      </c>
      <c r="C66" s="4" t="str">
        <v>Electronics</v>
      </c>
      <c r="D66" s="4" t="str">
        <v>South</v>
      </c>
      <c r="E66" s="4" t="str">
        <v>Dec-2025</v>
      </c>
      <c r="F66" s="4">
        <v>140417</v>
      </c>
      <c r="G66" s="4">
        <v>9</v>
      </c>
      <c r="H66" s="4">
        <v>90118.69</v>
      </c>
      <c r="J66" s="4" t="str">
        <v>ORD0205</v>
      </c>
      <c r="K66" s="4" t="str">
        <v>Laptop</v>
      </c>
      <c r="L66" s="4" t="str">
        <v>Electronics</v>
      </c>
      <c r="M66" s="4" t="str">
        <v>North</v>
      </c>
      <c r="N66" s="4" t="str">
        <v>Nov-2025</v>
      </c>
      <c r="O66" s="4">
        <v>36498</v>
      </c>
      <c r="P66" s="4">
        <v>2</v>
      </c>
      <c r="Q66" s="4">
        <v>25419.63</v>
      </c>
      <c r="S66" s="4" t="str">
        <v>ORD0081</v>
      </c>
      <c r="T66" s="4" t="str">
        <v>Laptop</v>
      </c>
      <c r="U66" s="4" t="str">
        <v>Electronics</v>
      </c>
      <c r="V66" s="4" t="str">
        <v>North</v>
      </c>
      <c r="W66" s="4" t="str">
        <v>May-2025</v>
      </c>
      <c r="X66" s="4">
        <v>133037</v>
      </c>
      <c r="Y66" s="4">
        <v>11</v>
      </c>
      <c r="Z66" s="4">
        <v>96327.42</v>
      </c>
    </row>
    <row r="67" spans="1:26" x14ac:dyDescent="0.3">
      <c r="A67" s="4" t="str">
        <v>ORD0079</v>
      </c>
      <c r="B67" s="4" t="str">
        <v>Printer</v>
      </c>
      <c r="C67" s="4" t="str">
        <v>Peripherals</v>
      </c>
      <c r="D67" s="4" t="str">
        <v>East</v>
      </c>
      <c r="E67" s="4" t="str">
        <v>Jul-2025</v>
      </c>
      <c r="F67" s="4">
        <v>82002</v>
      </c>
      <c r="G67" s="4">
        <v>5</v>
      </c>
      <c r="H67" s="4">
        <v>50120.01</v>
      </c>
      <c r="J67" s="4" t="str">
        <v>ORD0206</v>
      </c>
      <c r="K67" s="4" t="str">
        <v>Laptop</v>
      </c>
      <c r="L67" s="4" t="str">
        <v>Electronics</v>
      </c>
      <c r="M67" s="4" t="str">
        <v>South</v>
      </c>
      <c r="N67" s="4" t="str">
        <v>Mar-2025</v>
      </c>
      <c r="O67" s="4">
        <v>34022</v>
      </c>
      <c r="P67" s="4">
        <v>4</v>
      </c>
      <c r="Q67" s="4">
        <v>21009.67</v>
      </c>
      <c r="S67" s="4" t="str">
        <v>ORD0417</v>
      </c>
      <c r="T67" s="4" t="str">
        <v>Laptop</v>
      </c>
      <c r="U67" s="4" t="str">
        <v>Electronics</v>
      </c>
      <c r="V67" s="4" t="str">
        <v>North</v>
      </c>
      <c r="W67" s="4" t="str">
        <v>Aug-2025</v>
      </c>
      <c r="X67" s="4">
        <v>132333</v>
      </c>
      <c r="Y67" s="4">
        <v>7</v>
      </c>
      <c r="Z67" s="4">
        <v>83863.02</v>
      </c>
    </row>
    <row r="68" spans="1:26" x14ac:dyDescent="0.3">
      <c r="A68" s="4" t="str">
        <v>ORD0081</v>
      </c>
      <c r="B68" s="4" t="str">
        <v>Laptop</v>
      </c>
      <c r="C68" s="4" t="str">
        <v>Electronics</v>
      </c>
      <c r="D68" s="4" t="str">
        <v>North</v>
      </c>
      <c r="E68" s="4" t="str">
        <v>May-2025</v>
      </c>
      <c r="F68" s="4">
        <v>133037</v>
      </c>
      <c r="G68" s="4">
        <v>11</v>
      </c>
      <c r="H68" s="4">
        <v>96327.42</v>
      </c>
      <c r="J68" s="4" t="str">
        <v>ORD0208</v>
      </c>
      <c r="K68" s="4" t="str">
        <v>Tablet</v>
      </c>
      <c r="L68" s="4" t="str">
        <v>Electronics</v>
      </c>
      <c r="M68" s="4" t="str">
        <v>West</v>
      </c>
      <c r="N68" s="4" t="str">
        <v>Jan-2025</v>
      </c>
      <c r="O68" s="4">
        <v>42719</v>
      </c>
      <c r="P68" s="4">
        <v>4</v>
      </c>
      <c r="Q68" s="4">
        <v>27362.47</v>
      </c>
      <c r="S68" s="4" t="str">
        <v>ORD0093</v>
      </c>
      <c r="T68" s="4" t="str">
        <v>Mouse</v>
      </c>
      <c r="U68" s="4" t="str">
        <v>Accessories</v>
      </c>
      <c r="V68" s="4" t="str">
        <v>North</v>
      </c>
      <c r="W68" s="4" t="str">
        <v>Jun-2025</v>
      </c>
      <c r="X68" s="4">
        <v>132032</v>
      </c>
      <c r="Y68" s="4">
        <v>12</v>
      </c>
      <c r="Z68" s="4">
        <v>90728.48</v>
      </c>
    </row>
    <row r="69" spans="1:26" x14ac:dyDescent="0.3">
      <c r="A69" s="4" t="str">
        <v>ORD0082</v>
      </c>
      <c r="B69" s="4" t="str">
        <v>Monitor</v>
      </c>
      <c r="C69" s="4" t="str">
        <v>Peripherals</v>
      </c>
      <c r="D69" s="4" t="str">
        <v>South</v>
      </c>
      <c r="E69" s="4" t="str">
        <v>Mar-2025</v>
      </c>
      <c r="F69" s="4">
        <v>122055</v>
      </c>
      <c r="G69" s="4">
        <v>10</v>
      </c>
      <c r="H69" s="4">
        <v>81483.34</v>
      </c>
      <c r="J69" s="4" t="str">
        <v>ORD0210</v>
      </c>
      <c r="K69" s="4" t="str">
        <v>Tablet</v>
      </c>
      <c r="L69" s="4" t="str">
        <v>Electronics</v>
      </c>
      <c r="M69" s="4" t="str">
        <v>South</v>
      </c>
      <c r="N69" s="4" t="str">
        <v>May-2025</v>
      </c>
      <c r="O69" s="4">
        <v>65719</v>
      </c>
      <c r="P69" s="4">
        <v>7</v>
      </c>
      <c r="Q69" s="4">
        <v>45936</v>
      </c>
      <c r="S69" s="4" t="str">
        <v>ORD0194</v>
      </c>
      <c r="T69" s="4" t="str">
        <v>Tablet</v>
      </c>
      <c r="U69" s="4" t="str">
        <v>Electronics</v>
      </c>
      <c r="V69" s="4" t="str">
        <v>South</v>
      </c>
      <c r="W69" s="4" t="str">
        <v>Jun-2025</v>
      </c>
      <c r="X69" s="4">
        <v>131848</v>
      </c>
      <c r="Y69" s="4">
        <v>7</v>
      </c>
      <c r="Z69" s="4">
        <v>92622.3</v>
      </c>
    </row>
    <row r="70" spans="1:26" x14ac:dyDescent="0.3">
      <c r="A70" s="4" t="str">
        <v>ORD0083</v>
      </c>
      <c r="B70" s="4" t="str">
        <v>Headphones</v>
      </c>
      <c r="C70" s="4" t="str">
        <v>Accessories</v>
      </c>
      <c r="D70" s="4" t="str">
        <v>East</v>
      </c>
      <c r="E70" s="4" t="str">
        <v>Feb-2025</v>
      </c>
      <c r="F70" s="4">
        <v>130644</v>
      </c>
      <c r="G70" s="4">
        <v>1</v>
      </c>
      <c r="H70" s="4">
        <v>81868.91</v>
      </c>
      <c r="J70" s="4" t="str">
        <v>ORD0214</v>
      </c>
      <c r="K70" s="4" t="str">
        <v>Laptop</v>
      </c>
      <c r="L70" s="4" t="str">
        <v>Electronics</v>
      </c>
      <c r="M70" s="4" t="str">
        <v>South</v>
      </c>
      <c r="N70" s="4" t="str">
        <v>Mar-2025</v>
      </c>
      <c r="O70" s="4">
        <v>107954</v>
      </c>
      <c r="P70" s="4">
        <v>1</v>
      </c>
      <c r="Q70" s="4">
        <v>76750.210000000006</v>
      </c>
      <c r="S70" s="4" t="str">
        <v>ORD0172</v>
      </c>
      <c r="T70" s="4" t="str">
        <v>Keyboard</v>
      </c>
      <c r="U70" s="4" t="str">
        <v>Accessories</v>
      </c>
      <c r="V70" s="4" t="str">
        <v>West</v>
      </c>
      <c r="W70" s="4" t="str">
        <v>Jul-2025</v>
      </c>
      <c r="X70" s="4">
        <v>131710</v>
      </c>
      <c r="Y70" s="4">
        <v>10</v>
      </c>
      <c r="Z70" s="4">
        <v>95339.55</v>
      </c>
    </row>
    <row r="71" spans="1:26" x14ac:dyDescent="0.3">
      <c r="A71" s="4" t="str">
        <v>ORD0084</v>
      </c>
      <c r="B71" s="4" t="str">
        <v>Mouse</v>
      </c>
      <c r="C71" s="4" t="str">
        <v>Accessories</v>
      </c>
      <c r="D71" s="4" t="str">
        <v>West</v>
      </c>
      <c r="E71" s="4" t="str">
        <v>Nov-2025</v>
      </c>
      <c r="F71" s="4">
        <v>94636</v>
      </c>
      <c r="G71" s="4">
        <v>1</v>
      </c>
      <c r="H71" s="4">
        <v>58549.77</v>
      </c>
      <c r="J71" s="4" t="str">
        <v>ORD0216</v>
      </c>
      <c r="K71" s="4" t="str">
        <v>Phone</v>
      </c>
      <c r="L71" s="4" t="str">
        <v>Electronics</v>
      </c>
      <c r="M71" s="4" t="str">
        <v>West</v>
      </c>
      <c r="N71" s="4" t="str">
        <v>Jan-2025</v>
      </c>
      <c r="O71" s="4">
        <v>73292</v>
      </c>
      <c r="P71" s="4">
        <v>1</v>
      </c>
      <c r="Q71" s="4">
        <v>54905.58</v>
      </c>
      <c r="S71" s="4" t="str">
        <v>ORD0231</v>
      </c>
      <c r="T71" s="4" t="str">
        <v>Laptop</v>
      </c>
      <c r="U71" s="4" t="str">
        <v>Electronics</v>
      </c>
      <c r="V71" s="4" t="str">
        <v>East</v>
      </c>
      <c r="W71" s="4" t="str">
        <v>Mar-2025</v>
      </c>
      <c r="X71" s="4">
        <v>131387</v>
      </c>
      <c r="Y71" s="4">
        <v>7</v>
      </c>
      <c r="Z71" s="4">
        <v>96301.37</v>
      </c>
    </row>
    <row r="72" spans="1:26" x14ac:dyDescent="0.3">
      <c r="A72" s="4" t="str">
        <v>ORD0085</v>
      </c>
      <c r="B72" s="4" t="str">
        <v>Phone</v>
      </c>
      <c r="C72" s="4" t="str">
        <v>Electronics</v>
      </c>
      <c r="D72" s="4" t="str">
        <v>North</v>
      </c>
      <c r="E72" s="4" t="str">
        <v>Jun-2025</v>
      </c>
      <c r="F72" s="4">
        <v>65801</v>
      </c>
      <c r="G72" s="4">
        <v>11</v>
      </c>
      <c r="H72" s="4">
        <v>49185.18</v>
      </c>
      <c r="J72" s="4" t="str">
        <v>ORD0218</v>
      </c>
      <c r="K72" s="4" t="str">
        <v>Phone</v>
      </c>
      <c r="L72" s="4" t="str">
        <v>Electronics</v>
      </c>
      <c r="M72" s="4" t="str">
        <v>South</v>
      </c>
      <c r="N72" s="4" t="str">
        <v>Jun-2025</v>
      </c>
      <c r="O72" s="4">
        <v>9518</v>
      </c>
      <c r="P72" s="4">
        <v>2</v>
      </c>
      <c r="Q72" s="4">
        <v>5773.53</v>
      </c>
      <c r="S72" s="4" t="str">
        <v>ORD0017</v>
      </c>
      <c r="T72" s="4" t="str">
        <v>Mouse</v>
      </c>
      <c r="U72" s="4" t="str">
        <v>Accessories</v>
      </c>
      <c r="V72" s="4" t="str">
        <v>North</v>
      </c>
      <c r="W72" s="4" t="str">
        <v>Mar-2025</v>
      </c>
      <c r="X72" s="4">
        <v>131176</v>
      </c>
      <c r="Y72" s="4">
        <v>7</v>
      </c>
      <c r="Z72" s="4">
        <v>86159.12</v>
      </c>
    </row>
    <row r="73" spans="1:26" x14ac:dyDescent="0.3">
      <c r="A73" s="4" t="str">
        <v>ORD0086</v>
      </c>
      <c r="B73" s="4" t="str">
        <v>Headphones</v>
      </c>
      <c r="C73" s="4" t="str">
        <v>Accessories</v>
      </c>
      <c r="D73" s="4" t="str">
        <v>South</v>
      </c>
      <c r="E73" s="4" t="str">
        <v>Aug-2025</v>
      </c>
      <c r="F73" s="4">
        <v>117004</v>
      </c>
      <c r="G73" s="4">
        <v>3</v>
      </c>
      <c r="H73" s="4">
        <v>70769.38</v>
      </c>
      <c r="J73" s="4" t="str">
        <v>ORD0222</v>
      </c>
      <c r="K73" s="4" t="str">
        <v>Tablet</v>
      </c>
      <c r="L73" s="4" t="str">
        <v>Electronics</v>
      </c>
      <c r="M73" s="4" t="str">
        <v>South</v>
      </c>
      <c r="N73" s="4" t="str">
        <v>Mar-2025</v>
      </c>
      <c r="O73" s="4">
        <v>126024</v>
      </c>
      <c r="P73" s="4">
        <v>14</v>
      </c>
      <c r="Q73" s="4">
        <v>93116.61</v>
      </c>
      <c r="S73" s="4" t="str">
        <v>ORD0408</v>
      </c>
      <c r="T73" s="4" t="str">
        <v>Phone</v>
      </c>
      <c r="U73" s="4" t="str">
        <v>Electronics</v>
      </c>
      <c r="V73" s="4" t="str">
        <v>West</v>
      </c>
      <c r="W73" s="4" t="str">
        <v>Mar-2025</v>
      </c>
      <c r="X73" s="4">
        <v>130948</v>
      </c>
      <c r="Y73" s="4">
        <v>1</v>
      </c>
      <c r="Z73" s="4">
        <v>96100.62</v>
      </c>
    </row>
    <row r="74" spans="1:26" x14ac:dyDescent="0.3">
      <c r="A74" s="4" t="str">
        <v>ORD0087</v>
      </c>
      <c r="B74" s="4" t="str">
        <v>Headphones</v>
      </c>
      <c r="C74" s="4" t="str">
        <v>Accessories</v>
      </c>
      <c r="D74" s="4" t="str">
        <v>East</v>
      </c>
      <c r="E74" s="4" t="str">
        <v>Jun-2025</v>
      </c>
      <c r="F74" s="4">
        <v>104820</v>
      </c>
      <c r="G74" s="4">
        <v>12</v>
      </c>
      <c r="H74" s="4">
        <v>77512.429999999993</v>
      </c>
      <c r="J74" s="4" t="str">
        <v>ORD0224</v>
      </c>
      <c r="K74" s="4" t="str">
        <v>Phone</v>
      </c>
      <c r="L74" s="4" t="str">
        <v>Electronics</v>
      </c>
      <c r="M74" s="4" t="str">
        <v>West</v>
      </c>
      <c r="N74" s="4" t="str">
        <v>Oct-2025</v>
      </c>
      <c r="O74" s="4">
        <v>24540</v>
      </c>
      <c r="P74" s="4">
        <v>5</v>
      </c>
      <c r="Q74" s="4">
        <v>16038.72</v>
      </c>
      <c r="S74" s="4" t="str">
        <v>ORD0463</v>
      </c>
      <c r="T74" s="4" t="str">
        <v>Headphones</v>
      </c>
      <c r="U74" s="4" t="str">
        <v>Accessories</v>
      </c>
      <c r="V74" s="4" t="str">
        <v>East</v>
      </c>
      <c r="W74" s="4" t="str">
        <v>Jul-2025</v>
      </c>
      <c r="X74" s="4">
        <v>130931</v>
      </c>
      <c r="Y74" s="4">
        <v>3</v>
      </c>
      <c r="Z74" s="4">
        <v>98182.55</v>
      </c>
    </row>
    <row r="75" spans="1:26" x14ac:dyDescent="0.3">
      <c r="A75" s="4" t="str">
        <v>ORD0088</v>
      </c>
      <c r="B75" s="4" t="str">
        <v>Headphones</v>
      </c>
      <c r="C75" s="4" t="str">
        <v>Accessories</v>
      </c>
      <c r="D75" s="4" t="str">
        <v>West</v>
      </c>
      <c r="E75" s="4" t="str">
        <v>Jun-2025</v>
      </c>
      <c r="F75" s="4">
        <v>134527</v>
      </c>
      <c r="G75" s="4">
        <v>10</v>
      </c>
      <c r="H75" s="4">
        <v>91515.47</v>
      </c>
      <c r="J75" s="4" t="str">
        <v>ORD0225</v>
      </c>
      <c r="K75" s="4" t="str">
        <v>Laptop</v>
      </c>
      <c r="L75" s="4" t="str">
        <v>Electronics</v>
      </c>
      <c r="M75" s="4" t="str">
        <v>North</v>
      </c>
      <c r="N75" s="4" t="str">
        <v>Aug-2025</v>
      </c>
      <c r="O75" s="4">
        <v>30535</v>
      </c>
      <c r="P75" s="4">
        <v>5</v>
      </c>
      <c r="Q75" s="4">
        <v>19602.12</v>
      </c>
      <c r="S75" s="4" t="str">
        <v>ORD0247</v>
      </c>
      <c r="T75" s="4" t="str">
        <v>Tablet</v>
      </c>
      <c r="U75" s="4" t="str">
        <v>Electronics</v>
      </c>
      <c r="V75" s="4" t="str">
        <v>East</v>
      </c>
      <c r="W75" s="4" t="str">
        <v>Apr-2025</v>
      </c>
      <c r="X75" s="4">
        <v>130799</v>
      </c>
      <c r="Y75" s="4">
        <v>3</v>
      </c>
      <c r="Z75" s="4">
        <v>94451.56</v>
      </c>
    </row>
    <row r="76" spans="1:26" x14ac:dyDescent="0.3">
      <c r="A76" s="4" t="str">
        <v>ORD0089</v>
      </c>
      <c r="B76" s="4" t="str">
        <v>Printer</v>
      </c>
      <c r="C76" s="4" t="str">
        <v>Peripherals</v>
      </c>
      <c r="D76" s="4" t="str">
        <v>North</v>
      </c>
      <c r="E76" s="4" t="str">
        <v>Nov-2025</v>
      </c>
      <c r="F76" s="4">
        <v>52973</v>
      </c>
      <c r="G76" s="4">
        <v>2</v>
      </c>
      <c r="H76" s="4">
        <v>37179.870000000003</v>
      </c>
      <c r="J76" s="4" t="str">
        <v>ORD0227</v>
      </c>
      <c r="K76" s="4" t="str">
        <v>Laptop</v>
      </c>
      <c r="L76" s="4" t="str">
        <v>Electronics</v>
      </c>
      <c r="M76" s="4" t="str">
        <v>East</v>
      </c>
      <c r="N76" s="4" t="str">
        <v>Oct-2025</v>
      </c>
      <c r="O76" s="4">
        <v>75730</v>
      </c>
      <c r="P76" s="4">
        <v>4</v>
      </c>
      <c r="Q76" s="4">
        <v>53041.4</v>
      </c>
      <c r="S76" s="4" t="str">
        <v>ORD0003</v>
      </c>
      <c r="T76" s="4" t="str">
        <v>Headphones</v>
      </c>
      <c r="U76" s="4" t="str">
        <v>Accessories</v>
      </c>
      <c r="V76" s="4" t="str">
        <v>East</v>
      </c>
      <c r="W76" s="4" t="str">
        <v>Mar-2025</v>
      </c>
      <c r="X76" s="4">
        <v>130739</v>
      </c>
      <c r="Y76" s="4">
        <v>7</v>
      </c>
      <c r="Z76" s="4">
        <v>91422.66</v>
      </c>
    </row>
    <row r="77" spans="1:26" x14ac:dyDescent="0.3">
      <c r="A77" s="4" t="str">
        <v>ORD0090</v>
      </c>
      <c r="B77" s="4" t="str">
        <v>Monitor</v>
      </c>
      <c r="C77" s="4" t="str">
        <v>Peripherals</v>
      </c>
      <c r="D77" s="4" t="str">
        <v>South</v>
      </c>
      <c r="E77" s="4" t="str">
        <v>Dec-2025</v>
      </c>
      <c r="F77" s="4">
        <v>72356</v>
      </c>
      <c r="G77" s="4">
        <v>8</v>
      </c>
      <c r="H77" s="4">
        <v>46726.81</v>
      </c>
      <c r="J77" s="4" t="str">
        <v>ORD0228</v>
      </c>
      <c r="K77" s="4" t="str">
        <v>Laptop</v>
      </c>
      <c r="L77" s="4" t="str">
        <v>Electronics</v>
      </c>
      <c r="M77" s="4" t="str">
        <v>West</v>
      </c>
      <c r="N77" s="4" t="str">
        <v>Feb-2025</v>
      </c>
      <c r="O77" s="4">
        <v>55859</v>
      </c>
      <c r="P77" s="4">
        <v>1</v>
      </c>
      <c r="Q77" s="4">
        <v>40431.35</v>
      </c>
      <c r="S77" s="4" t="str">
        <v>ORD0267</v>
      </c>
      <c r="T77" s="4" t="str">
        <v>Headphones</v>
      </c>
      <c r="U77" s="4" t="str">
        <v>Accessories</v>
      </c>
      <c r="V77" s="4" t="str">
        <v>East</v>
      </c>
      <c r="W77" s="4" t="str">
        <v>Dec-2025</v>
      </c>
      <c r="X77" s="4">
        <v>130703</v>
      </c>
      <c r="Y77" s="4">
        <v>15</v>
      </c>
      <c r="Z77" s="4">
        <v>94817.86</v>
      </c>
    </row>
    <row r="78" spans="1:26" x14ac:dyDescent="0.3">
      <c r="A78" s="4" t="str">
        <v>ORD0091</v>
      </c>
      <c r="B78" s="4" t="str">
        <v>Headphones</v>
      </c>
      <c r="C78" s="4" t="str">
        <v>Accessories</v>
      </c>
      <c r="D78" s="4" t="str">
        <v>East</v>
      </c>
      <c r="E78" s="4" t="str">
        <v>Apr-2025</v>
      </c>
      <c r="F78" s="4">
        <v>67237</v>
      </c>
      <c r="G78" s="4">
        <v>2</v>
      </c>
      <c r="H78" s="4">
        <v>44435.69</v>
      </c>
      <c r="J78" s="4" t="str">
        <v>ORD0229</v>
      </c>
      <c r="K78" s="4" t="str">
        <v>Phone</v>
      </c>
      <c r="L78" s="4" t="str">
        <v>Electronics</v>
      </c>
      <c r="M78" s="4" t="str">
        <v>North</v>
      </c>
      <c r="N78" s="4" t="str">
        <v>Sep-2025</v>
      </c>
      <c r="O78" s="4">
        <v>59942</v>
      </c>
      <c r="P78" s="4">
        <v>1</v>
      </c>
      <c r="Q78" s="4">
        <v>40570.18</v>
      </c>
      <c r="S78" s="4" t="str">
        <v>ORD0303</v>
      </c>
      <c r="T78" s="4" t="str">
        <v>Mouse</v>
      </c>
      <c r="U78" s="4" t="str">
        <v>Accessories</v>
      </c>
      <c r="V78" s="4" t="str">
        <v>East</v>
      </c>
      <c r="W78" s="4" t="str">
        <v>Aug-2025</v>
      </c>
      <c r="X78" s="4">
        <v>130673</v>
      </c>
      <c r="Y78" s="4">
        <v>6</v>
      </c>
      <c r="Z78" s="4">
        <v>79562.73</v>
      </c>
    </row>
    <row r="79" spans="1:26" x14ac:dyDescent="0.3">
      <c r="A79" s="4" t="str">
        <v>ORD0093</v>
      </c>
      <c r="B79" s="4" t="str">
        <v>Mouse</v>
      </c>
      <c r="C79" s="4" t="str">
        <v>Accessories</v>
      </c>
      <c r="D79" s="4" t="str">
        <v>North</v>
      </c>
      <c r="E79" s="4" t="str">
        <v>Jun-2025</v>
      </c>
      <c r="F79" s="4">
        <v>132032</v>
      </c>
      <c r="G79" s="4">
        <v>12</v>
      </c>
      <c r="H79" s="4">
        <v>90728.48</v>
      </c>
      <c r="J79" s="4" t="str">
        <v>ORD0231</v>
      </c>
      <c r="K79" s="4" t="str">
        <v>Laptop</v>
      </c>
      <c r="L79" s="4" t="str">
        <v>Electronics</v>
      </c>
      <c r="M79" s="4" t="str">
        <v>East</v>
      </c>
      <c r="N79" s="4" t="str">
        <v>Mar-2025</v>
      </c>
      <c r="O79" s="4">
        <v>131387</v>
      </c>
      <c r="P79" s="4">
        <v>7</v>
      </c>
      <c r="Q79" s="4">
        <v>96301.37</v>
      </c>
      <c r="S79" s="4" t="str">
        <v>ORD0007</v>
      </c>
      <c r="T79" s="4" t="str">
        <v>Tablet</v>
      </c>
      <c r="U79" s="4" t="str">
        <v>Electronics</v>
      </c>
      <c r="V79" s="4" t="str">
        <v>East</v>
      </c>
      <c r="W79" s="4" t="str">
        <v>Mar-2025</v>
      </c>
      <c r="X79" s="4">
        <v>130662</v>
      </c>
      <c r="Y79" s="4">
        <v>10</v>
      </c>
      <c r="Z79" s="4">
        <v>89628.82</v>
      </c>
    </row>
    <row r="80" spans="1:26" x14ac:dyDescent="0.3">
      <c r="A80" s="4" t="str">
        <v>ORD0095</v>
      </c>
      <c r="B80" s="4" t="str">
        <v>Keyboard</v>
      </c>
      <c r="C80" s="4" t="str">
        <v>Accessories</v>
      </c>
      <c r="D80" s="4" t="str">
        <v>East</v>
      </c>
      <c r="E80" s="4" t="str">
        <v>Jun-2025</v>
      </c>
      <c r="F80" s="4">
        <v>130167</v>
      </c>
      <c r="G80" s="4">
        <v>8</v>
      </c>
      <c r="H80" s="4">
        <v>96470.3</v>
      </c>
      <c r="J80" s="4" t="str">
        <v>ORD0233</v>
      </c>
      <c r="K80" s="4" t="str">
        <v>Laptop</v>
      </c>
      <c r="L80" s="4" t="str">
        <v>Electronics</v>
      </c>
      <c r="M80" s="4" t="str">
        <v>North</v>
      </c>
      <c r="N80" s="4" t="str">
        <v>Sep-2025</v>
      </c>
      <c r="O80" s="4">
        <v>59665</v>
      </c>
      <c r="P80" s="4">
        <v>5</v>
      </c>
      <c r="Q80" s="4">
        <v>37502.22</v>
      </c>
      <c r="S80" s="4" t="str">
        <v>ORD0083</v>
      </c>
      <c r="T80" s="4" t="str">
        <v>Headphones</v>
      </c>
      <c r="U80" s="4" t="str">
        <v>Accessories</v>
      </c>
      <c r="V80" s="4" t="str">
        <v>East</v>
      </c>
      <c r="W80" s="4" t="str">
        <v>Feb-2025</v>
      </c>
      <c r="X80" s="4">
        <v>130644</v>
      </c>
      <c r="Y80" s="4">
        <v>1</v>
      </c>
      <c r="Z80" s="4">
        <v>81868.91</v>
      </c>
    </row>
    <row r="81" spans="1:26" x14ac:dyDescent="0.3">
      <c r="A81" s="4" t="str">
        <v>ORD0096</v>
      </c>
      <c r="B81" s="4" t="str">
        <v>Tablet</v>
      </c>
      <c r="C81" s="4" t="str">
        <v>Electronics</v>
      </c>
      <c r="D81" s="4" t="str">
        <v>West</v>
      </c>
      <c r="E81" s="4" t="str">
        <v>Jul-2025</v>
      </c>
      <c r="F81" s="4">
        <v>78845</v>
      </c>
      <c r="G81" s="4">
        <v>1</v>
      </c>
      <c r="H81" s="4">
        <v>54969.35</v>
      </c>
      <c r="J81" s="4" t="str">
        <v>ORD0234</v>
      </c>
      <c r="K81" s="4" t="str">
        <v>Phone</v>
      </c>
      <c r="L81" s="4" t="str">
        <v>Electronics</v>
      </c>
      <c r="M81" s="4" t="str">
        <v>South</v>
      </c>
      <c r="N81" s="4" t="str">
        <v>Oct-2025</v>
      </c>
      <c r="O81" s="4">
        <v>46089</v>
      </c>
      <c r="P81" s="4">
        <v>2</v>
      </c>
      <c r="Q81" s="4">
        <v>30242.48</v>
      </c>
      <c r="S81" s="4" t="str">
        <v>ORD0500</v>
      </c>
      <c r="T81" s="4" t="str">
        <v>Phone</v>
      </c>
      <c r="U81" s="4" t="str">
        <v>Electronics</v>
      </c>
      <c r="V81" s="4" t="str">
        <v>West</v>
      </c>
      <c r="W81" s="4" t="str">
        <v>Jan-2025</v>
      </c>
      <c r="X81" s="4">
        <v>130327</v>
      </c>
      <c r="Y81" s="4">
        <v>15</v>
      </c>
      <c r="Z81" s="4">
        <v>91928.02</v>
      </c>
    </row>
    <row r="82" spans="1:26" x14ac:dyDescent="0.3">
      <c r="A82" s="4" t="str">
        <v>ORD0098</v>
      </c>
      <c r="B82" s="4" t="str">
        <v>Keyboard</v>
      </c>
      <c r="C82" s="4" t="str">
        <v>Accessories</v>
      </c>
      <c r="D82" s="4" t="str">
        <v>South</v>
      </c>
      <c r="E82" s="4" t="str">
        <v>Jan-2025</v>
      </c>
      <c r="F82" s="4">
        <v>143625</v>
      </c>
      <c r="G82" s="4">
        <v>1</v>
      </c>
      <c r="H82" s="4">
        <v>102656.49</v>
      </c>
      <c r="J82" s="4" t="str">
        <v>ORD0236</v>
      </c>
      <c r="K82" s="4" t="str">
        <v>Phone</v>
      </c>
      <c r="L82" s="4" t="str">
        <v>Electronics</v>
      </c>
      <c r="M82" s="4" t="str">
        <v>West</v>
      </c>
      <c r="N82" s="4" t="str">
        <v>Mar-2025</v>
      </c>
      <c r="O82" s="4">
        <v>17939</v>
      </c>
      <c r="P82" s="4">
        <v>6</v>
      </c>
      <c r="Q82" s="4">
        <v>13021.22</v>
      </c>
      <c r="S82" s="4" t="str">
        <v>ORD0095</v>
      </c>
      <c r="T82" s="4" t="str">
        <v>Keyboard</v>
      </c>
      <c r="U82" s="4" t="str">
        <v>Accessories</v>
      </c>
      <c r="V82" s="4" t="str">
        <v>East</v>
      </c>
      <c r="W82" s="4" t="str">
        <v>Jun-2025</v>
      </c>
      <c r="X82" s="4">
        <v>130167</v>
      </c>
      <c r="Y82" s="4">
        <v>8</v>
      </c>
      <c r="Z82" s="4">
        <v>96470.3</v>
      </c>
    </row>
    <row r="83" spans="1:26" x14ac:dyDescent="0.3">
      <c r="A83" s="4" t="str">
        <v>ORD0100</v>
      </c>
      <c r="B83" s="4" t="str">
        <v>Headphones</v>
      </c>
      <c r="C83" s="4" t="str">
        <v>Accessories</v>
      </c>
      <c r="D83" s="4" t="str">
        <v>West</v>
      </c>
      <c r="E83" s="4" t="str">
        <v>Jul-2025</v>
      </c>
      <c r="F83" s="4">
        <v>106607</v>
      </c>
      <c r="G83" s="4">
        <v>14</v>
      </c>
      <c r="H83" s="4">
        <v>66121.39</v>
      </c>
      <c r="J83" s="4" t="str">
        <v>ORD0237</v>
      </c>
      <c r="K83" s="4" t="str">
        <v>Tablet</v>
      </c>
      <c r="L83" s="4" t="str">
        <v>Electronics</v>
      </c>
      <c r="M83" s="4" t="str">
        <v>North</v>
      </c>
      <c r="N83" s="4" t="str">
        <v>Dec-2025</v>
      </c>
      <c r="O83" s="4">
        <v>98103</v>
      </c>
      <c r="P83" s="4">
        <v>9</v>
      </c>
      <c r="Q83" s="4">
        <v>68736.160000000003</v>
      </c>
      <c r="S83" s="4" t="str">
        <v>ORD0028</v>
      </c>
      <c r="T83" s="4" t="str">
        <v>Tablet</v>
      </c>
      <c r="U83" s="4" t="str">
        <v>Electronics</v>
      </c>
      <c r="V83" s="4" t="str">
        <v>West</v>
      </c>
      <c r="W83" s="4" t="str">
        <v>Jun-2025</v>
      </c>
      <c r="X83" s="4">
        <v>129970</v>
      </c>
      <c r="Y83" s="4">
        <v>3</v>
      </c>
      <c r="Z83" s="4">
        <v>87978.7</v>
      </c>
    </row>
    <row r="84" spans="1:26" x14ac:dyDescent="0.3">
      <c r="A84" s="4" t="str">
        <v>ORD0101</v>
      </c>
      <c r="B84" s="4" t="str">
        <v>Monitor</v>
      </c>
      <c r="C84" s="4" t="str">
        <v>Peripherals</v>
      </c>
      <c r="D84" s="4" t="str">
        <v>North</v>
      </c>
      <c r="E84" s="4" t="str">
        <v>Dec-2025</v>
      </c>
      <c r="F84" s="4">
        <v>100468</v>
      </c>
      <c r="G84" s="4">
        <v>3</v>
      </c>
      <c r="H84" s="4">
        <v>71782.720000000001</v>
      </c>
      <c r="J84" s="4" t="str">
        <v>ORD0238</v>
      </c>
      <c r="K84" s="4" t="str">
        <v>Laptop</v>
      </c>
      <c r="L84" s="4" t="str">
        <v>Electronics</v>
      </c>
      <c r="M84" s="4" t="str">
        <v>South</v>
      </c>
      <c r="N84" s="4" t="str">
        <v>Apr-2025</v>
      </c>
      <c r="O84" s="4">
        <v>17143</v>
      </c>
      <c r="P84" s="4">
        <v>9</v>
      </c>
      <c r="Q84" s="4">
        <v>10362.73</v>
      </c>
      <c r="S84" s="4" t="str">
        <v>ORD0020</v>
      </c>
      <c r="T84" s="4" t="str">
        <v>Keyboard</v>
      </c>
      <c r="U84" s="4" t="str">
        <v>Accessories</v>
      </c>
      <c r="V84" s="4" t="str">
        <v>West</v>
      </c>
      <c r="W84" s="4" t="str">
        <v>Jul-2025</v>
      </c>
      <c r="X84" s="4">
        <v>129921</v>
      </c>
      <c r="Y84" s="4">
        <v>2</v>
      </c>
      <c r="Z84" s="4">
        <v>86079.99</v>
      </c>
    </row>
    <row r="85" spans="1:26" x14ac:dyDescent="0.3">
      <c r="A85" s="4" t="str">
        <v>ORD0102</v>
      </c>
      <c r="B85" s="4" t="str">
        <v>Keyboard</v>
      </c>
      <c r="C85" s="4" t="str">
        <v>Accessories</v>
      </c>
      <c r="D85" s="4" t="str">
        <v>South</v>
      </c>
      <c r="E85" s="4" t="str">
        <v>Feb-2025</v>
      </c>
      <c r="F85" s="4">
        <v>66972</v>
      </c>
      <c r="G85" s="4">
        <v>7</v>
      </c>
      <c r="H85" s="4">
        <v>45605.99</v>
      </c>
      <c r="J85" s="4" t="str">
        <v>ORD0241</v>
      </c>
      <c r="K85" s="4" t="str">
        <v>Phone</v>
      </c>
      <c r="L85" s="4" t="str">
        <v>Electronics</v>
      </c>
      <c r="M85" s="4" t="str">
        <v>North</v>
      </c>
      <c r="N85" s="4" t="str">
        <v>Jun-2025</v>
      </c>
      <c r="O85" s="4">
        <v>133194</v>
      </c>
      <c r="P85" s="4">
        <v>4</v>
      </c>
      <c r="Q85" s="4">
        <v>83671.64</v>
      </c>
      <c r="S85" s="4" t="str">
        <v>ORD0299</v>
      </c>
      <c r="T85" s="4" t="str">
        <v>Printer</v>
      </c>
      <c r="U85" s="4" t="str">
        <v>Peripherals</v>
      </c>
      <c r="V85" s="4" t="str">
        <v>East</v>
      </c>
      <c r="W85" s="4" t="str">
        <v>Aug-2025</v>
      </c>
      <c r="X85" s="4">
        <v>129279</v>
      </c>
      <c r="Y85" s="4">
        <v>15</v>
      </c>
      <c r="Z85" s="4">
        <v>88954.73</v>
      </c>
    </row>
    <row r="86" spans="1:26" x14ac:dyDescent="0.3">
      <c r="A86" s="4" t="str">
        <v>ORD0103</v>
      </c>
      <c r="B86" s="4" t="str">
        <v>Tablet</v>
      </c>
      <c r="C86" s="4" t="str">
        <v>Electronics</v>
      </c>
      <c r="D86" s="4" t="str">
        <v>East</v>
      </c>
      <c r="E86" s="4" t="str">
        <v>Oct-2025</v>
      </c>
      <c r="F86" s="4">
        <v>93174</v>
      </c>
      <c r="G86" s="4">
        <v>11</v>
      </c>
      <c r="H86" s="4">
        <v>69553.19</v>
      </c>
      <c r="J86" s="4" t="str">
        <v>ORD0242</v>
      </c>
      <c r="K86" s="4" t="str">
        <v>Phone</v>
      </c>
      <c r="L86" s="4" t="str">
        <v>Electronics</v>
      </c>
      <c r="M86" s="4" t="str">
        <v>South</v>
      </c>
      <c r="N86" s="4" t="str">
        <v>Jul-2025</v>
      </c>
      <c r="O86" s="4">
        <v>60884</v>
      </c>
      <c r="P86" s="4">
        <v>12</v>
      </c>
      <c r="Q86" s="4">
        <v>44462.07</v>
      </c>
      <c r="S86" s="4" t="str">
        <v>ORD0143</v>
      </c>
      <c r="T86" s="4" t="str">
        <v>Tablet</v>
      </c>
      <c r="U86" s="4" t="str">
        <v>Electronics</v>
      </c>
      <c r="V86" s="4" t="str">
        <v>East</v>
      </c>
      <c r="W86" s="4" t="str">
        <v>Jan-2025</v>
      </c>
      <c r="X86" s="4">
        <v>128631</v>
      </c>
      <c r="Y86" s="4">
        <v>12</v>
      </c>
      <c r="Z86" s="4">
        <v>80192.3</v>
      </c>
    </row>
    <row r="87" spans="1:26" x14ac:dyDescent="0.3">
      <c r="A87" s="4" t="str">
        <v>ORD0104</v>
      </c>
      <c r="B87" s="4" t="str">
        <v>Monitor</v>
      </c>
      <c r="C87" s="4" t="str">
        <v>Peripherals</v>
      </c>
      <c r="D87" s="4" t="str">
        <v>West</v>
      </c>
      <c r="E87" s="4" t="str">
        <v>Apr-2025</v>
      </c>
      <c r="F87" s="4">
        <v>89264</v>
      </c>
      <c r="G87" s="4">
        <v>6</v>
      </c>
      <c r="H87" s="4">
        <v>59538.27</v>
      </c>
      <c r="J87" s="4" t="str">
        <v>ORD0247</v>
      </c>
      <c r="K87" s="4" t="str">
        <v>Tablet</v>
      </c>
      <c r="L87" s="4" t="str">
        <v>Electronics</v>
      </c>
      <c r="M87" s="4" t="str">
        <v>East</v>
      </c>
      <c r="N87" s="4" t="str">
        <v>Apr-2025</v>
      </c>
      <c r="O87" s="4">
        <v>130799</v>
      </c>
      <c r="P87" s="4">
        <v>3</v>
      </c>
      <c r="Q87" s="4">
        <v>94451.56</v>
      </c>
      <c r="S87" s="4" t="str">
        <v>ORD0265</v>
      </c>
      <c r="T87" s="4" t="str">
        <v>Tablet</v>
      </c>
      <c r="U87" s="4" t="str">
        <v>Electronics</v>
      </c>
      <c r="V87" s="4" t="str">
        <v>North</v>
      </c>
      <c r="W87" s="4" t="str">
        <v>Feb-2025</v>
      </c>
      <c r="X87" s="4">
        <v>128523</v>
      </c>
      <c r="Y87" s="4">
        <v>6</v>
      </c>
      <c r="Z87" s="4">
        <v>84020.14</v>
      </c>
    </row>
    <row r="88" spans="1:26" x14ac:dyDescent="0.3">
      <c r="A88" s="4" t="str">
        <v>ORD0105</v>
      </c>
      <c r="B88" s="4" t="str">
        <v>Mouse</v>
      </c>
      <c r="C88" s="4" t="str">
        <v>Accessories</v>
      </c>
      <c r="D88" s="4" t="str">
        <v>North</v>
      </c>
      <c r="E88" s="4" t="str">
        <v>Oct-2025</v>
      </c>
      <c r="F88" s="4">
        <v>107737</v>
      </c>
      <c r="G88" s="4">
        <v>1</v>
      </c>
      <c r="H88" s="4">
        <v>67113.429999999993</v>
      </c>
      <c r="J88" s="4" t="str">
        <v>ORD0248</v>
      </c>
      <c r="K88" s="4" t="str">
        <v>Tablet</v>
      </c>
      <c r="L88" s="4" t="str">
        <v>Electronics</v>
      </c>
      <c r="M88" s="4" t="str">
        <v>West</v>
      </c>
      <c r="N88" s="4" t="str">
        <v>Jan-2025</v>
      </c>
      <c r="O88" s="4">
        <v>66328</v>
      </c>
      <c r="P88" s="4">
        <v>12</v>
      </c>
      <c r="Q88" s="4">
        <v>40581.769999999997</v>
      </c>
      <c r="S88" s="4" t="str">
        <v>ORD0313</v>
      </c>
      <c r="T88" s="4" t="str">
        <v>Printer</v>
      </c>
      <c r="U88" s="4" t="str">
        <v>Peripherals</v>
      </c>
      <c r="V88" s="4" t="str">
        <v>North</v>
      </c>
      <c r="W88" s="4" t="str">
        <v>Oct-2025</v>
      </c>
      <c r="X88" s="4">
        <v>128201</v>
      </c>
      <c r="Y88" s="4">
        <v>14</v>
      </c>
      <c r="Z88" s="4">
        <v>91937.71</v>
      </c>
    </row>
    <row r="89" spans="1:26" x14ac:dyDescent="0.3">
      <c r="A89" s="4" t="str">
        <v>ORD0109</v>
      </c>
      <c r="B89" s="4" t="str">
        <v>Tablet</v>
      </c>
      <c r="C89" s="4" t="str">
        <v>Electronics</v>
      </c>
      <c r="D89" s="4" t="str">
        <v>North</v>
      </c>
      <c r="E89" s="4" t="str">
        <v>Jun-2025</v>
      </c>
      <c r="F89" s="4">
        <v>63691</v>
      </c>
      <c r="G89" s="4">
        <v>13</v>
      </c>
      <c r="H89" s="4">
        <v>46236.72</v>
      </c>
      <c r="J89" s="4" t="str">
        <v>ORD0250</v>
      </c>
      <c r="K89" s="4" t="str">
        <v>Laptop</v>
      </c>
      <c r="L89" s="4" t="str">
        <v>Electronics</v>
      </c>
      <c r="M89" s="4" t="str">
        <v>South</v>
      </c>
      <c r="N89" s="4" t="str">
        <v>Feb-2025</v>
      </c>
      <c r="O89" s="4">
        <v>28214</v>
      </c>
      <c r="P89" s="4">
        <v>4</v>
      </c>
      <c r="Q89" s="4">
        <v>20137.93</v>
      </c>
      <c r="S89" s="4" t="str">
        <v>ORD0232</v>
      </c>
      <c r="T89" s="4" t="str">
        <v>Headphones</v>
      </c>
      <c r="U89" s="4" t="str">
        <v>Accessories</v>
      </c>
      <c r="V89" s="4" t="str">
        <v>West</v>
      </c>
      <c r="W89" s="4" t="str">
        <v>Aug-2025</v>
      </c>
      <c r="X89" s="4">
        <v>127368</v>
      </c>
      <c r="Y89" s="4">
        <v>8</v>
      </c>
      <c r="Z89" s="4">
        <v>90208.47</v>
      </c>
    </row>
    <row r="90" spans="1:26" x14ac:dyDescent="0.3">
      <c r="A90" s="4" t="str">
        <v>ORD0111</v>
      </c>
      <c r="B90" s="4" t="str">
        <v>Laptop</v>
      </c>
      <c r="C90" s="4" t="str">
        <v>Electronics</v>
      </c>
      <c r="D90" s="4" t="str">
        <v>East</v>
      </c>
      <c r="E90" s="4" t="str">
        <v>Apr-2025</v>
      </c>
      <c r="F90" s="4">
        <v>102944</v>
      </c>
      <c r="G90" s="4">
        <v>2</v>
      </c>
      <c r="H90" s="4">
        <v>71297.59</v>
      </c>
      <c r="J90" s="4" t="str">
        <v>ORD0257</v>
      </c>
      <c r="K90" s="4" t="str">
        <v>Phone</v>
      </c>
      <c r="L90" s="4" t="str">
        <v>Electronics</v>
      </c>
      <c r="M90" s="4" t="str">
        <v>North</v>
      </c>
      <c r="N90" s="4" t="str">
        <v>Apr-2025</v>
      </c>
      <c r="O90" s="4">
        <v>60732</v>
      </c>
      <c r="P90" s="4">
        <v>6</v>
      </c>
      <c r="Q90" s="4">
        <v>40329.800000000003</v>
      </c>
      <c r="S90" s="4" t="str">
        <v>ORD0275</v>
      </c>
      <c r="T90" s="4" t="str">
        <v>Phone</v>
      </c>
      <c r="U90" s="4" t="str">
        <v>Electronics</v>
      </c>
      <c r="V90" s="4" t="str">
        <v>East</v>
      </c>
      <c r="W90" s="4" t="str">
        <v>Jun-2025</v>
      </c>
      <c r="X90" s="4">
        <v>126910</v>
      </c>
      <c r="Y90" s="4">
        <v>15</v>
      </c>
      <c r="Z90" s="4">
        <v>87362.2</v>
      </c>
    </row>
    <row r="91" spans="1:26" x14ac:dyDescent="0.3">
      <c r="A91" s="4" t="str">
        <v>ORD0112</v>
      </c>
      <c r="B91" s="4" t="str">
        <v>Monitor</v>
      </c>
      <c r="C91" s="4" t="str">
        <v>Peripherals</v>
      </c>
      <c r="D91" s="4" t="str">
        <v>West</v>
      </c>
      <c r="E91" s="4" t="str">
        <v>Dec-2025</v>
      </c>
      <c r="F91" s="4">
        <v>75482</v>
      </c>
      <c r="G91" s="4">
        <v>5</v>
      </c>
      <c r="H91" s="4">
        <v>52590.11</v>
      </c>
      <c r="J91" s="4" t="str">
        <v>ORD0260</v>
      </c>
      <c r="K91" s="4" t="str">
        <v>Phone</v>
      </c>
      <c r="L91" s="4" t="str">
        <v>Electronics</v>
      </c>
      <c r="M91" s="4" t="str">
        <v>West</v>
      </c>
      <c r="N91" s="4" t="str">
        <v>Apr-2025</v>
      </c>
      <c r="O91" s="4">
        <v>50236</v>
      </c>
      <c r="P91" s="4">
        <v>14</v>
      </c>
      <c r="Q91" s="4">
        <v>37575.339999999997</v>
      </c>
      <c r="S91" s="4" t="str">
        <v>ORD0222</v>
      </c>
      <c r="T91" s="4" t="str">
        <v>Tablet</v>
      </c>
      <c r="U91" s="4" t="str">
        <v>Electronics</v>
      </c>
      <c r="V91" s="4" t="str">
        <v>South</v>
      </c>
      <c r="W91" s="4" t="str">
        <v>Mar-2025</v>
      </c>
      <c r="X91" s="4">
        <v>126024</v>
      </c>
      <c r="Y91" s="4">
        <v>14</v>
      </c>
      <c r="Z91" s="4">
        <v>93116.61</v>
      </c>
    </row>
    <row r="92" spans="1:26" x14ac:dyDescent="0.3">
      <c r="A92" s="4" t="str">
        <v>ORD0113</v>
      </c>
      <c r="B92" s="4" t="str">
        <v>Keyboard</v>
      </c>
      <c r="C92" s="4" t="str">
        <v>Accessories</v>
      </c>
      <c r="D92" s="4" t="str">
        <v>North</v>
      </c>
      <c r="E92" s="4" t="str">
        <v>Apr-2025</v>
      </c>
      <c r="F92" s="4">
        <v>103246</v>
      </c>
      <c r="G92" s="4">
        <v>5</v>
      </c>
      <c r="H92" s="4">
        <v>77365.539999999994</v>
      </c>
      <c r="J92" s="4" t="str">
        <v>ORD0262</v>
      </c>
      <c r="K92" s="4" t="str">
        <v>Phone</v>
      </c>
      <c r="L92" s="4" t="str">
        <v>Electronics</v>
      </c>
      <c r="M92" s="4" t="str">
        <v>South</v>
      </c>
      <c r="N92" s="4" t="str">
        <v>Dec-2025</v>
      </c>
      <c r="O92" s="4">
        <v>92605</v>
      </c>
      <c r="P92" s="4">
        <v>2</v>
      </c>
      <c r="Q92" s="4">
        <v>58814.77</v>
      </c>
      <c r="S92" s="4" t="str">
        <v>ORD0322</v>
      </c>
      <c r="T92" s="4" t="str">
        <v>Tablet</v>
      </c>
      <c r="U92" s="4" t="str">
        <v>Electronics</v>
      </c>
      <c r="V92" s="4" t="str">
        <v>South</v>
      </c>
      <c r="W92" s="4" t="str">
        <v>Jun-2025</v>
      </c>
      <c r="X92" s="4">
        <v>125949</v>
      </c>
      <c r="Y92" s="4">
        <v>7</v>
      </c>
      <c r="Z92" s="4">
        <v>85635.27</v>
      </c>
    </row>
    <row r="93" spans="1:26" x14ac:dyDescent="0.3">
      <c r="A93" s="4" t="str">
        <v>ORD0114</v>
      </c>
      <c r="B93" s="4" t="str">
        <v>Monitor</v>
      </c>
      <c r="C93" s="4" t="str">
        <v>Peripherals</v>
      </c>
      <c r="D93" s="4" t="str">
        <v>South</v>
      </c>
      <c r="E93" s="4" t="str">
        <v>Apr-2025</v>
      </c>
      <c r="F93" s="4">
        <v>93366</v>
      </c>
      <c r="G93" s="4">
        <v>5</v>
      </c>
      <c r="H93" s="4">
        <v>59145.34</v>
      </c>
      <c r="J93" s="4" t="str">
        <v>ORD0264</v>
      </c>
      <c r="K93" s="4" t="str">
        <v>Tablet</v>
      </c>
      <c r="L93" s="4" t="str">
        <v>Electronics</v>
      </c>
      <c r="M93" s="4" t="str">
        <v>West</v>
      </c>
      <c r="N93" s="4" t="str">
        <v>Jan-2025</v>
      </c>
      <c r="O93" s="4">
        <v>27693</v>
      </c>
      <c r="P93" s="4">
        <v>5</v>
      </c>
      <c r="Q93" s="4">
        <v>19404.98</v>
      </c>
      <c r="S93" s="4" t="str">
        <v>ORD0123</v>
      </c>
      <c r="T93" s="4" t="str">
        <v>Mouse</v>
      </c>
      <c r="U93" s="4" t="str">
        <v>Accessories</v>
      </c>
      <c r="V93" s="4" t="str">
        <v>East</v>
      </c>
      <c r="W93" s="4" t="str">
        <v>Sep-2025</v>
      </c>
      <c r="X93" s="4">
        <v>125624</v>
      </c>
      <c r="Y93" s="4">
        <v>13</v>
      </c>
      <c r="Z93" s="4">
        <v>75439.62</v>
      </c>
    </row>
    <row r="94" spans="1:26" x14ac:dyDescent="0.3">
      <c r="A94" s="4" t="str">
        <v>ORD0116</v>
      </c>
      <c r="B94" s="4" t="str">
        <v>Tablet</v>
      </c>
      <c r="C94" s="4" t="str">
        <v>Electronics</v>
      </c>
      <c r="D94" s="4" t="str">
        <v>West</v>
      </c>
      <c r="E94" s="4" t="str">
        <v>Mar-2025</v>
      </c>
      <c r="F94" s="4">
        <v>143818</v>
      </c>
      <c r="G94" s="4">
        <v>11</v>
      </c>
      <c r="H94" s="4">
        <v>99096.07</v>
      </c>
      <c r="J94" s="4" t="str">
        <v>ORD0265</v>
      </c>
      <c r="K94" s="4" t="str">
        <v>Tablet</v>
      </c>
      <c r="L94" s="4" t="str">
        <v>Electronics</v>
      </c>
      <c r="M94" s="4" t="str">
        <v>North</v>
      </c>
      <c r="N94" s="4" t="str">
        <v>Feb-2025</v>
      </c>
      <c r="O94" s="4">
        <v>128523</v>
      </c>
      <c r="P94" s="4">
        <v>6</v>
      </c>
      <c r="Q94" s="4">
        <v>84020.14</v>
      </c>
      <c r="S94" s="4" t="str">
        <v>ORD0372</v>
      </c>
      <c r="T94" s="4" t="str">
        <v>Tablet</v>
      </c>
      <c r="U94" s="4" t="str">
        <v>Electronics</v>
      </c>
      <c r="V94" s="4" t="str">
        <v>West</v>
      </c>
      <c r="W94" s="4" t="str">
        <v>Aug-2025</v>
      </c>
      <c r="X94" s="4">
        <v>125484</v>
      </c>
      <c r="Y94" s="4">
        <v>6</v>
      </c>
      <c r="Z94" s="4">
        <v>84195.05</v>
      </c>
    </row>
    <row r="95" spans="1:26" x14ac:dyDescent="0.3">
      <c r="A95" s="4" t="str">
        <v>ORD0117</v>
      </c>
      <c r="B95" s="4" t="str">
        <v>Headphones</v>
      </c>
      <c r="C95" s="4" t="str">
        <v>Accessories</v>
      </c>
      <c r="D95" s="4" t="str">
        <v>North</v>
      </c>
      <c r="E95" s="4" t="str">
        <v>Mar-2025</v>
      </c>
      <c r="F95" s="4">
        <v>93854</v>
      </c>
      <c r="G95" s="4">
        <v>3</v>
      </c>
      <c r="H95" s="4">
        <v>64435.28</v>
      </c>
      <c r="J95" s="4" t="str">
        <v>ORD0268</v>
      </c>
      <c r="K95" s="4" t="str">
        <v>Tablet</v>
      </c>
      <c r="L95" s="4" t="str">
        <v>Electronics</v>
      </c>
      <c r="M95" s="4" t="str">
        <v>West</v>
      </c>
      <c r="N95" s="4" t="str">
        <v>Feb-2025</v>
      </c>
      <c r="O95" s="4">
        <v>76106</v>
      </c>
      <c r="P95" s="4">
        <v>6</v>
      </c>
      <c r="Q95" s="4">
        <v>54268.79</v>
      </c>
      <c r="S95" s="4" t="str">
        <v>ORD0277</v>
      </c>
      <c r="T95" s="4" t="str">
        <v>Keyboard</v>
      </c>
      <c r="U95" s="4" t="str">
        <v>Accessories</v>
      </c>
      <c r="V95" s="4" t="str">
        <v>North</v>
      </c>
      <c r="W95" s="4" t="str">
        <v>Mar-2025</v>
      </c>
      <c r="X95" s="4">
        <v>125208</v>
      </c>
      <c r="Y95" s="4">
        <v>3</v>
      </c>
      <c r="Z95" s="4">
        <v>87002.48</v>
      </c>
    </row>
    <row r="96" spans="1:26" x14ac:dyDescent="0.3">
      <c r="A96" s="4" t="str">
        <v>ORD0118</v>
      </c>
      <c r="B96" s="4" t="str">
        <v>Tablet</v>
      </c>
      <c r="C96" s="4" t="str">
        <v>Electronics</v>
      </c>
      <c r="D96" s="4" t="str">
        <v>South</v>
      </c>
      <c r="E96" s="4" t="str">
        <v>May-2025</v>
      </c>
      <c r="F96" s="4">
        <v>62315</v>
      </c>
      <c r="G96" s="4">
        <v>11</v>
      </c>
      <c r="H96" s="4">
        <v>43779.45</v>
      </c>
      <c r="J96" s="4" t="str">
        <v>ORD0272</v>
      </c>
      <c r="K96" s="4" t="str">
        <v>Phone</v>
      </c>
      <c r="L96" s="4" t="str">
        <v>Electronics</v>
      </c>
      <c r="M96" s="4" t="str">
        <v>West</v>
      </c>
      <c r="N96" s="4" t="str">
        <v>Nov-2025</v>
      </c>
      <c r="O96" s="4">
        <v>101989</v>
      </c>
      <c r="P96" s="4">
        <v>9</v>
      </c>
      <c r="Q96" s="4">
        <v>67101.009999999995</v>
      </c>
      <c r="S96" s="4" t="str">
        <v>ORD0314</v>
      </c>
      <c r="T96" s="4" t="str">
        <v>Phone</v>
      </c>
      <c r="U96" s="4" t="str">
        <v>Electronics</v>
      </c>
      <c r="V96" s="4" t="str">
        <v>South</v>
      </c>
      <c r="W96" s="4" t="str">
        <v>Dec-2025</v>
      </c>
      <c r="X96" s="4">
        <v>124098</v>
      </c>
      <c r="Y96" s="4">
        <v>4</v>
      </c>
      <c r="Z96" s="4">
        <v>81265.279999999999</v>
      </c>
    </row>
    <row r="97" spans="1:26" x14ac:dyDescent="0.3">
      <c r="A97" s="4" t="str">
        <v>ORD0119</v>
      </c>
      <c r="B97" s="4" t="str">
        <v>Headphones</v>
      </c>
      <c r="C97" s="4" t="str">
        <v>Accessories</v>
      </c>
      <c r="D97" s="4" t="str">
        <v>East</v>
      </c>
      <c r="E97" s="4" t="str">
        <v>Oct-2025</v>
      </c>
      <c r="F97" s="4">
        <v>71792</v>
      </c>
      <c r="G97" s="4">
        <v>3</v>
      </c>
      <c r="H97" s="4">
        <v>50084.21</v>
      </c>
      <c r="J97" s="4" t="str">
        <v>ORD0273</v>
      </c>
      <c r="K97" s="4" t="str">
        <v>Phone</v>
      </c>
      <c r="L97" s="4" t="str">
        <v>Electronics</v>
      </c>
      <c r="M97" s="4" t="str">
        <v>North</v>
      </c>
      <c r="N97" s="4" t="str">
        <v>May-2025</v>
      </c>
      <c r="O97" s="4">
        <v>116122</v>
      </c>
      <c r="P97" s="4">
        <v>10</v>
      </c>
      <c r="Q97" s="4">
        <v>76936.47</v>
      </c>
      <c r="S97" s="4" t="str">
        <v>ORD0165</v>
      </c>
      <c r="T97" s="4" t="str">
        <v>Printer</v>
      </c>
      <c r="U97" s="4" t="str">
        <v>Peripherals</v>
      </c>
      <c r="V97" s="4" t="str">
        <v>North</v>
      </c>
      <c r="W97" s="4" t="str">
        <v>May-2025</v>
      </c>
      <c r="X97" s="4">
        <v>123603</v>
      </c>
      <c r="Y97" s="4">
        <v>2</v>
      </c>
      <c r="Z97" s="4">
        <v>78260.460000000006</v>
      </c>
    </row>
    <row r="98" spans="1:26" x14ac:dyDescent="0.3">
      <c r="A98" s="4" t="str">
        <v>ORD0122</v>
      </c>
      <c r="B98" s="4" t="str">
        <v>Keyboard</v>
      </c>
      <c r="C98" s="4" t="str">
        <v>Accessories</v>
      </c>
      <c r="D98" s="4" t="str">
        <v>South</v>
      </c>
      <c r="E98" s="4" t="str">
        <v>Jun-2025</v>
      </c>
      <c r="F98" s="4">
        <v>70188</v>
      </c>
      <c r="G98" s="4">
        <v>13</v>
      </c>
      <c r="H98" s="4">
        <v>46585.85</v>
      </c>
      <c r="J98" s="4" t="str">
        <v>ORD0275</v>
      </c>
      <c r="K98" s="4" t="str">
        <v>Phone</v>
      </c>
      <c r="L98" s="4" t="str">
        <v>Electronics</v>
      </c>
      <c r="M98" s="4" t="str">
        <v>East</v>
      </c>
      <c r="N98" s="4" t="str">
        <v>Jun-2025</v>
      </c>
      <c r="O98" s="4">
        <v>126910</v>
      </c>
      <c r="P98" s="4">
        <v>15</v>
      </c>
      <c r="Q98" s="4">
        <v>87362.2</v>
      </c>
      <c r="S98" s="4" t="str">
        <v>ORD0474</v>
      </c>
      <c r="T98" s="4" t="str">
        <v>Keyboard</v>
      </c>
      <c r="U98" s="4" t="str">
        <v>Accessories</v>
      </c>
      <c r="V98" s="4" t="str">
        <v>South</v>
      </c>
      <c r="W98" s="4" t="str">
        <v>May-2025</v>
      </c>
      <c r="X98" s="4">
        <v>123569</v>
      </c>
      <c r="Y98" s="4">
        <v>14</v>
      </c>
      <c r="Z98" s="4">
        <v>75035.14</v>
      </c>
    </row>
    <row r="99" spans="1:26" x14ac:dyDescent="0.3">
      <c r="A99" s="4" t="str">
        <v>ORD0123</v>
      </c>
      <c r="B99" s="4" t="str">
        <v>Mouse</v>
      </c>
      <c r="C99" s="4" t="str">
        <v>Accessories</v>
      </c>
      <c r="D99" s="4" t="str">
        <v>East</v>
      </c>
      <c r="E99" s="4" t="str">
        <v>Sep-2025</v>
      </c>
      <c r="F99" s="4">
        <v>125624</v>
      </c>
      <c r="G99" s="4">
        <v>13</v>
      </c>
      <c r="H99" s="4">
        <v>75439.62</v>
      </c>
      <c r="J99" s="4" t="str">
        <v>ORD0278</v>
      </c>
      <c r="K99" s="4" t="str">
        <v>Laptop</v>
      </c>
      <c r="L99" s="4" t="str">
        <v>Electronics</v>
      </c>
      <c r="M99" s="4" t="str">
        <v>South</v>
      </c>
      <c r="N99" s="4" t="str">
        <v>Oct-2025</v>
      </c>
      <c r="O99" s="4">
        <v>88177</v>
      </c>
      <c r="P99" s="4">
        <v>4</v>
      </c>
      <c r="Q99" s="4">
        <v>57671.24</v>
      </c>
      <c r="S99" s="4" t="str">
        <v>ORD0207</v>
      </c>
      <c r="T99" s="4" t="str">
        <v>Printer</v>
      </c>
      <c r="U99" s="4" t="str">
        <v>Peripherals</v>
      </c>
      <c r="V99" s="4" t="str">
        <v>East</v>
      </c>
      <c r="W99" s="4" t="str">
        <v>Jun-2025</v>
      </c>
      <c r="X99" s="4">
        <v>123438</v>
      </c>
      <c r="Y99" s="4">
        <v>8</v>
      </c>
      <c r="Z99" s="4">
        <v>76629.440000000002</v>
      </c>
    </row>
    <row r="100" spans="1:26" x14ac:dyDescent="0.3">
      <c r="A100" s="4" t="str">
        <v>ORD0124</v>
      </c>
      <c r="B100" s="4" t="str">
        <v>Laptop</v>
      </c>
      <c r="C100" s="4" t="str">
        <v>Electronics</v>
      </c>
      <c r="D100" s="4" t="str">
        <v>West</v>
      </c>
      <c r="E100" s="4" t="str">
        <v>Jul-2025</v>
      </c>
      <c r="F100" s="4">
        <v>89513</v>
      </c>
      <c r="G100" s="4">
        <v>4</v>
      </c>
      <c r="H100" s="4">
        <v>60402.23</v>
      </c>
      <c r="J100" s="4" t="str">
        <v>ORD0279</v>
      </c>
      <c r="K100" s="4" t="str">
        <v>Phone</v>
      </c>
      <c r="L100" s="4" t="str">
        <v>Electronics</v>
      </c>
      <c r="M100" s="4" t="str">
        <v>East</v>
      </c>
      <c r="N100" s="4" t="str">
        <v>Jun-2025</v>
      </c>
      <c r="O100" s="4">
        <v>79500</v>
      </c>
      <c r="P100" s="4">
        <v>15</v>
      </c>
      <c r="Q100" s="4">
        <v>57325.96</v>
      </c>
      <c r="S100" s="4" t="str">
        <v>ORD0323</v>
      </c>
      <c r="T100" s="4" t="str">
        <v>Printer</v>
      </c>
      <c r="U100" s="4" t="str">
        <v>Peripherals</v>
      </c>
      <c r="V100" s="4" t="str">
        <v>East</v>
      </c>
      <c r="W100" s="4" t="str">
        <v>Feb-2025</v>
      </c>
      <c r="X100" s="4">
        <v>123388</v>
      </c>
      <c r="Y100" s="4">
        <v>11</v>
      </c>
      <c r="Z100" s="4">
        <v>86132.21</v>
      </c>
    </row>
    <row r="101" spans="1:26" x14ac:dyDescent="0.3">
      <c r="A101" s="4" t="str">
        <v>ORD0127</v>
      </c>
      <c r="B101" s="4" t="str">
        <v>Printer</v>
      </c>
      <c r="C101" s="4" t="str">
        <v>Peripherals</v>
      </c>
      <c r="D101" s="4" t="str">
        <v>East</v>
      </c>
      <c r="E101" s="4" t="str">
        <v>Oct-2025</v>
      </c>
      <c r="F101" s="4">
        <v>137927</v>
      </c>
      <c r="G101" s="4">
        <v>2</v>
      </c>
      <c r="H101" s="4">
        <v>94977.04</v>
      </c>
      <c r="J101" s="4" t="str">
        <v>ORD0280</v>
      </c>
      <c r="K101" s="4" t="str">
        <v>Laptop</v>
      </c>
      <c r="L101" s="4" t="str">
        <v>Electronics</v>
      </c>
      <c r="M101" s="4" t="str">
        <v>West</v>
      </c>
      <c r="N101" s="4" t="str">
        <v>Nov-2025</v>
      </c>
      <c r="O101" s="4">
        <v>95096</v>
      </c>
      <c r="P101" s="4">
        <v>10</v>
      </c>
      <c r="Q101" s="4">
        <v>60057.84</v>
      </c>
      <c r="S101" s="4" t="str">
        <v>ORD0289</v>
      </c>
      <c r="T101" s="4" t="str">
        <v>Printer</v>
      </c>
      <c r="U101" s="4" t="str">
        <v>Peripherals</v>
      </c>
      <c r="V101" s="4" t="str">
        <v>North</v>
      </c>
      <c r="W101" s="4" t="str">
        <v>Nov-2025</v>
      </c>
      <c r="X101" s="4">
        <v>123293</v>
      </c>
      <c r="Y101" s="4">
        <v>1</v>
      </c>
      <c r="Z101" s="4">
        <v>91778.58</v>
      </c>
    </row>
    <row r="102" spans="1:26" x14ac:dyDescent="0.3">
      <c r="A102" s="4" t="str">
        <v>ORD0128</v>
      </c>
      <c r="B102" s="4" t="str">
        <v>Monitor</v>
      </c>
      <c r="C102" s="4" t="str">
        <v>Peripherals</v>
      </c>
      <c r="D102" s="4" t="str">
        <v>West</v>
      </c>
      <c r="E102" s="4" t="str">
        <v>Dec-2025</v>
      </c>
      <c r="F102" s="4">
        <v>71506</v>
      </c>
      <c r="G102" s="4">
        <v>7</v>
      </c>
      <c r="H102" s="4">
        <v>47575.63</v>
      </c>
      <c r="J102" s="4" t="str">
        <v>ORD0281</v>
      </c>
      <c r="K102" s="4" t="str">
        <v>Tablet</v>
      </c>
      <c r="L102" s="4" t="str">
        <v>Electronics</v>
      </c>
      <c r="M102" s="4" t="str">
        <v>North</v>
      </c>
      <c r="N102" s="4" t="str">
        <v>Sep-2025</v>
      </c>
      <c r="O102" s="4">
        <v>92510</v>
      </c>
      <c r="P102" s="4">
        <v>3</v>
      </c>
      <c r="Q102" s="4">
        <v>61874.37</v>
      </c>
      <c r="S102" s="4" t="str">
        <v>ORD0149</v>
      </c>
      <c r="T102" s="4" t="str">
        <v>Keyboard</v>
      </c>
      <c r="U102" s="4" t="str">
        <v>Accessories</v>
      </c>
      <c r="V102" s="4" t="str">
        <v>North</v>
      </c>
      <c r="W102" s="4" t="str">
        <v>Jan-2025</v>
      </c>
      <c r="X102" s="4">
        <v>123262</v>
      </c>
      <c r="Y102" s="4">
        <v>5</v>
      </c>
      <c r="Z102" s="4">
        <v>91573.73</v>
      </c>
    </row>
    <row r="103" spans="1:26" x14ac:dyDescent="0.3">
      <c r="A103" s="4" t="str">
        <v>ORD0129</v>
      </c>
      <c r="B103" s="4" t="str">
        <v>Printer</v>
      </c>
      <c r="C103" s="4" t="str">
        <v>Peripherals</v>
      </c>
      <c r="D103" s="4" t="str">
        <v>North</v>
      </c>
      <c r="E103" s="4" t="str">
        <v>Jul-2025</v>
      </c>
      <c r="F103" s="4">
        <v>64216</v>
      </c>
      <c r="G103" s="4">
        <v>15</v>
      </c>
      <c r="H103" s="4">
        <v>43766.36</v>
      </c>
      <c r="J103" s="4" t="str">
        <v>ORD0284</v>
      </c>
      <c r="K103" s="4" t="str">
        <v>Laptop</v>
      </c>
      <c r="L103" s="4" t="str">
        <v>Electronics</v>
      </c>
      <c r="M103" s="4" t="str">
        <v>West</v>
      </c>
      <c r="N103" s="4" t="str">
        <v>Jun-2025</v>
      </c>
      <c r="O103" s="4">
        <v>75551</v>
      </c>
      <c r="P103" s="4">
        <v>1</v>
      </c>
      <c r="Q103" s="4">
        <v>56148.36</v>
      </c>
      <c r="S103" s="4" t="str">
        <v>ORD0456</v>
      </c>
      <c r="T103" s="4" t="str">
        <v>Phone</v>
      </c>
      <c r="U103" s="4" t="str">
        <v>Electronics</v>
      </c>
      <c r="V103" s="4" t="str">
        <v>West</v>
      </c>
      <c r="W103" s="4" t="str">
        <v>Aug-2025</v>
      </c>
      <c r="X103" s="4">
        <v>123085</v>
      </c>
      <c r="Y103" s="4">
        <v>14</v>
      </c>
      <c r="Z103" s="4">
        <v>88964.38</v>
      </c>
    </row>
    <row r="104" spans="1:26" x14ac:dyDescent="0.3">
      <c r="A104" s="4" t="str">
        <v>ORD0131</v>
      </c>
      <c r="B104" s="4" t="str">
        <v>Phone</v>
      </c>
      <c r="C104" s="4" t="str">
        <v>Electronics</v>
      </c>
      <c r="D104" s="4" t="str">
        <v>East</v>
      </c>
      <c r="E104" s="4" t="str">
        <v>Jan-2025</v>
      </c>
      <c r="F104" s="4">
        <v>118909</v>
      </c>
      <c r="G104" s="4">
        <v>8</v>
      </c>
      <c r="H104" s="4">
        <v>80462.66</v>
      </c>
      <c r="J104" s="4" t="str">
        <v>ORD0290</v>
      </c>
      <c r="K104" s="4" t="str">
        <v>Tablet</v>
      </c>
      <c r="L104" s="4" t="str">
        <v>Electronics</v>
      </c>
      <c r="M104" s="4" t="str">
        <v>South</v>
      </c>
      <c r="N104" s="4" t="str">
        <v>Aug-2025</v>
      </c>
      <c r="O104" s="4">
        <v>83403</v>
      </c>
      <c r="P104" s="4">
        <v>8</v>
      </c>
      <c r="Q104" s="4">
        <v>54792.19</v>
      </c>
      <c r="S104" s="4" t="str">
        <v>ORD0259</v>
      </c>
      <c r="T104" s="4" t="str">
        <v>Mouse</v>
      </c>
      <c r="U104" s="4" t="str">
        <v>Accessories</v>
      </c>
      <c r="V104" s="4" t="str">
        <v>East</v>
      </c>
      <c r="W104" s="4" t="str">
        <v>May-2025</v>
      </c>
      <c r="X104" s="4">
        <v>123040</v>
      </c>
      <c r="Y104" s="4">
        <v>7</v>
      </c>
      <c r="Z104" s="4">
        <v>79699.58</v>
      </c>
    </row>
    <row r="105" spans="1:26" x14ac:dyDescent="0.3">
      <c r="A105" s="4" t="str">
        <v>ORD0133</v>
      </c>
      <c r="B105" s="4" t="str">
        <v>Headphones</v>
      </c>
      <c r="C105" s="4" t="str">
        <v>Accessories</v>
      </c>
      <c r="D105" s="4" t="str">
        <v>North</v>
      </c>
      <c r="E105" s="4" t="str">
        <v>Jul-2025</v>
      </c>
      <c r="F105" s="4">
        <v>58143</v>
      </c>
      <c r="G105" s="4">
        <v>1</v>
      </c>
      <c r="H105" s="4">
        <v>36705.300000000003</v>
      </c>
      <c r="J105" s="4" t="str">
        <v>ORD0292</v>
      </c>
      <c r="K105" s="4" t="str">
        <v>Laptop</v>
      </c>
      <c r="L105" s="4" t="str">
        <v>Electronics</v>
      </c>
      <c r="M105" s="4" t="str">
        <v>West</v>
      </c>
      <c r="N105" s="4" t="str">
        <v>May-2025</v>
      </c>
      <c r="O105" s="4">
        <v>138320</v>
      </c>
      <c r="P105" s="4">
        <v>8</v>
      </c>
      <c r="Q105" s="4">
        <v>98859.39</v>
      </c>
      <c r="S105" s="4" t="str">
        <v>ORD0082</v>
      </c>
      <c r="T105" s="4" t="str">
        <v>Monitor</v>
      </c>
      <c r="U105" s="4" t="str">
        <v>Peripherals</v>
      </c>
      <c r="V105" s="4" t="str">
        <v>South</v>
      </c>
      <c r="W105" s="4" t="str">
        <v>Mar-2025</v>
      </c>
      <c r="X105" s="4">
        <v>122055</v>
      </c>
      <c r="Y105" s="4">
        <v>10</v>
      </c>
      <c r="Z105" s="4">
        <v>81483.34</v>
      </c>
    </row>
    <row r="106" spans="1:26" x14ac:dyDescent="0.3">
      <c r="A106" s="4" t="str">
        <v>ORD0134</v>
      </c>
      <c r="B106" s="4" t="str">
        <v>Printer</v>
      </c>
      <c r="C106" s="4" t="str">
        <v>Peripherals</v>
      </c>
      <c r="D106" s="4" t="str">
        <v>South</v>
      </c>
      <c r="E106" s="4" t="str">
        <v>Dec-2025</v>
      </c>
      <c r="F106" s="4">
        <v>60373</v>
      </c>
      <c r="G106" s="4">
        <v>15</v>
      </c>
      <c r="H106" s="4">
        <v>43646.07</v>
      </c>
      <c r="J106" s="4" t="str">
        <v>ORD0293</v>
      </c>
      <c r="K106" s="4" t="str">
        <v>Tablet</v>
      </c>
      <c r="L106" s="4" t="str">
        <v>Electronics</v>
      </c>
      <c r="M106" s="4" t="str">
        <v>North</v>
      </c>
      <c r="N106" s="4" t="str">
        <v>Oct-2025</v>
      </c>
      <c r="O106" s="4">
        <v>146713</v>
      </c>
      <c r="P106" s="4">
        <v>6</v>
      </c>
      <c r="Q106" s="4">
        <v>108818.76</v>
      </c>
      <c r="S106" s="4" t="str">
        <v>ORD0015</v>
      </c>
      <c r="T106" s="4" t="str">
        <v>Keyboard</v>
      </c>
      <c r="U106" s="4" t="str">
        <v>Accessories</v>
      </c>
      <c r="V106" s="4" t="str">
        <v>East</v>
      </c>
      <c r="W106" s="4" t="str">
        <v>Jul-2025</v>
      </c>
      <c r="X106" s="4">
        <v>122012</v>
      </c>
      <c r="Y106" s="4">
        <v>14</v>
      </c>
      <c r="Z106" s="4">
        <v>84037.24</v>
      </c>
    </row>
    <row r="107" spans="1:26" x14ac:dyDescent="0.3">
      <c r="A107" s="4" t="str">
        <v>ORD0135</v>
      </c>
      <c r="B107" s="4" t="str">
        <v>Laptop</v>
      </c>
      <c r="C107" s="4" t="str">
        <v>Electronics</v>
      </c>
      <c r="D107" s="4" t="str">
        <v>East</v>
      </c>
      <c r="E107" s="4" t="str">
        <v>Nov-2025</v>
      </c>
      <c r="F107" s="4">
        <v>146429</v>
      </c>
      <c r="G107" s="4">
        <v>11</v>
      </c>
      <c r="H107" s="4">
        <v>88999.78</v>
      </c>
      <c r="J107" s="4" t="str">
        <v>ORD0294</v>
      </c>
      <c r="K107" s="4" t="str">
        <v>Phone</v>
      </c>
      <c r="L107" s="4" t="str">
        <v>Electronics</v>
      </c>
      <c r="M107" s="4" t="str">
        <v>South</v>
      </c>
      <c r="N107" s="4" t="str">
        <v>May-2025</v>
      </c>
      <c r="O107" s="4">
        <v>92943</v>
      </c>
      <c r="P107" s="4">
        <v>6</v>
      </c>
      <c r="Q107" s="4">
        <v>58727.360000000001</v>
      </c>
      <c r="S107" s="4" t="str">
        <v>ORD0175</v>
      </c>
      <c r="T107" s="4" t="str">
        <v>Laptop</v>
      </c>
      <c r="U107" s="4" t="str">
        <v>Electronics</v>
      </c>
      <c r="V107" s="4" t="str">
        <v>East</v>
      </c>
      <c r="W107" s="4" t="str">
        <v>Feb-2025</v>
      </c>
      <c r="X107" s="4">
        <v>121562</v>
      </c>
      <c r="Y107" s="4">
        <v>11</v>
      </c>
      <c r="Z107" s="4">
        <v>73378.350000000006</v>
      </c>
    </row>
    <row r="108" spans="1:26" x14ac:dyDescent="0.3">
      <c r="A108" s="4" t="str">
        <v>ORD0137</v>
      </c>
      <c r="B108" s="4" t="str">
        <v>Headphones</v>
      </c>
      <c r="C108" s="4" t="str">
        <v>Accessories</v>
      </c>
      <c r="D108" s="4" t="str">
        <v>North</v>
      </c>
      <c r="E108" s="4" t="str">
        <v>Jan-2025</v>
      </c>
      <c r="F108" s="4">
        <v>85505</v>
      </c>
      <c r="G108" s="4">
        <v>6</v>
      </c>
      <c r="H108" s="4">
        <v>52177.18</v>
      </c>
      <c r="J108" s="4" t="str">
        <v>ORD0295</v>
      </c>
      <c r="K108" s="4" t="str">
        <v>Tablet</v>
      </c>
      <c r="L108" s="4" t="str">
        <v>Electronics</v>
      </c>
      <c r="M108" s="4" t="str">
        <v>East</v>
      </c>
      <c r="N108" s="4" t="str">
        <v>Apr-2025</v>
      </c>
      <c r="O108" s="4">
        <v>144298</v>
      </c>
      <c r="P108" s="4">
        <v>1</v>
      </c>
      <c r="Q108" s="4">
        <v>107431.97</v>
      </c>
      <c r="S108" s="4" t="str">
        <v>ORD0444</v>
      </c>
      <c r="T108" s="4" t="str">
        <v>Printer</v>
      </c>
      <c r="U108" s="4" t="str">
        <v>Peripherals</v>
      </c>
      <c r="V108" s="4" t="str">
        <v>West</v>
      </c>
      <c r="W108" s="4" t="str">
        <v>Jun-2025</v>
      </c>
      <c r="X108" s="4">
        <v>121145</v>
      </c>
      <c r="Y108" s="4">
        <v>3</v>
      </c>
      <c r="Z108" s="4">
        <v>85730.82</v>
      </c>
    </row>
    <row r="109" spans="1:26" x14ac:dyDescent="0.3">
      <c r="A109" s="4" t="str">
        <v>ORD0138</v>
      </c>
      <c r="B109" s="4" t="str">
        <v>Monitor</v>
      </c>
      <c r="C109" s="4" t="str">
        <v>Peripherals</v>
      </c>
      <c r="D109" s="4" t="str">
        <v>South</v>
      </c>
      <c r="E109" s="4" t="str">
        <v>Aug-2025</v>
      </c>
      <c r="F109" s="4">
        <v>72565</v>
      </c>
      <c r="G109" s="4">
        <v>3</v>
      </c>
      <c r="H109" s="4">
        <v>53181.4</v>
      </c>
      <c r="J109" s="4" t="str">
        <v>ORD0306</v>
      </c>
      <c r="K109" s="4" t="str">
        <v>Tablet</v>
      </c>
      <c r="L109" s="4" t="str">
        <v>Electronics</v>
      </c>
      <c r="M109" s="4" t="str">
        <v>South</v>
      </c>
      <c r="N109" s="4" t="str">
        <v>Jan-2025</v>
      </c>
      <c r="O109" s="4">
        <v>83843</v>
      </c>
      <c r="P109" s="4">
        <v>7</v>
      </c>
      <c r="Q109" s="4">
        <v>57927.81</v>
      </c>
      <c r="S109" s="4" t="str">
        <v>ORD0347</v>
      </c>
      <c r="T109" s="4" t="str">
        <v>Laptop</v>
      </c>
      <c r="U109" s="4" t="str">
        <v>Electronics</v>
      </c>
      <c r="V109" s="4" t="str">
        <v>East</v>
      </c>
      <c r="W109" s="4" t="str">
        <v>Aug-2025</v>
      </c>
      <c r="X109" s="4">
        <v>120567</v>
      </c>
      <c r="Y109" s="4">
        <v>15</v>
      </c>
      <c r="Z109" s="4">
        <v>88595.97</v>
      </c>
    </row>
    <row r="110" spans="1:26" x14ac:dyDescent="0.3">
      <c r="A110" s="4" t="str">
        <v>ORD0139</v>
      </c>
      <c r="B110" s="4" t="str">
        <v>Tablet</v>
      </c>
      <c r="C110" s="4" t="str">
        <v>Electronics</v>
      </c>
      <c r="D110" s="4" t="str">
        <v>East</v>
      </c>
      <c r="E110" s="4" t="str">
        <v>Jan-2025</v>
      </c>
      <c r="F110" s="4">
        <v>67983</v>
      </c>
      <c r="G110" s="4">
        <v>10</v>
      </c>
      <c r="H110" s="4">
        <v>44579.59</v>
      </c>
      <c r="J110" s="4" t="str">
        <v>ORD0308</v>
      </c>
      <c r="K110" s="4" t="str">
        <v>Laptop</v>
      </c>
      <c r="L110" s="4" t="str">
        <v>Electronics</v>
      </c>
      <c r="M110" s="4" t="str">
        <v>West</v>
      </c>
      <c r="N110" s="4" t="str">
        <v>Jan-2025</v>
      </c>
      <c r="O110" s="4">
        <v>81636</v>
      </c>
      <c r="P110" s="4">
        <v>3</v>
      </c>
      <c r="Q110" s="4">
        <v>50959.86</v>
      </c>
      <c r="S110" s="4" t="str">
        <v>ORD0006</v>
      </c>
      <c r="T110" s="4" t="str">
        <v>Tablet</v>
      </c>
      <c r="U110" s="4" t="str">
        <v>Electronics</v>
      </c>
      <c r="V110" s="4" t="str">
        <v>South</v>
      </c>
      <c r="W110" s="4" t="str">
        <v>Apr-2025</v>
      </c>
      <c r="X110" s="4">
        <v>120493</v>
      </c>
      <c r="Y110" s="4">
        <v>8</v>
      </c>
      <c r="Z110" s="4">
        <v>82909.570000000007</v>
      </c>
    </row>
    <row r="111" spans="1:26" x14ac:dyDescent="0.3">
      <c r="A111" s="4" t="str">
        <v>ORD0140</v>
      </c>
      <c r="B111" s="4" t="str">
        <v>Printer</v>
      </c>
      <c r="C111" s="4" t="str">
        <v>Peripherals</v>
      </c>
      <c r="D111" s="4" t="str">
        <v>West</v>
      </c>
      <c r="E111" s="4" t="str">
        <v>May-2025</v>
      </c>
      <c r="F111" s="4">
        <v>92222</v>
      </c>
      <c r="G111" s="4">
        <v>8</v>
      </c>
      <c r="H111" s="4">
        <v>62119.32</v>
      </c>
      <c r="J111" s="4" t="str">
        <v>ORD0309</v>
      </c>
      <c r="K111" s="4" t="str">
        <v>Tablet</v>
      </c>
      <c r="L111" s="4" t="str">
        <v>Electronics</v>
      </c>
      <c r="M111" s="4" t="str">
        <v>North</v>
      </c>
      <c r="N111" s="4" t="str">
        <v>Sep-2025</v>
      </c>
      <c r="O111" s="4">
        <v>77434</v>
      </c>
      <c r="P111" s="4">
        <v>11</v>
      </c>
      <c r="Q111" s="4">
        <v>57719.78</v>
      </c>
      <c r="S111" s="4" t="str">
        <v>ORD0002</v>
      </c>
      <c r="T111" s="4" t="str">
        <v>Headphones</v>
      </c>
      <c r="U111" s="4" t="str">
        <v>Accessories</v>
      </c>
      <c r="V111" s="4" t="str">
        <v>South</v>
      </c>
      <c r="W111" s="4" t="str">
        <v>Nov-2025</v>
      </c>
      <c r="X111" s="4">
        <v>120418</v>
      </c>
      <c r="Y111" s="4">
        <v>3</v>
      </c>
      <c r="Z111" s="4">
        <v>88544.53</v>
      </c>
    </row>
    <row r="112" spans="1:26" x14ac:dyDescent="0.3">
      <c r="A112" s="4" t="str">
        <v>ORD0141</v>
      </c>
      <c r="B112" s="4" t="str">
        <v>Monitor</v>
      </c>
      <c r="C112" s="4" t="str">
        <v>Peripherals</v>
      </c>
      <c r="D112" s="4" t="str">
        <v>North</v>
      </c>
      <c r="E112" s="4" t="str">
        <v>Dec-2025</v>
      </c>
      <c r="F112" s="4">
        <v>61981</v>
      </c>
      <c r="G112" s="4">
        <v>4</v>
      </c>
      <c r="H112" s="4">
        <v>45563.35</v>
      </c>
      <c r="J112" s="4" t="str">
        <v>ORD0314</v>
      </c>
      <c r="K112" s="4" t="str">
        <v>Phone</v>
      </c>
      <c r="L112" s="4" t="str">
        <v>Electronics</v>
      </c>
      <c r="M112" s="4" t="str">
        <v>South</v>
      </c>
      <c r="N112" s="4" t="str">
        <v>Dec-2025</v>
      </c>
      <c r="O112" s="4">
        <v>124098</v>
      </c>
      <c r="P112" s="4">
        <v>4</v>
      </c>
      <c r="Q112" s="4">
        <v>81265.279999999999</v>
      </c>
      <c r="S112" s="4" t="str">
        <v>ORD0042</v>
      </c>
      <c r="T112" s="4" t="str">
        <v>Mouse</v>
      </c>
      <c r="U112" s="4" t="str">
        <v>Accessories</v>
      </c>
      <c r="V112" s="4" t="str">
        <v>South</v>
      </c>
      <c r="W112" s="4" t="str">
        <v>Dec-2025</v>
      </c>
      <c r="X112" s="4">
        <v>120231</v>
      </c>
      <c r="Y112" s="4">
        <v>4</v>
      </c>
      <c r="Z112" s="4">
        <v>77892.5</v>
      </c>
    </row>
    <row r="113" spans="1:26" x14ac:dyDescent="0.3">
      <c r="A113" s="4" t="str">
        <v>ORD0142</v>
      </c>
      <c r="B113" s="4" t="str">
        <v>Phone</v>
      </c>
      <c r="C113" s="4" t="str">
        <v>Electronics</v>
      </c>
      <c r="D113" s="4" t="str">
        <v>South</v>
      </c>
      <c r="E113" s="4" t="str">
        <v>Dec-2025</v>
      </c>
      <c r="F113" s="4">
        <v>96555</v>
      </c>
      <c r="G113" s="4">
        <v>5</v>
      </c>
      <c r="H113" s="4">
        <v>62385.279999999999</v>
      </c>
      <c r="J113" s="4" t="str">
        <v>ORD0315</v>
      </c>
      <c r="K113" s="4" t="str">
        <v>Laptop</v>
      </c>
      <c r="L113" s="4" t="str">
        <v>Electronics</v>
      </c>
      <c r="M113" s="4" t="str">
        <v>East</v>
      </c>
      <c r="N113" s="4" t="str">
        <v>Oct-2025</v>
      </c>
      <c r="O113" s="4">
        <v>107979</v>
      </c>
      <c r="P113" s="4">
        <v>1</v>
      </c>
      <c r="Q113" s="4">
        <v>80118.570000000007</v>
      </c>
      <c r="S113" s="4" t="str">
        <v>ORD0346</v>
      </c>
      <c r="T113" s="4" t="str">
        <v>Keyboard</v>
      </c>
      <c r="U113" s="4" t="str">
        <v>Accessories</v>
      </c>
      <c r="V113" s="4" t="str">
        <v>South</v>
      </c>
      <c r="W113" s="4" t="str">
        <v>May-2025</v>
      </c>
      <c r="X113" s="4">
        <v>120036</v>
      </c>
      <c r="Y113" s="4">
        <v>8</v>
      </c>
      <c r="Z113" s="4">
        <v>77955.490000000005</v>
      </c>
    </row>
    <row r="114" spans="1:26" x14ac:dyDescent="0.3">
      <c r="A114" s="4" t="str">
        <v>ORD0143</v>
      </c>
      <c r="B114" s="4" t="str">
        <v>Tablet</v>
      </c>
      <c r="C114" s="4" t="str">
        <v>Electronics</v>
      </c>
      <c r="D114" s="4" t="str">
        <v>East</v>
      </c>
      <c r="E114" s="4" t="str">
        <v>Jan-2025</v>
      </c>
      <c r="F114" s="4">
        <v>128631</v>
      </c>
      <c r="G114" s="4">
        <v>12</v>
      </c>
      <c r="H114" s="4">
        <v>80192.3</v>
      </c>
      <c r="J114" s="4" t="str">
        <v>ORD0317</v>
      </c>
      <c r="K114" s="4" t="str">
        <v>Tablet</v>
      </c>
      <c r="L114" s="4" t="str">
        <v>Electronics</v>
      </c>
      <c r="M114" s="4" t="str">
        <v>North</v>
      </c>
      <c r="N114" s="4" t="str">
        <v>Apr-2025</v>
      </c>
      <c r="O114" s="4">
        <v>85928</v>
      </c>
      <c r="P114" s="4">
        <v>15</v>
      </c>
      <c r="Q114" s="4">
        <v>52662.98</v>
      </c>
      <c r="S114" s="4" t="str">
        <v>ORD0023</v>
      </c>
      <c r="T114" s="4" t="str">
        <v>Headphones</v>
      </c>
      <c r="U114" s="4" t="str">
        <v>Accessories</v>
      </c>
      <c r="V114" s="4" t="str">
        <v>East</v>
      </c>
      <c r="W114" s="4" t="str">
        <v>Sep-2025</v>
      </c>
      <c r="X114" s="4">
        <v>119556</v>
      </c>
      <c r="Y114" s="4">
        <v>4</v>
      </c>
      <c r="Z114" s="4">
        <v>78402.67</v>
      </c>
    </row>
    <row r="115" spans="1:26" x14ac:dyDescent="0.3">
      <c r="A115" s="4" t="str">
        <v>ORD0144</v>
      </c>
      <c r="B115" s="4" t="str">
        <v>Keyboard</v>
      </c>
      <c r="C115" s="4" t="str">
        <v>Accessories</v>
      </c>
      <c r="D115" s="4" t="str">
        <v>West</v>
      </c>
      <c r="E115" s="4" t="str">
        <v>Feb-2025</v>
      </c>
      <c r="F115" s="4">
        <v>133286</v>
      </c>
      <c r="G115" s="4">
        <v>11</v>
      </c>
      <c r="H115" s="4">
        <v>81490.009999999995</v>
      </c>
      <c r="J115" s="4" t="str">
        <v>ORD0318</v>
      </c>
      <c r="K115" s="4" t="str">
        <v>Phone</v>
      </c>
      <c r="L115" s="4" t="str">
        <v>Electronics</v>
      </c>
      <c r="M115" s="4" t="str">
        <v>South</v>
      </c>
      <c r="N115" s="4" t="str">
        <v>Oct-2025</v>
      </c>
      <c r="O115" s="4">
        <v>74527</v>
      </c>
      <c r="P115" s="4">
        <v>11</v>
      </c>
      <c r="Q115" s="4">
        <v>44782.17</v>
      </c>
      <c r="S115" s="4" t="str">
        <v>ORD0131</v>
      </c>
      <c r="T115" s="4" t="str">
        <v>Phone</v>
      </c>
      <c r="U115" s="4" t="str">
        <v>Electronics</v>
      </c>
      <c r="V115" s="4" t="str">
        <v>East</v>
      </c>
      <c r="W115" s="4" t="str">
        <v>Jan-2025</v>
      </c>
      <c r="X115" s="4">
        <v>118909</v>
      </c>
      <c r="Y115" s="4">
        <v>8</v>
      </c>
      <c r="Z115" s="4">
        <v>80462.66</v>
      </c>
    </row>
    <row r="116" spans="1:26" x14ac:dyDescent="0.3">
      <c r="A116" s="4" t="str">
        <v>ORD0148</v>
      </c>
      <c r="B116" s="4" t="str">
        <v>Keyboard</v>
      </c>
      <c r="C116" s="4" t="str">
        <v>Accessories</v>
      </c>
      <c r="D116" s="4" t="str">
        <v>West</v>
      </c>
      <c r="E116" s="4" t="str">
        <v>May-2025</v>
      </c>
      <c r="F116" s="4">
        <v>141983</v>
      </c>
      <c r="G116" s="4">
        <v>10</v>
      </c>
      <c r="H116" s="4">
        <v>105513.62</v>
      </c>
      <c r="J116" s="4" t="str">
        <v>ORD0320</v>
      </c>
      <c r="K116" s="4" t="str">
        <v>Phone</v>
      </c>
      <c r="L116" s="4" t="str">
        <v>Electronics</v>
      </c>
      <c r="M116" s="4" t="str">
        <v>West</v>
      </c>
      <c r="N116" s="4" t="str">
        <v>Aug-2025</v>
      </c>
      <c r="O116" s="4">
        <v>107199</v>
      </c>
      <c r="P116" s="4">
        <v>8</v>
      </c>
      <c r="Q116" s="4">
        <v>69798.67</v>
      </c>
      <c r="S116" s="4" t="str">
        <v>ORD0070</v>
      </c>
      <c r="T116" s="4" t="str">
        <v>Monitor</v>
      </c>
      <c r="U116" s="4" t="str">
        <v>Peripherals</v>
      </c>
      <c r="V116" s="4" t="str">
        <v>South</v>
      </c>
      <c r="W116" s="4" t="str">
        <v>Oct-2025</v>
      </c>
      <c r="X116" s="4">
        <v>118732</v>
      </c>
      <c r="Y116" s="4">
        <v>13</v>
      </c>
      <c r="Z116" s="4">
        <v>85755.35</v>
      </c>
    </row>
    <row r="117" spans="1:26" x14ac:dyDescent="0.3">
      <c r="A117" s="4" t="str">
        <v>ORD0149</v>
      </c>
      <c r="B117" s="4" t="str">
        <v>Keyboard</v>
      </c>
      <c r="C117" s="4" t="str">
        <v>Accessories</v>
      </c>
      <c r="D117" s="4" t="str">
        <v>North</v>
      </c>
      <c r="E117" s="4" t="str">
        <v>Jan-2025</v>
      </c>
      <c r="F117" s="4">
        <v>123262</v>
      </c>
      <c r="G117" s="4">
        <v>5</v>
      </c>
      <c r="H117" s="4">
        <v>91573.73</v>
      </c>
      <c r="J117" s="4" t="str">
        <v>ORD0322</v>
      </c>
      <c r="K117" s="4" t="str">
        <v>Tablet</v>
      </c>
      <c r="L117" s="4" t="str">
        <v>Electronics</v>
      </c>
      <c r="M117" s="4" t="str">
        <v>South</v>
      </c>
      <c r="N117" s="4" t="str">
        <v>Jun-2025</v>
      </c>
      <c r="O117" s="4">
        <v>125949</v>
      </c>
      <c r="P117" s="4">
        <v>7</v>
      </c>
      <c r="Q117" s="4">
        <v>85635.27</v>
      </c>
      <c r="S117" s="4" t="str">
        <v>ORD0029</v>
      </c>
      <c r="T117" s="4" t="str">
        <v>Monitor</v>
      </c>
      <c r="U117" s="4" t="str">
        <v>Peripherals</v>
      </c>
      <c r="V117" s="4" t="str">
        <v>North</v>
      </c>
      <c r="W117" s="4" t="str">
        <v>Apr-2025</v>
      </c>
      <c r="X117" s="4">
        <v>118496</v>
      </c>
      <c r="Y117" s="4">
        <v>8</v>
      </c>
      <c r="Z117" s="4">
        <v>74628.69</v>
      </c>
    </row>
    <row r="118" spans="1:26" x14ac:dyDescent="0.3">
      <c r="A118" s="4" t="str">
        <v>ORD0150</v>
      </c>
      <c r="B118" s="4" t="str">
        <v>Tablet</v>
      </c>
      <c r="C118" s="4" t="str">
        <v>Electronics</v>
      </c>
      <c r="D118" s="4" t="str">
        <v>South</v>
      </c>
      <c r="E118" s="4" t="str">
        <v>Feb-2025</v>
      </c>
      <c r="F118" s="4">
        <v>62305</v>
      </c>
      <c r="G118" s="4">
        <v>1</v>
      </c>
      <c r="H118" s="4">
        <v>44588.23</v>
      </c>
      <c r="J118" s="4" t="str">
        <v>ORD0328</v>
      </c>
      <c r="K118" s="4" t="str">
        <v>Tablet</v>
      </c>
      <c r="L118" s="4" t="str">
        <v>Electronics</v>
      </c>
      <c r="M118" s="4" t="str">
        <v>West</v>
      </c>
      <c r="N118" s="4" t="str">
        <v>Apr-2025</v>
      </c>
      <c r="O118" s="4">
        <v>56670</v>
      </c>
      <c r="P118" s="4">
        <v>3</v>
      </c>
      <c r="Q118" s="4">
        <v>34731.21</v>
      </c>
      <c r="S118" s="4" t="str">
        <v>ORD0430</v>
      </c>
      <c r="T118" s="4" t="str">
        <v>Printer</v>
      </c>
      <c r="U118" s="4" t="str">
        <v>Peripherals</v>
      </c>
      <c r="V118" s="4" t="str">
        <v>South</v>
      </c>
      <c r="W118" s="4" t="str">
        <v>Oct-2025</v>
      </c>
      <c r="X118" s="4">
        <v>118409</v>
      </c>
      <c r="Y118" s="4">
        <v>12</v>
      </c>
      <c r="Z118" s="4">
        <v>73231.259999999995</v>
      </c>
    </row>
    <row r="119" spans="1:26" x14ac:dyDescent="0.3">
      <c r="A119" s="4" t="str">
        <v>ORD0151</v>
      </c>
      <c r="B119" s="4" t="str">
        <v>Tablet</v>
      </c>
      <c r="C119" s="4" t="str">
        <v>Electronics</v>
      </c>
      <c r="D119" s="4" t="str">
        <v>East</v>
      </c>
      <c r="E119" s="4" t="str">
        <v>Mar-2025</v>
      </c>
      <c r="F119" s="4">
        <v>104055</v>
      </c>
      <c r="G119" s="4">
        <v>10</v>
      </c>
      <c r="H119" s="4">
        <v>67486</v>
      </c>
      <c r="J119" s="4" t="str">
        <v>ORD0331</v>
      </c>
      <c r="K119" s="4" t="str">
        <v>Laptop</v>
      </c>
      <c r="L119" s="4" t="str">
        <v>Electronics</v>
      </c>
      <c r="M119" s="4" t="str">
        <v>East</v>
      </c>
      <c r="N119" s="4" t="str">
        <v>Dec-2025</v>
      </c>
      <c r="O119" s="4">
        <v>30346</v>
      </c>
      <c r="P119" s="4">
        <v>11</v>
      </c>
      <c r="Q119" s="4">
        <v>21910.83</v>
      </c>
      <c r="S119" s="4" t="str">
        <v>ORD0155</v>
      </c>
      <c r="T119" s="4" t="str">
        <v>Mouse</v>
      </c>
      <c r="U119" s="4" t="str">
        <v>Accessories</v>
      </c>
      <c r="V119" s="4" t="str">
        <v>East</v>
      </c>
      <c r="W119" s="4" t="str">
        <v>Dec-2025</v>
      </c>
      <c r="X119" s="4">
        <v>118360</v>
      </c>
      <c r="Y119" s="4">
        <v>9</v>
      </c>
      <c r="Z119" s="4">
        <v>86878.45</v>
      </c>
    </row>
    <row r="120" spans="1:26" x14ac:dyDescent="0.3">
      <c r="A120" s="4" t="str">
        <v>ORD0152</v>
      </c>
      <c r="B120" s="4" t="str">
        <v>Laptop</v>
      </c>
      <c r="C120" s="4" t="str">
        <v>Electronics</v>
      </c>
      <c r="D120" s="4" t="str">
        <v>West</v>
      </c>
      <c r="E120" s="4" t="str">
        <v>Feb-2025</v>
      </c>
      <c r="F120" s="4">
        <v>137258</v>
      </c>
      <c r="G120" s="4">
        <v>13</v>
      </c>
      <c r="H120" s="4">
        <v>98519.09</v>
      </c>
      <c r="J120" s="4" t="str">
        <v>ORD0333</v>
      </c>
      <c r="K120" s="4" t="str">
        <v>Phone</v>
      </c>
      <c r="L120" s="4" t="str">
        <v>Electronics</v>
      </c>
      <c r="M120" s="4" t="str">
        <v>North</v>
      </c>
      <c r="N120" s="4" t="str">
        <v>Mar-2025</v>
      </c>
      <c r="O120" s="4">
        <v>67042</v>
      </c>
      <c r="P120" s="4">
        <v>7</v>
      </c>
      <c r="Q120" s="4">
        <v>40850.46</v>
      </c>
      <c r="S120" s="4" t="str">
        <v>ORD0497</v>
      </c>
      <c r="T120" s="4" t="str">
        <v>Laptop</v>
      </c>
      <c r="U120" s="4" t="str">
        <v>Electronics</v>
      </c>
      <c r="V120" s="4" t="str">
        <v>North</v>
      </c>
      <c r="W120" s="4" t="str">
        <v>Aug-2025</v>
      </c>
      <c r="X120" s="4">
        <v>118058</v>
      </c>
      <c r="Y120" s="4">
        <v>12</v>
      </c>
      <c r="Z120" s="4">
        <v>86655.58</v>
      </c>
    </row>
    <row r="121" spans="1:26" x14ac:dyDescent="0.3">
      <c r="A121" s="4" t="str">
        <v>ORD0153</v>
      </c>
      <c r="B121" s="4" t="str">
        <v>Keyboard</v>
      </c>
      <c r="C121" s="4" t="str">
        <v>Accessories</v>
      </c>
      <c r="D121" s="4" t="str">
        <v>North</v>
      </c>
      <c r="E121" s="4" t="str">
        <v>May-2025</v>
      </c>
      <c r="F121" s="4">
        <v>137491</v>
      </c>
      <c r="G121" s="4">
        <v>2</v>
      </c>
      <c r="H121" s="4">
        <v>101727.66</v>
      </c>
      <c r="J121" s="4" t="str">
        <v>ORD0334</v>
      </c>
      <c r="K121" s="4" t="str">
        <v>Tablet</v>
      </c>
      <c r="L121" s="4" t="str">
        <v>Electronics</v>
      </c>
      <c r="M121" s="4" t="str">
        <v>South</v>
      </c>
      <c r="N121" s="4" t="str">
        <v>Dec-2025</v>
      </c>
      <c r="O121" s="4">
        <v>35138</v>
      </c>
      <c r="P121" s="4">
        <v>15</v>
      </c>
      <c r="Q121" s="4">
        <v>23716.93</v>
      </c>
      <c r="S121" s="4" t="str">
        <v>ORD0298</v>
      </c>
      <c r="T121" s="4" t="str">
        <v>Headphones</v>
      </c>
      <c r="U121" s="4" t="str">
        <v>Accessories</v>
      </c>
      <c r="V121" s="4" t="str">
        <v>South</v>
      </c>
      <c r="W121" s="4" t="str">
        <v>Nov-2025</v>
      </c>
      <c r="X121" s="4">
        <v>117890</v>
      </c>
      <c r="Y121" s="4">
        <v>12</v>
      </c>
      <c r="Z121" s="4">
        <v>82587.58</v>
      </c>
    </row>
    <row r="122" spans="1:26" x14ac:dyDescent="0.3">
      <c r="A122" s="4" t="str">
        <v>ORD0154</v>
      </c>
      <c r="B122" s="4" t="str">
        <v>Monitor</v>
      </c>
      <c r="C122" s="4" t="str">
        <v>Peripherals</v>
      </c>
      <c r="D122" s="4" t="str">
        <v>South</v>
      </c>
      <c r="E122" s="4" t="str">
        <v>Jan-2025</v>
      </c>
      <c r="F122" s="4">
        <v>62411</v>
      </c>
      <c r="G122" s="4">
        <v>15</v>
      </c>
      <c r="H122" s="4">
        <v>42791.6</v>
      </c>
      <c r="J122" s="4" t="str">
        <v>ORD0335</v>
      </c>
      <c r="K122" s="4" t="str">
        <v>Phone</v>
      </c>
      <c r="L122" s="4" t="str">
        <v>Electronics</v>
      </c>
      <c r="M122" s="4" t="str">
        <v>East</v>
      </c>
      <c r="N122" s="4" t="str">
        <v>Oct-2025</v>
      </c>
      <c r="O122" s="4">
        <v>89979</v>
      </c>
      <c r="P122" s="4">
        <v>1</v>
      </c>
      <c r="Q122" s="4">
        <v>54176.4</v>
      </c>
      <c r="S122" s="4" t="str">
        <v>ORD0423</v>
      </c>
      <c r="T122" s="4" t="str">
        <v>Tablet</v>
      </c>
      <c r="U122" s="4" t="str">
        <v>Electronics</v>
      </c>
      <c r="V122" s="4" t="str">
        <v>East</v>
      </c>
      <c r="W122" s="4" t="str">
        <v>Sep-2025</v>
      </c>
      <c r="X122" s="4">
        <v>117866</v>
      </c>
      <c r="Y122" s="4">
        <v>2</v>
      </c>
      <c r="Z122" s="4">
        <v>83977.77</v>
      </c>
    </row>
    <row r="123" spans="1:26" x14ac:dyDescent="0.3">
      <c r="A123" s="4" t="str">
        <v>ORD0155</v>
      </c>
      <c r="B123" s="4" t="str">
        <v>Mouse</v>
      </c>
      <c r="C123" s="4" t="str">
        <v>Accessories</v>
      </c>
      <c r="D123" s="4" t="str">
        <v>East</v>
      </c>
      <c r="E123" s="4" t="str">
        <v>Dec-2025</v>
      </c>
      <c r="F123" s="4">
        <v>118360</v>
      </c>
      <c r="G123" s="4">
        <v>9</v>
      </c>
      <c r="H123" s="4">
        <v>86878.45</v>
      </c>
      <c r="J123" s="4" t="str">
        <v>ORD0342</v>
      </c>
      <c r="K123" s="4" t="str">
        <v>Phone</v>
      </c>
      <c r="L123" s="4" t="str">
        <v>Electronics</v>
      </c>
      <c r="M123" s="4" t="str">
        <v>South</v>
      </c>
      <c r="N123" s="4" t="str">
        <v>May-2025</v>
      </c>
      <c r="O123" s="4">
        <v>65679</v>
      </c>
      <c r="P123" s="4">
        <v>13</v>
      </c>
      <c r="Q123" s="4">
        <v>40953.35</v>
      </c>
      <c r="S123" s="4" t="str">
        <v>ORD0073</v>
      </c>
      <c r="T123" s="4" t="str">
        <v>Printer</v>
      </c>
      <c r="U123" s="4" t="str">
        <v>Peripherals</v>
      </c>
      <c r="V123" s="4" t="str">
        <v>North</v>
      </c>
      <c r="W123" s="4" t="str">
        <v>Apr-2025</v>
      </c>
      <c r="X123" s="4">
        <v>117579</v>
      </c>
      <c r="Y123" s="4">
        <v>11</v>
      </c>
      <c r="Z123" s="4">
        <v>86073.279999999999</v>
      </c>
    </row>
    <row r="124" spans="1:26" x14ac:dyDescent="0.3">
      <c r="A124" s="4" t="str">
        <v>ORD0156</v>
      </c>
      <c r="B124" s="4" t="str">
        <v>Monitor</v>
      </c>
      <c r="C124" s="4" t="str">
        <v>Peripherals</v>
      </c>
      <c r="D124" s="4" t="str">
        <v>West</v>
      </c>
      <c r="E124" s="4" t="str">
        <v>Aug-2025</v>
      </c>
      <c r="F124" s="4">
        <v>147320</v>
      </c>
      <c r="G124" s="4">
        <v>1</v>
      </c>
      <c r="H124" s="4">
        <v>89581.96</v>
      </c>
      <c r="J124" s="4" t="str">
        <v>ORD0344</v>
      </c>
      <c r="K124" s="4" t="str">
        <v>Laptop</v>
      </c>
      <c r="L124" s="4" t="str">
        <v>Electronics</v>
      </c>
      <c r="M124" s="4" t="str">
        <v>West</v>
      </c>
      <c r="N124" s="4" t="str">
        <v>Nov-2025</v>
      </c>
      <c r="O124" s="4">
        <v>101747</v>
      </c>
      <c r="P124" s="4">
        <v>3</v>
      </c>
      <c r="Q124" s="4">
        <v>64737.38</v>
      </c>
      <c r="S124" s="4" t="str">
        <v>ORD0488</v>
      </c>
      <c r="T124" s="4" t="str">
        <v>Tablet</v>
      </c>
      <c r="U124" s="4" t="str">
        <v>Electronics</v>
      </c>
      <c r="V124" s="4" t="str">
        <v>West</v>
      </c>
      <c r="W124" s="4" t="str">
        <v>Oct-2025</v>
      </c>
      <c r="X124" s="4">
        <v>117425</v>
      </c>
      <c r="Y124" s="4">
        <v>5</v>
      </c>
      <c r="Z124" s="4">
        <v>80955.8</v>
      </c>
    </row>
    <row r="125" spans="1:26" x14ac:dyDescent="0.3">
      <c r="A125" s="4" t="str">
        <v>ORD0157</v>
      </c>
      <c r="B125" s="4" t="str">
        <v>Monitor</v>
      </c>
      <c r="C125" s="4" t="str">
        <v>Peripherals</v>
      </c>
      <c r="D125" s="4" t="str">
        <v>North</v>
      </c>
      <c r="E125" s="4" t="str">
        <v>Apr-2025</v>
      </c>
      <c r="F125" s="4">
        <v>75341</v>
      </c>
      <c r="G125" s="4">
        <v>3</v>
      </c>
      <c r="H125" s="4">
        <v>54711.88</v>
      </c>
      <c r="J125" s="4" t="str">
        <v>ORD0345</v>
      </c>
      <c r="K125" s="4" t="str">
        <v>Tablet</v>
      </c>
      <c r="L125" s="4" t="str">
        <v>Electronics</v>
      </c>
      <c r="M125" s="4" t="str">
        <v>North</v>
      </c>
      <c r="N125" s="4" t="str">
        <v>Jun-2025</v>
      </c>
      <c r="O125" s="4">
        <v>80414</v>
      </c>
      <c r="P125" s="4">
        <v>8</v>
      </c>
      <c r="Q125" s="4">
        <v>52317.38</v>
      </c>
      <c r="S125" s="4" t="str">
        <v>ORD0419</v>
      </c>
      <c r="T125" s="4" t="str">
        <v>Tablet</v>
      </c>
      <c r="U125" s="4" t="str">
        <v>Electronics</v>
      </c>
      <c r="V125" s="4" t="str">
        <v>East</v>
      </c>
      <c r="W125" s="4" t="str">
        <v>Aug-2025</v>
      </c>
      <c r="X125" s="4">
        <v>117293</v>
      </c>
      <c r="Y125" s="4">
        <v>14</v>
      </c>
      <c r="Z125" s="4">
        <v>71645.179999999993</v>
      </c>
    </row>
    <row r="126" spans="1:26" x14ac:dyDescent="0.3">
      <c r="A126" s="4" t="str">
        <v>ORD0158</v>
      </c>
      <c r="B126" s="4" t="str">
        <v>Printer</v>
      </c>
      <c r="C126" s="4" t="str">
        <v>Peripherals</v>
      </c>
      <c r="D126" s="4" t="str">
        <v>South</v>
      </c>
      <c r="E126" s="4" t="str">
        <v>Apr-2025</v>
      </c>
      <c r="F126" s="4">
        <v>141828</v>
      </c>
      <c r="G126" s="4">
        <v>6</v>
      </c>
      <c r="H126" s="4">
        <v>99857.51</v>
      </c>
      <c r="J126" s="4" t="str">
        <v>ORD0347</v>
      </c>
      <c r="K126" s="4" t="str">
        <v>Laptop</v>
      </c>
      <c r="L126" s="4" t="str">
        <v>Electronics</v>
      </c>
      <c r="M126" s="4" t="str">
        <v>East</v>
      </c>
      <c r="N126" s="4" t="str">
        <v>Aug-2025</v>
      </c>
      <c r="O126" s="4">
        <v>120567</v>
      </c>
      <c r="P126" s="4">
        <v>15</v>
      </c>
      <c r="Q126" s="4">
        <v>88595.97</v>
      </c>
      <c r="S126" s="4" t="str">
        <v>ORD0413</v>
      </c>
      <c r="T126" s="4" t="str">
        <v>Keyboard</v>
      </c>
      <c r="U126" s="4" t="str">
        <v>Accessories</v>
      </c>
      <c r="V126" s="4" t="str">
        <v>North</v>
      </c>
      <c r="W126" s="4" t="str">
        <v>Feb-2025</v>
      </c>
      <c r="X126" s="4">
        <v>117047</v>
      </c>
      <c r="Y126" s="4">
        <v>6</v>
      </c>
      <c r="Z126" s="4">
        <v>86726.47</v>
      </c>
    </row>
    <row r="127" spans="1:26" x14ac:dyDescent="0.3">
      <c r="A127" s="4" t="str">
        <v>ORD0159</v>
      </c>
      <c r="B127" s="4" t="str">
        <v>Laptop</v>
      </c>
      <c r="C127" s="4" t="str">
        <v>Electronics</v>
      </c>
      <c r="D127" s="4" t="str">
        <v>East</v>
      </c>
      <c r="E127" s="4" t="str">
        <v>Jun-2025</v>
      </c>
      <c r="F127" s="4">
        <v>103446</v>
      </c>
      <c r="G127" s="4">
        <v>6</v>
      </c>
      <c r="H127" s="4">
        <v>63844.72</v>
      </c>
      <c r="J127" s="4" t="str">
        <v>ORD0351</v>
      </c>
      <c r="K127" s="4" t="str">
        <v>Laptop</v>
      </c>
      <c r="L127" s="4" t="str">
        <v>Electronics</v>
      </c>
      <c r="M127" s="4" t="str">
        <v>East</v>
      </c>
      <c r="N127" s="4" t="str">
        <v>Jul-2025</v>
      </c>
      <c r="O127" s="4">
        <v>75449</v>
      </c>
      <c r="P127" s="4">
        <v>10</v>
      </c>
      <c r="Q127" s="4">
        <v>50454.26</v>
      </c>
      <c r="S127" s="4" t="str">
        <v>ORD0086</v>
      </c>
      <c r="T127" s="4" t="str">
        <v>Headphones</v>
      </c>
      <c r="U127" s="4" t="str">
        <v>Accessories</v>
      </c>
      <c r="V127" s="4" t="str">
        <v>South</v>
      </c>
      <c r="W127" s="4" t="str">
        <v>Aug-2025</v>
      </c>
      <c r="X127" s="4">
        <v>117004</v>
      </c>
      <c r="Y127" s="4">
        <v>3</v>
      </c>
      <c r="Z127" s="4">
        <v>70769.38</v>
      </c>
    </row>
    <row r="128" spans="1:26" x14ac:dyDescent="0.3">
      <c r="A128" s="4" t="str">
        <v>ORD0160</v>
      </c>
      <c r="B128" s="4" t="str">
        <v>Printer</v>
      </c>
      <c r="C128" s="4" t="str">
        <v>Peripherals</v>
      </c>
      <c r="D128" s="4" t="str">
        <v>West</v>
      </c>
      <c r="E128" s="4" t="str">
        <v>Nov-2025</v>
      </c>
      <c r="F128" s="4">
        <v>51917</v>
      </c>
      <c r="G128" s="4">
        <v>10</v>
      </c>
      <c r="H128" s="4">
        <v>31738.76</v>
      </c>
      <c r="J128" s="4" t="str">
        <v>ORD0354</v>
      </c>
      <c r="K128" s="4" t="str">
        <v>Tablet</v>
      </c>
      <c r="L128" s="4" t="str">
        <v>Electronics</v>
      </c>
      <c r="M128" s="4" t="str">
        <v>South</v>
      </c>
      <c r="N128" s="4" t="str">
        <v>Jul-2025</v>
      </c>
      <c r="O128" s="4">
        <v>90037</v>
      </c>
      <c r="P128" s="4">
        <v>12</v>
      </c>
      <c r="Q128" s="4">
        <v>64683.35</v>
      </c>
      <c r="S128" s="4" t="str">
        <v>ORD0352</v>
      </c>
      <c r="T128" s="4" t="str">
        <v>Keyboard</v>
      </c>
      <c r="U128" s="4" t="str">
        <v>Accessories</v>
      </c>
      <c r="V128" s="4" t="str">
        <v>West</v>
      </c>
      <c r="W128" s="4" t="str">
        <v>Feb-2025</v>
      </c>
      <c r="X128" s="4">
        <v>116619</v>
      </c>
      <c r="Y128" s="4">
        <v>4</v>
      </c>
      <c r="Z128" s="4">
        <v>77150.509999999995</v>
      </c>
    </row>
    <row r="129" spans="1:26" x14ac:dyDescent="0.3">
      <c r="A129" s="4" t="str">
        <v>ORD0162</v>
      </c>
      <c r="B129" s="4" t="str">
        <v>Keyboard</v>
      </c>
      <c r="C129" s="4" t="str">
        <v>Accessories</v>
      </c>
      <c r="D129" s="4" t="str">
        <v>South</v>
      </c>
      <c r="E129" s="4" t="str">
        <v>Jan-2025</v>
      </c>
      <c r="F129" s="4">
        <v>61906</v>
      </c>
      <c r="G129" s="4">
        <v>14</v>
      </c>
      <c r="H129" s="4">
        <v>39447.67</v>
      </c>
      <c r="J129" s="4" t="str">
        <v>ORD0358</v>
      </c>
      <c r="K129" s="4" t="str">
        <v>Laptop</v>
      </c>
      <c r="L129" s="4" t="str">
        <v>Electronics</v>
      </c>
      <c r="M129" s="4" t="str">
        <v>South</v>
      </c>
      <c r="N129" s="4" t="str">
        <v>May-2025</v>
      </c>
      <c r="O129" s="4">
        <v>57318</v>
      </c>
      <c r="P129" s="4">
        <v>4</v>
      </c>
      <c r="Q129" s="4">
        <v>35074.65</v>
      </c>
      <c r="S129" s="4" t="str">
        <v>ORD0059</v>
      </c>
      <c r="T129" s="4" t="str">
        <v>Tablet</v>
      </c>
      <c r="U129" s="4" t="str">
        <v>Electronics</v>
      </c>
      <c r="V129" s="4" t="str">
        <v>East</v>
      </c>
      <c r="W129" s="4" t="str">
        <v>Oct-2025</v>
      </c>
      <c r="X129" s="4">
        <v>116610</v>
      </c>
      <c r="Y129" s="4">
        <v>6</v>
      </c>
      <c r="Z129" s="4">
        <v>70568.31</v>
      </c>
    </row>
    <row r="130" spans="1:26" x14ac:dyDescent="0.3">
      <c r="A130" s="4" t="str">
        <v>ORD0163</v>
      </c>
      <c r="B130" s="4" t="str">
        <v>Laptop</v>
      </c>
      <c r="C130" s="4" t="str">
        <v>Electronics</v>
      </c>
      <c r="D130" s="4" t="str">
        <v>East</v>
      </c>
      <c r="E130" s="4" t="str">
        <v>Jun-2025</v>
      </c>
      <c r="F130" s="4">
        <v>52062</v>
      </c>
      <c r="G130" s="4">
        <v>9</v>
      </c>
      <c r="H130" s="4">
        <v>34691.57</v>
      </c>
      <c r="J130" s="4" t="str">
        <v>ORD0360</v>
      </c>
      <c r="K130" s="4" t="str">
        <v>Laptop</v>
      </c>
      <c r="L130" s="4" t="str">
        <v>Electronics</v>
      </c>
      <c r="M130" s="4" t="str">
        <v>West</v>
      </c>
      <c r="N130" s="4" t="str">
        <v>Jul-2025</v>
      </c>
      <c r="O130" s="4">
        <v>18749</v>
      </c>
      <c r="P130" s="4">
        <v>11</v>
      </c>
      <c r="Q130" s="4">
        <v>12323.89</v>
      </c>
      <c r="S130" s="4" t="str">
        <v>ORD0404</v>
      </c>
      <c r="T130" s="4" t="str">
        <v>Tablet</v>
      </c>
      <c r="U130" s="4" t="str">
        <v>Electronics</v>
      </c>
      <c r="V130" s="4" t="str">
        <v>West</v>
      </c>
      <c r="W130" s="4" t="str">
        <v>Jan-2025</v>
      </c>
      <c r="X130" s="4">
        <v>116468</v>
      </c>
      <c r="Y130" s="4">
        <v>6</v>
      </c>
      <c r="Z130" s="4">
        <v>77251.67</v>
      </c>
    </row>
    <row r="131" spans="1:26" x14ac:dyDescent="0.3">
      <c r="A131" s="4" t="str">
        <v>ORD0165</v>
      </c>
      <c r="B131" s="4" t="str">
        <v>Printer</v>
      </c>
      <c r="C131" s="4" t="str">
        <v>Peripherals</v>
      </c>
      <c r="D131" s="4" t="str">
        <v>North</v>
      </c>
      <c r="E131" s="4" t="str">
        <v>May-2025</v>
      </c>
      <c r="F131" s="4">
        <v>123603</v>
      </c>
      <c r="G131" s="4">
        <v>2</v>
      </c>
      <c r="H131" s="4">
        <v>78260.460000000006</v>
      </c>
      <c r="J131" s="4" t="str">
        <v>ORD0361</v>
      </c>
      <c r="K131" s="4" t="str">
        <v>Phone</v>
      </c>
      <c r="L131" s="4" t="str">
        <v>Electronics</v>
      </c>
      <c r="M131" s="4" t="str">
        <v>North</v>
      </c>
      <c r="N131" s="4" t="str">
        <v>Jun-2025</v>
      </c>
      <c r="O131" s="4">
        <v>27217</v>
      </c>
      <c r="P131" s="4">
        <v>8</v>
      </c>
      <c r="Q131" s="4">
        <v>19828.77</v>
      </c>
      <c r="S131" s="4" t="str">
        <v>ORD0399</v>
      </c>
      <c r="T131" s="4" t="str">
        <v>Laptop</v>
      </c>
      <c r="U131" s="4" t="str">
        <v>Electronics</v>
      </c>
      <c r="V131" s="4" t="str">
        <v>East</v>
      </c>
      <c r="W131" s="4" t="str">
        <v>Feb-2025</v>
      </c>
      <c r="X131" s="4">
        <v>116354</v>
      </c>
      <c r="Y131" s="4">
        <v>11</v>
      </c>
      <c r="Z131" s="4">
        <v>71801.039999999994</v>
      </c>
    </row>
    <row r="132" spans="1:26" x14ac:dyDescent="0.3">
      <c r="A132" s="4" t="str">
        <v>ORD0166</v>
      </c>
      <c r="B132" s="4" t="str">
        <v>Headphones</v>
      </c>
      <c r="C132" s="4" t="str">
        <v>Accessories</v>
      </c>
      <c r="D132" s="4" t="str">
        <v>South</v>
      </c>
      <c r="E132" s="4" t="str">
        <v>Jun-2025</v>
      </c>
      <c r="F132" s="4">
        <v>102461</v>
      </c>
      <c r="G132" s="4">
        <v>4</v>
      </c>
      <c r="H132" s="4">
        <v>65560.649999999994</v>
      </c>
      <c r="J132" s="4" t="str">
        <v>ORD0363</v>
      </c>
      <c r="K132" s="4" t="str">
        <v>Phone</v>
      </c>
      <c r="L132" s="4" t="str">
        <v>Electronics</v>
      </c>
      <c r="M132" s="4" t="str">
        <v>East</v>
      </c>
      <c r="N132" s="4" t="str">
        <v>Jan-2025</v>
      </c>
      <c r="O132" s="4">
        <v>91542</v>
      </c>
      <c r="P132" s="4">
        <v>14</v>
      </c>
      <c r="Q132" s="4">
        <v>65106.73</v>
      </c>
      <c r="S132" s="4" t="str">
        <v>ORD0362</v>
      </c>
      <c r="T132" s="4" t="str">
        <v>Mouse</v>
      </c>
      <c r="U132" s="4" t="str">
        <v>Accessories</v>
      </c>
      <c r="V132" s="4" t="str">
        <v>South</v>
      </c>
      <c r="W132" s="4" t="str">
        <v>May-2025</v>
      </c>
      <c r="X132" s="4">
        <v>116243</v>
      </c>
      <c r="Y132" s="4">
        <v>11</v>
      </c>
      <c r="Z132" s="4">
        <v>73031.53</v>
      </c>
    </row>
    <row r="133" spans="1:26" x14ac:dyDescent="0.3">
      <c r="A133" s="4" t="str">
        <v>ORD0168</v>
      </c>
      <c r="B133" s="4" t="str">
        <v>Tablet</v>
      </c>
      <c r="C133" s="4" t="str">
        <v>Electronics</v>
      </c>
      <c r="D133" s="4" t="str">
        <v>West</v>
      </c>
      <c r="E133" s="4" t="str">
        <v>Mar-2025</v>
      </c>
      <c r="F133" s="4">
        <v>140509</v>
      </c>
      <c r="G133" s="4">
        <v>4</v>
      </c>
      <c r="H133" s="4">
        <v>85484.37</v>
      </c>
      <c r="J133" s="4" t="str">
        <v>ORD0368</v>
      </c>
      <c r="K133" s="4" t="str">
        <v>Phone</v>
      </c>
      <c r="L133" s="4" t="str">
        <v>Electronics</v>
      </c>
      <c r="M133" s="4" t="str">
        <v>West</v>
      </c>
      <c r="N133" s="4" t="str">
        <v>Jul-2025</v>
      </c>
      <c r="O133" s="4">
        <v>134499</v>
      </c>
      <c r="P133" s="4">
        <v>10</v>
      </c>
      <c r="Q133" s="4">
        <v>89399.55</v>
      </c>
      <c r="S133" s="4" t="str">
        <v>ORD0273</v>
      </c>
      <c r="T133" s="4" t="str">
        <v>Phone</v>
      </c>
      <c r="U133" s="4" t="str">
        <v>Electronics</v>
      </c>
      <c r="V133" s="4" t="str">
        <v>North</v>
      </c>
      <c r="W133" s="4" t="str">
        <v>May-2025</v>
      </c>
      <c r="X133" s="4">
        <v>116122</v>
      </c>
      <c r="Y133" s="4">
        <v>10</v>
      </c>
      <c r="Z133" s="4">
        <v>76936.47</v>
      </c>
    </row>
    <row r="134" spans="1:26" x14ac:dyDescent="0.3">
      <c r="A134" s="4" t="str">
        <v>ORD0170</v>
      </c>
      <c r="B134" s="4" t="str">
        <v>Monitor</v>
      </c>
      <c r="C134" s="4" t="str">
        <v>Peripherals</v>
      </c>
      <c r="D134" s="4" t="str">
        <v>South</v>
      </c>
      <c r="E134" s="4" t="str">
        <v>Apr-2025</v>
      </c>
      <c r="F134" s="4">
        <v>71149</v>
      </c>
      <c r="G134" s="4">
        <v>8</v>
      </c>
      <c r="H134" s="4">
        <v>44541.73</v>
      </c>
      <c r="J134" s="4" t="str">
        <v>ORD0370</v>
      </c>
      <c r="K134" s="4" t="str">
        <v>Tablet</v>
      </c>
      <c r="L134" s="4" t="str">
        <v>Electronics</v>
      </c>
      <c r="M134" s="4" t="str">
        <v>South</v>
      </c>
      <c r="N134" s="4" t="str">
        <v>May-2025</v>
      </c>
      <c r="O134" s="4">
        <v>46403</v>
      </c>
      <c r="P134" s="4">
        <v>14</v>
      </c>
      <c r="Q134" s="4">
        <v>30149.72</v>
      </c>
      <c r="S134" s="4" t="str">
        <v>ORD0014</v>
      </c>
      <c r="T134" s="4" t="str">
        <v>Monitor</v>
      </c>
      <c r="U134" s="4" t="str">
        <v>Peripherals</v>
      </c>
      <c r="V134" s="4" t="str">
        <v>South</v>
      </c>
      <c r="W134" s="4" t="str">
        <v>Oct-2025</v>
      </c>
      <c r="X134" s="4">
        <v>115997</v>
      </c>
      <c r="Y134" s="4">
        <v>10</v>
      </c>
      <c r="Z134" s="4">
        <v>79845.97</v>
      </c>
    </row>
    <row r="135" spans="1:26" x14ac:dyDescent="0.3">
      <c r="A135" s="4" t="str">
        <v>ORD0171</v>
      </c>
      <c r="B135" s="4" t="str">
        <v>Mouse</v>
      </c>
      <c r="C135" s="4" t="str">
        <v>Accessories</v>
      </c>
      <c r="D135" s="4" t="str">
        <v>East</v>
      </c>
      <c r="E135" s="4" t="str">
        <v>Jul-2025</v>
      </c>
      <c r="F135" s="4">
        <v>141485</v>
      </c>
      <c r="G135" s="4">
        <v>5</v>
      </c>
      <c r="H135" s="4">
        <v>98284.44</v>
      </c>
      <c r="J135" s="4" t="str">
        <v>ORD0372</v>
      </c>
      <c r="K135" s="4" t="str">
        <v>Tablet</v>
      </c>
      <c r="L135" s="4" t="str">
        <v>Electronics</v>
      </c>
      <c r="M135" s="4" t="str">
        <v>West</v>
      </c>
      <c r="N135" s="4" t="str">
        <v>Aug-2025</v>
      </c>
      <c r="O135" s="4">
        <v>125484</v>
      </c>
      <c r="P135" s="4">
        <v>6</v>
      </c>
      <c r="Q135" s="4">
        <v>84195.05</v>
      </c>
      <c r="S135" s="4" t="str">
        <v>ORD0177</v>
      </c>
      <c r="T135" s="4" t="str">
        <v>Headphones</v>
      </c>
      <c r="U135" s="4" t="str">
        <v>Accessories</v>
      </c>
      <c r="V135" s="4" t="str">
        <v>North</v>
      </c>
      <c r="W135" s="4" t="str">
        <v>Dec-2025</v>
      </c>
      <c r="X135" s="4">
        <v>115088</v>
      </c>
      <c r="Y135" s="4">
        <v>14</v>
      </c>
      <c r="Z135" s="4">
        <v>72953.14</v>
      </c>
    </row>
    <row r="136" spans="1:26" x14ac:dyDescent="0.3">
      <c r="A136" s="4" t="str">
        <v>ORD0172</v>
      </c>
      <c r="B136" s="4" t="str">
        <v>Keyboard</v>
      </c>
      <c r="C136" s="4" t="str">
        <v>Accessories</v>
      </c>
      <c r="D136" s="4" t="str">
        <v>West</v>
      </c>
      <c r="E136" s="4" t="str">
        <v>Jul-2025</v>
      </c>
      <c r="F136" s="4">
        <v>131710</v>
      </c>
      <c r="G136" s="4">
        <v>10</v>
      </c>
      <c r="H136" s="4">
        <v>95339.55</v>
      </c>
      <c r="J136" s="4" t="str">
        <v>ORD0375</v>
      </c>
      <c r="K136" s="4" t="str">
        <v>Tablet</v>
      </c>
      <c r="L136" s="4" t="str">
        <v>Electronics</v>
      </c>
      <c r="M136" s="4" t="str">
        <v>East</v>
      </c>
      <c r="N136" s="4" t="str">
        <v>Jan-2025</v>
      </c>
      <c r="O136" s="4">
        <v>68004</v>
      </c>
      <c r="P136" s="4">
        <v>4</v>
      </c>
      <c r="Q136" s="4">
        <v>46341.05</v>
      </c>
      <c r="S136" s="4" t="str">
        <v>ORD0387</v>
      </c>
      <c r="T136" s="4" t="str">
        <v>Keyboard</v>
      </c>
      <c r="U136" s="4" t="str">
        <v>Accessories</v>
      </c>
      <c r="V136" s="4" t="str">
        <v>East</v>
      </c>
      <c r="W136" s="4" t="str">
        <v>Nov-2025</v>
      </c>
      <c r="X136" s="4">
        <v>115016</v>
      </c>
      <c r="Y136" s="4">
        <v>10</v>
      </c>
      <c r="Z136" s="4">
        <v>75471.509999999995</v>
      </c>
    </row>
    <row r="137" spans="1:26" x14ac:dyDescent="0.3">
      <c r="A137" s="4" t="str">
        <v>ORD0174</v>
      </c>
      <c r="B137" s="4" t="str">
        <v>Tablet</v>
      </c>
      <c r="C137" s="4" t="str">
        <v>Electronics</v>
      </c>
      <c r="D137" s="4" t="str">
        <v>South</v>
      </c>
      <c r="E137" s="4" t="str">
        <v>May-2025</v>
      </c>
      <c r="F137" s="4">
        <v>106387</v>
      </c>
      <c r="G137" s="4">
        <v>9</v>
      </c>
      <c r="H137" s="4">
        <v>73497.78</v>
      </c>
      <c r="J137" s="4" t="str">
        <v>ORD0376</v>
      </c>
      <c r="K137" s="4" t="str">
        <v>Phone</v>
      </c>
      <c r="L137" s="4" t="str">
        <v>Electronics</v>
      </c>
      <c r="M137" s="4" t="str">
        <v>West</v>
      </c>
      <c r="N137" s="4" t="str">
        <v>Mar-2025</v>
      </c>
      <c r="O137" s="4">
        <v>101085</v>
      </c>
      <c r="P137" s="4">
        <v>9</v>
      </c>
      <c r="Q137" s="4">
        <v>67488.37</v>
      </c>
      <c r="S137" s="4" t="str">
        <v>ORD0204</v>
      </c>
      <c r="T137" s="4" t="str">
        <v>Phone</v>
      </c>
      <c r="U137" s="4" t="str">
        <v>Electronics</v>
      </c>
      <c r="V137" s="4" t="str">
        <v>West</v>
      </c>
      <c r="W137" s="4" t="str">
        <v>Nov-2025</v>
      </c>
      <c r="X137" s="4">
        <v>113884</v>
      </c>
      <c r="Y137" s="4">
        <v>9</v>
      </c>
      <c r="Z137" s="4">
        <v>78567.320000000007</v>
      </c>
    </row>
    <row r="138" spans="1:26" x14ac:dyDescent="0.3">
      <c r="A138" s="4" t="str">
        <v>ORD0175</v>
      </c>
      <c r="B138" s="4" t="str">
        <v>Laptop</v>
      </c>
      <c r="C138" s="4" t="str">
        <v>Electronics</v>
      </c>
      <c r="D138" s="4" t="str">
        <v>East</v>
      </c>
      <c r="E138" s="4" t="str">
        <v>Feb-2025</v>
      </c>
      <c r="F138" s="4">
        <v>121562</v>
      </c>
      <c r="G138" s="4">
        <v>11</v>
      </c>
      <c r="H138" s="4">
        <v>73378.350000000006</v>
      </c>
      <c r="J138" s="4" t="str">
        <v>ORD0382</v>
      </c>
      <c r="K138" s="4" t="str">
        <v>Tablet</v>
      </c>
      <c r="L138" s="4" t="str">
        <v>Electronics</v>
      </c>
      <c r="M138" s="4" t="str">
        <v>South</v>
      </c>
      <c r="N138" s="4" t="str">
        <v>May-2025</v>
      </c>
      <c r="O138" s="4">
        <v>112897</v>
      </c>
      <c r="P138" s="4">
        <v>13</v>
      </c>
      <c r="Q138" s="4">
        <v>77102.53</v>
      </c>
      <c r="S138" s="4" t="str">
        <v>ORD0217</v>
      </c>
      <c r="T138" s="4" t="str">
        <v>Monitor</v>
      </c>
      <c r="U138" s="4" t="str">
        <v>Peripherals</v>
      </c>
      <c r="V138" s="4" t="str">
        <v>North</v>
      </c>
      <c r="W138" s="4" t="str">
        <v>Feb-2025</v>
      </c>
      <c r="X138" s="4">
        <v>113710</v>
      </c>
      <c r="Y138" s="4">
        <v>15</v>
      </c>
      <c r="Z138" s="4">
        <v>83087.899999999994</v>
      </c>
    </row>
    <row r="139" spans="1:26" x14ac:dyDescent="0.3">
      <c r="A139" s="4" t="str">
        <v>ORD0177</v>
      </c>
      <c r="B139" s="4" t="str">
        <v>Headphones</v>
      </c>
      <c r="C139" s="4" t="str">
        <v>Accessories</v>
      </c>
      <c r="D139" s="4" t="str">
        <v>North</v>
      </c>
      <c r="E139" s="4" t="str">
        <v>Dec-2025</v>
      </c>
      <c r="F139" s="4">
        <v>115088</v>
      </c>
      <c r="G139" s="4">
        <v>14</v>
      </c>
      <c r="H139" s="4">
        <v>72953.14</v>
      </c>
      <c r="J139" s="4" t="str">
        <v>ORD0384</v>
      </c>
      <c r="K139" s="4" t="str">
        <v>Tablet</v>
      </c>
      <c r="L139" s="4" t="str">
        <v>Electronics</v>
      </c>
      <c r="M139" s="4" t="str">
        <v>West</v>
      </c>
      <c r="N139" s="4" t="str">
        <v>Mar-2025</v>
      </c>
      <c r="O139" s="4">
        <v>14553</v>
      </c>
      <c r="P139" s="4">
        <v>5</v>
      </c>
      <c r="Q139" s="4">
        <v>10247.11</v>
      </c>
      <c r="S139" s="4" t="str">
        <v>ORD0319</v>
      </c>
      <c r="T139" s="4" t="str">
        <v>Keyboard</v>
      </c>
      <c r="U139" s="4" t="str">
        <v>Accessories</v>
      </c>
      <c r="V139" s="4" t="str">
        <v>East</v>
      </c>
      <c r="W139" s="4" t="str">
        <v>Jan-2025</v>
      </c>
      <c r="X139" s="4">
        <v>113041</v>
      </c>
      <c r="Y139" s="4">
        <v>9</v>
      </c>
      <c r="Z139" s="4">
        <v>70585.86</v>
      </c>
    </row>
    <row r="140" spans="1:26" x14ac:dyDescent="0.3">
      <c r="A140" s="4" t="str">
        <v>ORD0178</v>
      </c>
      <c r="B140" s="4" t="str">
        <v>Phone</v>
      </c>
      <c r="C140" s="4" t="str">
        <v>Electronics</v>
      </c>
      <c r="D140" s="4" t="str">
        <v>South</v>
      </c>
      <c r="E140" s="4" t="str">
        <v>Oct-2025</v>
      </c>
      <c r="F140" s="4">
        <v>56685</v>
      </c>
      <c r="G140" s="4">
        <v>2</v>
      </c>
      <c r="H140" s="4">
        <v>37750.74</v>
      </c>
      <c r="J140" s="4" t="str">
        <v>ORD0388</v>
      </c>
      <c r="K140" s="4" t="str">
        <v>Phone</v>
      </c>
      <c r="L140" s="4" t="str">
        <v>Electronics</v>
      </c>
      <c r="M140" s="4" t="str">
        <v>West</v>
      </c>
      <c r="N140" s="4" t="str">
        <v>Jan-2025</v>
      </c>
      <c r="O140" s="4">
        <v>86375</v>
      </c>
      <c r="P140" s="4">
        <v>5</v>
      </c>
      <c r="Q140" s="4">
        <v>64682.29</v>
      </c>
      <c r="S140" s="4" t="str">
        <v>ORD0382</v>
      </c>
      <c r="T140" s="4" t="str">
        <v>Tablet</v>
      </c>
      <c r="U140" s="4" t="str">
        <v>Electronics</v>
      </c>
      <c r="V140" s="4" t="str">
        <v>South</v>
      </c>
      <c r="W140" s="4" t="str">
        <v>May-2025</v>
      </c>
      <c r="X140" s="4">
        <v>112897</v>
      </c>
      <c r="Y140" s="4">
        <v>13</v>
      </c>
      <c r="Z140" s="4">
        <v>77102.53</v>
      </c>
    </row>
    <row r="141" spans="1:26" x14ac:dyDescent="0.3">
      <c r="A141" s="4" t="str">
        <v>ORD0179</v>
      </c>
      <c r="B141" s="4" t="str">
        <v>Headphones</v>
      </c>
      <c r="C141" s="4" t="str">
        <v>Accessories</v>
      </c>
      <c r="D141" s="4" t="str">
        <v>East</v>
      </c>
      <c r="E141" s="4" t="str">
        <v>Aug-2025</v>
      </c>
      <c r="F141" s="4">
        <v>103755</v>
      </c>
      <c r="G141" s="4">
        <v>7</v>
      </c>
      <c r="H141" s="4">
        <v>66980.94</v>
      </c>
      <c r="J141" s="4" t="str">
        <v>ORD0389</v>
      </c>
      <c r="K141" s="4" t="str">
        <v>Phone</v>
      </c>
      <c r="L141" s="4" t="str">
        <v>Electronics</v>
      </c>
      <c r="M141" s="4" t="str">
        <v>North</v>
      </c>
      <c r="N141" s="4" t="str">
        <v>Mar-2025</v>
      </c>
      <c r="O141" s="4">
        <v>145974</v>
      </c>
      <c r="P141" s="4">
        <v>15</v>
      </c>
      <c r="Q141" s="4">
        <v>108751.06</v>
      </c>
      <c r="S141" s="4" t="str">
        <v>ORD0468</v>
      </c>
      <c r="T141" s="4" t="str">
        <v>Phone</v>
      </c>
      <c r="U141" s="4" t="str">
        <v>Electronics</v>
      </c>
      <c r="V141" s="4" t="str">
        <v>West</v>
      </c>
      <c r="W141" s="4" t="str">
        <v>Nov-2025</v>
      </c>
      <c r="X141" s="4">
        <v>112276</v>
      </c>
      <c r="Y141" s="4">
        <v>14</v>
      </c>
      <c r="Z141" s="4">
        <v>77225.289999999994</v>
      </c>
    </row>
    <row r="142" spans="1:26" x14ac:dyDescent="0.3">
      <c r="A142" s="4" t="str">
        <v>ORD0180</v>
      </c>
      <c r="B142" s="4" t="str">
        <v>Mouse</v>
      </c>
      <c r="C142" s="4" t="str">
        <v>Accessories</v>
      </c>
      <c r="D142" s="4" t="str">
        <v>West</v>
      </c>
      <c r="E142" s="4" t="str">
        <v>May-2025</v>
      </c>
      <c r="F142" s="4">
        <v>144203</v>
      </c>
      <c r="G142" s="4">
        <v>4</v>
      </c>
      <c r="H142" s="4">
        <v>95087.79</v>
      </c>
      <c r="J142" s="4" t="str">
        <v>ORD0390</v>
      </c>
      <c r="K142" s="4" t="str">
        <v>Laptop</v>
      </c>
      <c r="L142" s="4" t="str">
        <v>Electronics</v>
      </c>
      <c r="M142" s="4" t="str">
        <v>South</v>
      </c>
      <c r="N142" s="4" t="str">
        <v>Jun-2025</v>
      </c>
      <c r="O142" s="4">
        <v>134999</v>
      </c>
      <c r="P142" s="4">
        <v>1</v>
      </c>
      <c r="Q142" s="4">
        <v>101077.19</v>
      </c>
      <c r="S142" s="4" t="str">
        <v>ORD0338</v>
      </c>
      <c r="T142" s="4" t="str">
        <v>Printer</v>
      </c>
      <c r="U142" s="4" t="str">
        <v>Peripherals</v>
      </c>
      <c r="V142" s="4" t="str">
        <v>South</v>
      </c>
      <c r="W142" s="4" t="str">
        <v>Nov-2025</v>
      </c>
      <c r="X142" s="4">
        <v>111765</v>
      </c>
      <c r="Y142" s="4">
        <v>15</v>
      </c>
      <c r="Z142" s="4">
        <v>78251.429999999993</v>
      </c>
    </row>
    <row r="143" spans="1:26" x14ac:dyDescent="0.3">
      <c r="A143" s="4" t="str">
        <v>ORD0181</v>
      </c>
      <c r="B143" s="4" t="str">
        <v>Headphones</v>
      </c>
      <c r="C143" s="4" t="str">
        <v>Accessories</v>
      </c>
      <c r="D143" s="4" t="str">
        <v>North</v>
      </c>
      <c r="E143" s="4" t="str">
        <v>Feb-2025</v>
      </c>
      <c r="F143" s="4">
        <v>61369</v>
      </c>
      <c r="G143" s="4">
        <v>4</v>
      </c>
      <c r="H143" s="4">
        <v>41219.24</v>
      </c>
      <c r="J143" s="4" t="str">
        <v>ORD0394</v>
      </c>
      <c r="K143" s="4" t="str">
        <v>Laptop</v>
      </c>
      <c r="L143" s="4" t="str">
        <v>Electronics</v>
      </c>
      <c r="M143" s="4" t="str">
        <v>South</v>
      </c>
      <c r="N143" s="4" t="str">
        <v>Apr-2025</v>
      </c>
      <c r="O143" s="4">
        <v>144909</v>
      </c>
      <c r="P143" s="4">
        <v>4</v>
      </c>
      <c r="Q143" s="4">
        <v>100697.2</v>
      </c>
      <c r="S143" s="4" t="str">
        <v>ORD0261</v>
      </c>
      <c r="T143" s="4" t="str">
        <v>Mouse</v>
      </c>
      <c r="U143" s="4" t="str">
        <v>Accessories</v>
      </c>
      <c r="V143" s="4" t="str">
        <v>North</v>
      </c>
      <c r="W143" s="4" t="str">
        <v>Oct-2025</v>
      </c>
      <c r="X143" s="4">
        <v>111328</v>
      </c>
      <c r="Y143" s="4">
        <v>15</v>
      </c>
      <c r="Z143" s="4">
        <v>69519.3</v>
      </c>
    </row>
    <row r="144" spans="1:26" x14ac:dyDescent="0.3">
      <c r="A144" s="4" t="str">
        <v>ORD0182</v>
      </c>
      <c r="B144" s="4" t="str">
        <v>Mouse</v>
      </c>
      <c r="C144" s="4" t="str">
        <v>Accessories</v>
      </c>
      <c r="D144" s="4" t="str">
        <v>South</v>
      </c>
      <c r="E144" s="4" t="str">
        <v>Jan-2025</v>
      </c>
      <c r="F144" s="4">
        <v>61615</v>
      </c>
      <c r="G144" s="4">
        <v>15</v>
      </c>
      <c r="H144" s="4">
        <v>42016.76</v>
      </c>
      <c r="J144" s="4" t="str">
        <v>ORD0397</v>
      </c>
      <c r="K144" s="4" t="str">
        <v>Tablet</v>
      </c>
      <c r="L144" s="4" t="str">
        <v>Electronics</v>
      </c>
      <c r="M144" s="4" t="str">
        <v>North</v>
      </c>
      <c r="N144" s="4" t="str">
        <v>Apr-2025</v>
      </c>
      <c r="O144" s="4">
        <v>12565</v>
      </c>
      <c r="P144" s="4">
        <v>13</v>
      </c>
      <c r="Q144" s="4">
        <v>8901.2800000000007</v>
      </c>
      <c r="S144" s="4" t="str">
        <v>ORD0230</v>
      </c>
      <c r="T144" s="4" t="str">
        <v>Keyboard</v>
      </c>
      <c r="U144" s="4" t="str">
        <v>Accessories</v>
      </c>
      <c r="V144" s="4" t="str">
        <v>South</v>
      </c>
      <c r="W144" s="4" t="str">
        <v>Nov-2025</v>
      </c>
      <c r="X144" s="4">
        <v>111277</v>
      </c>
      <c r="Y144" s="4">
        <v>12</v>
      </c>
      <c r="Z144" s="4">
        <v>75128.47</v>
      </c>
    </row>
    <row r="145" spans="1:26" x14ac:dyDescent="0.3">
      <c r="A145" s="4" t="str">
        <v>ORD0185</v>
      </c>
      <c r="B145" s="4" t="str">
        <v>Mouse</v>
      </c>
      <c r="C145" s="4" t="str">
        <v>Accessories</v>
      </c>
      <c r="D145" s="4" t="str">
        <v>North</v>
      </c>
      <c r="E145" s="4" t="str">
        <v>Aug-2025</v>
      </c>
      <c r="F145" s="4">
        <v>72709</v>
      </c>
      <c r="G145" s="4">
        <v>11</v>
      </c>
      <c r="H145" s="4">
        <v>47127.07</v>
      </c>
      <c r="J145" s="4" t="str">
        <v>ORD0399</v>
      </c>
      <c r="K145" s="4" t="str">
        <v>Laptop</v>
      </c>
      <c r="L145" s="4" t="str">
        <v>Electronics</v>
      </c>
      <c r="M145" s="4" t="str">
        <v>East</v>
      </c>
      <c r="N145" s="4" t="str">
        <v>Feb-2025</v>
      </c>
      <c r="O145" s="4">
        <v>116354</v>
      </c>
      <c r="P145" s="4">
        <v>11</v>
      </c>
      <c r="Q145" s="4">
        <v>71801.039999999994</v>
      </c>
      <c r="S145" s="4" t="str">
        <v>ORD0450</v>
      </c>
      <c r="T145" s="4" t="str">
        <v>Printer</v>
      </c>
      <c r="U145" s="4" t="str">
        <v>Peripherals</v>
      </c>
      <c r="V145" s="4" t="str">
        <v>South</v>
      </c>
      <c r="W145" s="4" t="str">
        <v>May-2025</v>
      </c>
      <c r="X145" s="4">
        <v>110852</v>
      </c>
      <c r="Y145" s="4">
        <v>15</v>
      </c>
      <c r="Z145" s="4">
        <v>77709.929999999993</v>
      </c>
    </row>
    <row r="146" spans="1:26" x14ac:dyDescent="0.3">
      <c r="A146" s="4" t="str">
        <v>ORD0186</v>
      </c>
      <c r="B146" s="4" t="str">
        <v>Monitor</v>
      </c>
      <c r="C146" s="4" t="str">
        <v>Peripherals</v>
      </c>
      <c r="D146" s="4" t="str">
        <v>South</v>
      </c>
      <c r="E146" s="4" t="str">
        <v>Oct-2025</v>
      </c>
      <c r="F146" s="4">
        <v>148562</v>
      </c>
      <c r="G146" s="4">
        <v>12</v>
      </c>
      <c r="H146" s="4">
        <v>95695.2</v>
      </c>
      <c r="J146" s="4" t="str">
        <v>ORD0401</v>
      </c>
      <c r="K146" s="4" t="str">
        <v>Tablet</v>
      </c>
      <c r="L146" s="4" t="str">
        <v>Electronics</v>
      </c>
      <c r="M146" s="4" t="str">
        <v>North</v>
      </c>
      <c r="N146" s="4" t="str">
        <v>Jul-2025</v>
      </c>
      <c r="O146" s="4">
        <v>42506</v>
      </c>
      <c r="P146" s="4">
        <v>9</v>
      </c>
      <c r="Q146" s="4">
        <v>30457.86</v>
      </c>
      <c r="S146" s="4" t="str">
        <v>ORD0076</v>
      </c>
      <c r="T146" s="4" t="str">
        <v>Monitor</v>
      </c>
      <c r="U146" s="4" t="str">
        <v>Peripherals</v>
      </c>
      <c r="V146" s="4" t="str">
        <v>West</v>
      </c>
      <c r="W146" s="4" t="str">
        <v>Apr-2025</v>
      </c>
      <c r="X146" s="4">
        <v>110702</v>
      </c>
      <c r="Y146" s="4">
        <v>10</v>
      </c>
      <c r="Z146" s="4">
        <v>66892.55</v>
      </c>
    </row>
    <row r="147" spans="1:26" x14ac:dyDescent="0.3">
      <c r="A147" s="4" t="str">
        <v>ORD0188</v>
      </c>
      <c r="B147" s="4" t="str">
        <v>Monitor</v>
      </c>
      <c r="C147" s="4" t="str">
        <v>Peripherals</v>
      </c>
      <c r="D147" s="4" t="str">
        <v>West</v>
      </c>
      <c r="E147" s="4" t="str">
        <v>Jul-2025</v>
      </c>
      <c r="F147" s="4">
        <v>94145</v>
      </c>
      <c r="G147" s="4">
        <v>3</v>
      </c>
      <c r="H147" s="4">
        <v>66561.72</v>
      </c>
      <c r="J147" s="4" t="str">
        <v>ORD0402</v>
      </c>
      <c r="K147" s="4" t="str">
        <v>Phone</v>
      </c>
      <c r="L147" s="4" t="str">
        <v>Electronics</v>
      </c>
      <c r="M147" s="4" t="str">
        <v>South</v>
      </c>
      <c r="N147" s="4" t="str">
        <v>Feb-2025</v>
      </c>
      <c r="O147" s="4">
        <v>55900</v>
      </c>
      <c r="P147" s="4">
        <v>11</v>
      </c>
      <c r="Q147" s="4">
        <v>36071.879999999997</v>
      </c>
      <c r="S147" s="4" t="str">
        <v>ORD0285</v>
      </c>
      <c r="T147" s="4" t="str">
        <v>Mouse</v>
      </c>
      <c r="U147" s="4" t="str">
        <v>Accessories</v>
      </c>
      <c r="V147" s="4" t="str">
        <v>North</v>
      </c>
      <c r="W147" s="4" t="str">
        <v>Mar-2025</v>
      </c>
      <c r="X147" s="4">
        <v>110566</v>
      </c>
      <c r="Y147" s="4">
        <v>3</v>
      </c>
      <c r="Z147" s="4">
        <v>72736.850000000006</v>
      </c>
    </row>
    <row r="148" spans="1:26" x14ac:dyDescent="0.3">
      <c r="A148" s="4" t="str">
        <v>ORD0189</v>
      </c>
      <c r="B148" s="4" t="str">
        <v>Headphones</v>
      </c>
      <c r="C148" s="4" t="str">
        <v>Accessories</v>
      </c>
      <c r="D148" s="4" t="str">
        <v>North</v>
      </c>
      <c r="E148" s="4" t="str">
        <v>Jul-2025</v>
      </c>
      <c r="F148" s="4">
        <v>145000</v>
      </c>
      <c r="G148" s="4">
        <v>12</v>
      </c>
      <c r="H148" s="4">
        <v>102713.49</v>
      </c>
      <c r="J148" s="4" t="str">
        <v>ORD0404</v>
      </c>
      <c r="K148" s="4" t="str">
        <v>Tablet</v>
      </c>
      <c r="L148" s="4" t="str">
        <v>Electronics</v>
      </c>
      <c r="M148" s="4" t="str">
        <v>West</v>
      </c>
      <c r="N148" s="4" t="str">
        <v>Jan-2025</v>
      </c>
      <c r="O148" s="4">
        <v>116468</v>
      </c>
      <c r="P148" s="4">
        <v>6</v>
      </c>
      <c r="Q148" s="4">
        <v>77251.67</v>
      </c>
      <c r="S148" s="4" t="str">
        <v>ORD0499</v>
      </c>
      <c r="T148" s="4" t="str">
        <v>Headphones</v>
      </c>
      <c r="U148" s="4" t="str">
        <v>Accessories</v>
      </c>
      <c r="V148" s="4" t="str">
        <v>East</v>
      </c>
      <c r="W148" s="4" t="str">
        <v>Nov-2025</v>
      </c>
      <c r="X148" s="4">
        <v>110325</v>
      </c>
      <c r="Y148" s="4">
        <v>8</v>
      </c>
      <c r="Z148" s="4">
        <v>79615.73</v>
      </c>
    </row>
    <row r="149" spans="1:26" x14ac:dyDescent="0.3">
      <c r="A149" s="4" t="str">
        <v>ORD0191</v>
      </c>
      <c r="B149" s="4" t="str">
        <v>Tablet</v>
      </c>
      <c r="C149" s="4" t="str">
        <v>Electronics</v>
      </c>
      <c r="D149" s="4" t="str">
        <v>East</v>
      </c>
      <c r="E149" s="4" t="str">
        <v>Apr-2025</v>
      </c>
      <c r="F149" s="4">
        <v>84547</v>
      </c>
      <c r="G149" s="4">
        <v>3</v>
      </c>
      <c r="H149" s="4">
        <v>60256.04</v>
      </c>
      <c r="J149" s="4" t="str">
        <v>ORD0405</v>
      </c>
      <c r="K149" s="4" t="str">
        <v>Laptop</v>
      </c>
      <c r="L149" s="4" t="str">
        <v>Electronics</v>
      </c>
      <c r="M149" s="4" t="str">
        <v>North</v>
      </c>
      <c r="N149" s="4" t="str">
        <v>Oct-2025</v>
      </c>
      <c r="O149" s="4">
        <v>53864</v>
      </c>
      <c r="P149" s="4">
        <v>12</v>
      </c>
      <c r="Q149" s="4">
        <v>40309.61</v>
      </c>
      <c r="S149" s="4" t="str">
        <v>ORD0482</v>
      </c>
      <c r="T149" s="4" t="str">
        <v>Tablet</v>
      </c>
      <c r="U149" s="4" t="str">
        <v>Electronics</v>
      </c>
      <c r="V149" s="4" t="str">
        <v>South</v>
      </c>
      <c r="W149" s="4" t="str">
        <v>Sep-2025</v>
      </c>
      <c r="X149" s="4">
        <v>109840</v>
      </c>
      <c r="Y149" s="4">
        <v>12</v>
      </c>
      <c r="Z149" s="4">
        <v>79745.149999999994</v>
      </c>
    </row>
    <row r="150" spans="1:26" x14ac:dyDescent="0.3">
      <c r="A150" s="4" t="str">
        <v>ORD0192</v>
      </c>
      <c r="B150" s="4" t="str">
        <v>Printer</v>
      </c>
      <c r="C150" s="4" t="str">
        <v>Peripherals</v>
      </c>
      <c r="D150" s="4" t="str">
        <v>West</v>
      </c>
      <c r="E150" s="4" t="str">
        <v>Sep-2025</v>
      </c>
      <c r="F150" s="4">
        <v>85553</v>
      </c>
      <c r="G150" s="4">
        <v>12</v>
      </c>
      <c r="H150" s="4">
        <v>61940.83</v>
      </c>
      <c r="J150" s="4" t="str">
        <v>ORD0408</v>
      </c>
      <c r="K150" s="4" t="str">
        <v>Phone</v>
      </c>
      <c r="L150" s="4" t="str">
        <v>Electronics</v>
      </c>
      <c r="M150" s="4" t="str">
        <v>West</v>
      </c>
      <c r="N150" s="4" t="str">
        <v>Mar-2025</v>
      </c>
      <c r="O150" s="4">
        <v>130948</v>
      </c>
      <c r="P150" s="4">
        <v>1</v>
      </c>
      <c r="Q150" s="4">
        <v>96100.62</v>
      </c>
      <c r="S150" s="4" t="str">
        <v>ORD0035</v>
      </c>
      <c r="T150" s="4" t="str">
        <v>Printer</v>
      </c>
      <c r="U150" s="4" t="str">
        <v>Peripherals</v>
      </c>
      <c r="V150" s="4" t="str">
        <v>East</v>
      </c>
      <c r="W150" s="4" t="str">
        <v>Jun-2025</v>
      </c>
      <c r="X150" s="4">
        <v>109674</v>
      </c>
      <c r="Y150" s="4">
        <v>5</v>
      </c>
      <c r="Z150" s="4">
        <v>73003.839999999997</v>
      </c>
    </row>
    <row r="151" spans="1:26" x14ac:dyDescent="0.3">
      <c r="A151" s="4" t="str">
        <v>ORD0193</v>
      </c>
      <c r="B151" s="4" t="str">
        <v>Laptop</v>
      </c>
      <c r="C151" s="4" t="str">
        <v>Electronics</v>
      </c>
      <c r="D151" s="4" t="str">
        <v>North</v>
      </c>
      <c r="E151" s="4" t="str">
        <v>Feb-2025</v>
      </c>
      <c r="F151" s="4">
        <v>56395</v>
      </c>
      <c r="G151" s="4">
        <v>11</v>
      </c>
      <c r="H151" s="4">
        <v>34371.18</v>
      </c>
      <c r="J151" s="4" t="str">
        <v>ORD0414</v>
      </c>
      <c r="K151" s="4" t="str">
        <v>Laptop</v>
      </c>
      <c r="L151" s="4" t="str">
        <v>Electronics</v>
      </c>
      <c r="M151" s="4" t="str">
        <v>South</v>
      </c>
      <c r="N151" s="4" t="str">
        <v>Feb-2025</v>
      </c>
      <c r="O151" s="4">
        <v>56488</v>
      </c>
      <c r="P151" s="4">
        <v>15</v>
      </c>
      <c r="Q151" s="4">
        <v>34580.17</v>
      </c>
      <c r="S151" s="4" t="str">
        <v>ORD0377</v>
      </c>
      <c r="T151" s="4" t="str">
        <v>Headphones</v>
      </c>
      <c r="U151" s="4" t="str">
        <v>Accessories</v>
      </c>
      <c r="V151" s="4" t="str">
        <v>North</v>
      </c>
      <c r="W151" s="4" t="str">
        <v>Apr-2025</v>
      </c>
      <c r="X151" s="4">
        <v>109601</v>
      </c>
      <c r="Y151" s="4">
        <v>10</v>
      </c>
      <c r="Z151" s="4">
        <v>78724.67</v>
      </c>
    </row>
    <row r="152" spans="1:26" x14ac:dyDescent="0.3">
      <c r="A152" s="4" t="str">
        <v>ORD0194</v>
      </c>
      <c r="B152" s="4" t="str">
        <v>Tablet</v>
      </c>
      <c r="C152" s="4" t="str">
        <v>Electronics</v>
      </c>
      <c r="D152" s="4" t="str">
        <v>South</v>
      </c>
      <c r="E152" s="4" t="str">
        <v>Jun-2025</v>
      </c>
      <c r="F152" s="4">
        <v>131848</v>
      </c>
      <c r="G152" s="4">
        <v>7</v>
      </c>
      <c r="H152" s="4">
        <v>92622.3</v>
      </c>
      <c r="J152" s="4" t="str">
        <v>ORD0415</v>
      </c>
      <c r="K152" s="4" t="str">
        <v>Phone</v>
      </c>
      <c r="L152" s="4" t="str">
        <v>Electronics</v>
      </c>
      <c r="M152" s="4" t="str">
        <v>East</v>
      </c>
      <c r="N152" s="4" t="str">
        <v>Sep-2025</v>
      </c>
      <c r="O152" s="4">
        <v>83372</v>
      </c>
      <c r="P152" s="4">
        <v>15</v>
      </c>
      <c r="Q152" s="4">
        <v>53844.57</v>
      </c>
      <c r="S152" s="4" t="str">
        <v>ORD0021</v>
      </c>
      <c r="T152" s="4" t="str">
        <v>Headphones</v>
      </c>
      <c r="U152" s="4" t="str">
        <v>Accessories</v>
      </c>
      <c r="V152" s="4" t="str">
        <v>North</v>
      </c>
      <c r="W152" s="4" t="str">
        <v>May-2025</v>
      </c>
      <c r="X152" s="4">
        <v>109188</v>
      </c>
      <c r="Y152" s="4">
        <v>4</v>
      </c>
      <c r="Z152" s="4">
        <v>79929.52</v>
      </c>
    </row>
    <row r="153" spans="1:26" x14ac:dyDescent="0.3">
      <c r="A153" s="4" t="str">
        <v>ORD0195</v>
      </c>
      <c r="B153" s="4" t="str">
        <v>Headphones</v>
      </c>
      <c r="C153" s="4" t="str">
        <v>Accessories</v>
      </c>
      <c r="D153" s="4" t="str">
        <v>East</v>
      </c>
      <c r="E153" s="4" t="str">
        <v>Aug-2025</v>
      </c>
      <c r="F153" s="4">
        <v>149624</v>
      </c>
      <c r="G153" s="4">
        <v>12</v>
      </c>
      <c r="H153" s="4">
        <v>106182.42</v>
      </c>
      <c r="J153" s="4" t="str">
        <v>ORD0417</v>
      </c>
      <c r="K153" s="4" t="str">
        <v>Laptop</v>
      </c>
      <c r="L153" s="4" t="str">
        <v>Electronics</v>
      </c>
      <c r="M153" s="4" t="str">
        <v>North</v>
      </c>
      <c r="N153" s="4" t="str">
        <v>Aug-2025</v>
      </c>
      <c r="O153" s="4">
        <v>132333</v>
      </c>
      <c r="P153" s="4">
        <v>7</v>
      </c>
      <c r="Q153" s="4">
        <v>83863.02</v>
      </c>
      <c r="S153" s="4" t="str">
        <v>ORD0315</v>
      </c>
      <c r="T153" s="4" t="str">
        <v>Laptop</v>
      </c>
      <c r="U153" s="4" t="str">
        <v>Electronics</v>
      </c>
      <c r="V153" s="4" t="str">
        <v>East</v>
      </c>
      <c r="W153" s="4" t="str">
        <v>Oct-2025</v>
      </c>
      <c r="X153" s="4">
        <v>107979</v>
      </c>
      <c r="Y153" s="4">
        <v>1</v>
      </c>
      <c r="Z153" s="4">
        <v>80118.570000000007</v>
      </c>
    </row>
    <row r="154" spans="1:26" x14ac:dyDescent="0.3">
      <c r="A154" s="4" t="str">
        <v>ORD0196</v>
      </c>
      <c r="B154" s="4" t="str">
        <v>Tablet</v>
      </c>
      <c r="C154" s="4" t="str">
        <v>Electronics</v>
      </c>
      <c r="D154" s="4" t="str">
        <v>West</v>
      </c>
      <c r="E154" s="4" t="str">
        <v>Sep-2025</v>
      </c>
      <c r="F154" s="4">
        <v>63053</v>
      </c>
      <c r="G154" s="4">
        <v>9</v>
      </c>
      <c r="H154" s="4">
        <v>40991.050000000003</v>
      </c>
      <c r="J154" s="4" t="str">
        <v>ORD0419</v>
      </c>
      <c r="K154" s="4" t="str">
        <v>Tablet</v>
      </c>
      <c r="L154" s="4" t="str">
        <v>Electronics</v>
      </c>
      <c r="M154" s="4" t="str">
        <v>East</v>
      </c>
      <c r="N154" s="4" t="str">
        <v>Aug-2025</v>
      </c>
      <c r="O154" s="4">
        <v>117293</v>
      </c>
      <c r="P154" s="4">
        <v>14</v>
      </c>
      <c r="Q154" s="4">
        <v>71645.179999999993</v>
      </c>
      <c r="S154" s="4" t="str">
        <v>ORD0214</v>
      </c>
      <c r="T154" s="4" t="str">
        <v>Laptop</v>
      </c>
      <c r="U154" s="4" t="str">
        <v>Electronics</v>
      </c>
      <c r="V154" s="4" t="str">
        <v>South</v>
      </c>
      <c r="W154" s="4" t="str">
        <v>Mar-2025</v>
      </c>
      <c r="X154" s="4">
        <v>107954</v>
      </c>
      <c r="Y154" s="4">
        <v>1</v>
      </c>
      <c r="Z154" s="4">
        <v>76750.210000000006</v>
      </c>
    </row>
    <row r="155" spans="1:26" x14ac:dyDescent="0.3">
      <c r="A155" s="4" t="str">
        <v>ORD0199</v>
      </c>
      <c r="B155" s="4" t="str">
        <v>Monitor</v>
      </c>
      <c r="C155" s="4" t="str">
        <v>Peripherals</v>
      </c>
      <c r="D155" s="4" t="str">
        <v>East</v>
      </c>
      <c r="E155" s="4" t="str">
        <v>Mar-2025</v>
      </c>
      <c r="F155" s="4">
        <v>142843</v>
      </c>
      <c r="G155" s="4">
        <v>13</v>
      </c>
      <c r="H155" s="4">
        <v>85987.93</v>
      </c>
      <c r="J155" s="4" t="str">
        <v>ORD0420</v>
      </c>
      <c r="K155" s="4" t="str">
        <v>Laptop</v>
      </c>
      <c r="L155" s="4" t="str">
        <v>Electronics</v>
      </c>
      <c r="M155" s="4" t="str">
        <v>West</v>
      </c>
      <c r="N155" s="4" t="str">
        <v>Nov-2025</v>
      </c>
      <c r="O155" s="4">
        <v>22207</v>
      </c>
      <c r="P155" s="4">
        <v>1</v>
      </c>
      <c r="Q155" s="4">
        <v>15431.7</v>
      </c>
      <c r="S155" s="4" t="str">
        <v>ORD0105</v>
      </c>
      <c r="T155" s="4" t="str">
        <v>Mouse</v>
      </c>
      <c r="U155" s="4" t="str">
        <v>Accessories</v>
      </c>
      <c r="V155" s="4" t="str">
        <v>North</v>
      </c>
      <c r="W155" s="4" t="str">
        <v>Oct-2025</v>
      </c>
      <c r="X155" s="4">
        <v>107737</v>
      </c>
      <c r="Y155" s="4">
        <v>1</v>
      </c>
      <c r="Z155" s="4">
        <v>67113.429999999993</v>
      </c>
    </row>
    <row r="156" spans="1:26" x14ac:dyDescent="0.3">
      <c r="A156" s="4" t="str">
        <v>ORD0201</v>
      </c>
      <c r="B156" s="4" t="str">
        <v>Keyboard</v>
      </c>
      <c r="C156" s="4" t="str">
        <v>Accessories</v>
      </c>
      <c r="D156" s="4" t="str">
        <v>North</v>
      </c>
      <c r="E156" s="4" t="str">
        <v>Jun-2025</v>
      </c>
      <c r="F156" s="4">
        <v>59159</v>
      </c>
      <c r="G156" s="4">
        <v>14</v>
      </c>
      <c r="H156" s="4">
        <v>39934.51</v>
      </c>
      <c r="J156" s="4" t="str">
        <v>ORD0423</v>
      </c>
      <c r="K156" s="4" t="str">
        <v>Tablet</v>
      </c>
      <c r="L156" s="4" t="str">
        <v>Electronics</v>
      </c>
      <c r="M156" s="4" t="str">
        <v>East</v>
      </c>
      <c r="N156" s="4" t="str">
        <v>Sep-2025</v>
      </c>
      <c r="O156" s="4">
        <v>117866</v>
      </c>
      <c r="P156" s="4">
        <v>2</v>
      </c>
      <c r="Q156" s="4">
        <v>83977.77</v>
      </c>
      <c r="S156" s="4" t="str">
        <v>ORD0320</v>
      </c>
      <c r="T156" s="4" t="str">
        <v>Phone</v>
      </c>
      <c r="U156" s="4" t="str">
        <v>Electronics</v>
      </c>
      <c r="V156" s="4" t="str">
        <v>West</v>
      </c>
      <c r="W156" s="4" t="str">
        <v>Aug-2025</v>
      </c>
      <c r="X156" s="4">
        <v>107199</v>
      </c>
      <c r="Y156" s="4">
        <v>8</v>
      </c>
      <c r="Z156" s="4">
        <v>69798.67</v>
      </c>
    </row>
    <row r="157" spans="1:26" x14ac:dyDescent="0.3">
      <c r="A157" s="4" t="str">
        <v>ORD0202</v>
      </c>
      <c r="B157" s="4" t="str">
        <v>Phone</v>
      </c>
      <c r="C157" s="4" t="str">
        <v>Electronics</v>
      </c>
      <c r="D157" s="4" t="str">
        <v>South</v>
      </c>
      <c r="E157" s="4" t="str">
        <v>Apr-2025</v>
      </c>
      <c r="F157" s="4">
        <v>55054</v>
      </c>
      <c r="G157" s="4">
        <v>11</v>
      </c>
      <c r="H157" s="4">
        <v>40228.68</v>
      </c>
      <c r="J157" s="4" t="str">
        <v>ORD0426</v>
      </c>
      <c r="K157" s="4" t="str">
        <v>Phone</v>
      </c>
      <c r="L157" s="4" t="str">
        <v>Electronics</v>
      </c>
      <c r="M157" s="4" t="str">
        <v>South</v>
      </c>
      <c r="N157" s="4" t="str">
        <v>Feb-2025</v>
      </c>
      <c r="O157" s="4">
        <v>145448</v>
      </c>
      <c r="P157" s="4">
        <v>12</v>
      </c>
      <c r="Q157" s="4">
        <v>104169.91</v>
      </c>
      <c r="S157" s="4" t="str">
        <v>ORD0489</v>
      </c>
      <c r="T157" s="4" t="str">
        <v>Laptop</v>
      </c>
      <c r="U157" s="4" t="str">
        <v>Electronics</v>
      </c>
      <c r="V157" s="4" t="str">
        <v>North</v>
      </c>
      <c r="W157" s="4" t="str">
        <v>Sep-2025</v>
      </c>
      <c r="X157" s="4">
        <v>106980</v>
      </c>
      <c r="Y157" s="4">
        <v>14</v>
      </c>
      <c r="Z157" s="4">
        <v>67349.740000000005</v>
      </c>
    </row>
    <row r="158" spans="1:26" x14ac:dyDescent="0.3">
      <c r="A158" s="4" t="str">
        <v>ORD0203</v>
      </c>
      <c r="B158" s="4" t="str">
        <v>Laptop</v>
      </c>
      <c r="C158" s="4" t="str">
        <v>Electronics</v>
      </c>
      <c r="D158" s="4" t="str">
        <v>East</v>
      </c>
      <c r="E158" s="4" t="str">
        <v>Mar-2025</v>
      </c>
      <c r="F158" s="4">
        <v>78275</v>
      </c>
      <c r="G158" s="4">
        <v>2</v>
      </c>
      <c r="H158" s="4">
        <v>48383.34</v>
      </c>
      <c r="J158" s="4" t="str">
        <v>ORD0427</v>
      </c>
      <c r="K158" s="4" t="str">
        <v>Laptop</v>
      </c>
      <c r="L158" s="4" t="str">
        <v>Electronics</v>
      </c>
      <c r="M158" s="4" t="str">
        <v>East</v>
      </c>
      <c r="N158" s="4" t="str">
        <v>Aug-2025</v>
      </c>
      <c r="O158" s="4">
        <v>50033</v>
      </c>
      <c r="P158" s="4">
        <v>2</v>
      </c>
      <c r="Q158" s="4">
        <v>33603.64</v>
      </c>
      <c r="S158" s="4" t="str">
        <v>ORD0437</v>
      </c>
      <c r="T158" s="4" t="str">
        <v>Phone</v>
      </c>
      <c r="U158" s="4" t="str">
        <v>Electronics</v>
      </c>
      <c r="V158" s="4" t="str">
        <v>North</v>
      </c>
      <c r="W158" s="4" t="str">
        <v>Jul-2025</v>
      </c>
      <c r="X158" s="4">
        <v>106748</v>
      </c>
      <c r="Y158" s="4">
        <v>12</v>
      </c>
      <c r="Z158" s="4">
        <v>67145.06</v>
      </c>
    </row>
    <row r="159" spans="1:26" x14ac:dyDescent="0.3">
      <c r="A159" s="4" t="str">
        <v>ORD0204</v>
      </c>
      <c r="B159" s="4" t="str">
        <v>Phone</v>
      </c>
      <c r="C159" s="4" t="str">
        <v>Electronics</v>
      </c>
      <c r="D159" s="4" t="str">
        <v>West</v>
      </c>
      <c r="E159" s="4" t="str">
        <v>Nov-2025</v>
      </c>
      <c r="F159" s="4">
        <v>113884</v>
      </c>
      <c r="G159" s="4">
        <v>9</v>
      </c>
      <c r="H159" s="4">
        <v>78567.320000000007</v>
      </c>
      <c r="J159" s="4" t="str">
        <v>ORD0433</v>
      </c>
      <c r="K159" s="4" t="str">
        <v>Phone</v>
      </c>
      <c r="L159" s="4" t="str">
        <v>Electronics</v>
      </c>
      <c r="M159" s="4" t="str">
        <v>North</v>
      </c>
      <c r="N159" s="4" t="str">
        <v>Aug-2025</v>
      </c>
      <c r="O159" s="4">
        <v>148898</v>
      </c>
      <c r="P159" s="4">
        <v>15</v>
      </c>
      <c r="Q159" s="4">
        <v>99464.81</v>
      </c>
      <c r="S159" s="4" t="str">
        <v>ORD0100</v>
      </c>
      <c r="T159" s="4" t="str">
        <v>Headphones</v>
      </c>
      <c r="U159" s="4" t="str">
        <v>Accessories</v>
      </c>
      <c r="V159" s="4" t="str">
        <v>West</v>
      </c>
      <c r="W159" s="4" t="str">
        <v>Jul-2025</v>
      </c>
      <c r="X159" s="4">
        <v>106607</v>
      </c>
      <c r="Y159" s="4">
        <v>14</v>
      </c>
      <c r="Z159" s="4">
        <v>66121.39</v>
      </c>
    </row>
    <row r="160" spans="1:26" x14ac:dyDescent="0.3">
      <c r="A160" s="4" t="str">
        <v>ORD0207</v>
      </c>
      <c r="B160" s="4" t="str">
        <v>Printer</v>
      </c>
      <c r="C160" s="4" t="str">
        <v>Peripherals</v>
      </c>
      <c r="D160" s="4" t="str">
        <v>East</v>
      </c>
      <c r="E160" s="4" t="str">
        <v>Jun-2025</v>
      </c>
      <c r="F160" s="4">
        <v>123438</v>
      </c>
      <c r="G160" s="4">
        <v>8</v>
      </c>
      <c r="H160" s="4">
        <v>76629.440000000002</v>
      </c>
      <c r="J160" s="4" t="str">
        <v>ORD0437</v>
      </c>
      <c r="K160" s="4" t="str">
        <v>Phone</v>
      </c>
      <c r="L160" s="4" t="str">
        <v>Electronics</v>
      </c>
      <c r="M160" s="4" t="str">
        <v>North</v>
      </c>
      <c r="N160" s="4" t="str">
        <v>Jul-2025</v>
      </c>
      <c r="O160" s="4">
        <v>106748</v>
      </c>
      <c r="P160" s="4">
        <v>12</v>
      </c>
      <c r="Q160" s="4">
        <v>67145.06</v>
      </c>
      <c r="S160" s="4" t="str">
        <v>ORD0174</v>
      </c>
      <c r="T160" s="4" t="str">
        <v>Tablet</v>
      </c>
      <c r="U160" s="4" t="str">
        <v>Electronics</v>
      </c>
      <c r="V160" s="4" t="str">
        <v>South</v>
      </c>
      <c r="W160" s="4" t="str">
        <v>May-2025</v>
      </c>
      <c r="X160" s="4">
        <v>106387</v>
      </c>
      <c r="Y160" s="4">
        <v>9</v>
      </c>
      <c r="Z160" s="4">
        <v>73497.78</v>
      </c>
    </row>
    <row r="161" spans="1:26" x14ac:dyDescent="0.3">
      <c r="A161" s="4" t="str">
        <v>ORD0210</v>
      </c>
      <c r="B161" s="4" t="str">
        <v>Tablet</v>
      </c>
      <c r="C161" s="4" t="str">
        <v>Electronics</v>
      </c>
      <c r="D161" s="4" t="str">
        <v>South</v>
      </c>
      <c r="E161" s="4" t="str">
        <v>May-2025</v>
      </c>
      <c r="F161" s="4">
        <v>65719</v>
      </c>
      <c r="G161" s="4">
        <v>7</v>
      </c>
      <c r="H161" s="4">
        <v>45936</v>
      </c>
      <c r="J161" s="4" t="str">
        <v>ORD0438</v>
      </c>
      <c r="K161" s="4" t="str">
        <v>Phone</v>
      </c>
      <c r="L161" s="4" t="str">
        <v>Electronics</v>
      </c>
      <c r="M161" s="4" t="str">
        <v>South</v>
      </c>
      <c r="N161" s="4" t="str">
        <v>Jun-2025</v>
      </c>
      <c r="O161" s="4">
        <v>90023</v>
      </c>
      <c r="P161" s="4">
        <v>14</v>
      </c>
      <c r="Q161" s="4">
        <v>63555.46</v>
      </c>
      <c r="S161" s="4" t="str">
        <v>ORD0421</v>
      </c>
      <c r="T161" s="4" t="str">
        <v>Headphones</v>
      </c>
      <c r="U161" s="4" t="str">
        <v>Accessories</v>
      </c>
      <c r="V161" s="4" t="str">
        <v>North</v>
      </c>
      <c r="W161" s="4" t="str">
        <v>Jul-2025</v>
      </c>
      <c r="X161" s="4">
        <v>106248</v>
      </c>
      <c r="Y161" s="4">
        <v>2</v>
      </c>
      <c r="Z161" s="4">
        <v>64411.25</v>
      </c>
    </row>
    <row r="162" spans="1:26" x14ac:dyDescent="0.3">
      <c r="A162" s="4" t="str">
        <v>ORD0212</v>
      </c>
      <c r="B162" s="4" t="str">
        <v>Keyboard</v>
      </c>
      <c r="C162" s="4" t="str">
        <v>Accessories</v>
      </c>
      <c r="D162" s="4" t="str">
        <v>West</v>
      </c>
      <c r="E162" s="4" t="str">
        <v>Feb-2025</v>
      </c>
      <c r="F162" s="4">
        <v>93375</v>
      </c>
      <c r="G162" s="4">
        <v>11</v>
      </c>
      <c r="H162" s="4">
        <v>58192.800000000003</v>
      </c>
      <c r="J162" s="4" t="str">
        <v>ORD0440</v>
      </c>
      <c r="K162" s="4" t="str">
        <v>Phone</v>
      </c>
      <c r="L162" s="4" t="str">
        <v>Electronics</v>
      </c>
      <c r="M162" s="4" t="str">
        <v>West</v>
      </c>
      <c r="N162" s="4" t="str">
        <v>Feb-2025</v>
      </c>
      <c r="O162" s="4">
        <v>33695</v>
      </c>
      <c r="P162" s="4">
        <v>2</v>
      </c>
      <c r="Q162" s="4">
        <v>20529.439999999999</v>
      </c>
      <c r="S162" s="4" t="str">
        <v>ORD0353</v>
      </c>
      <c r="T162" s="4" t="str">
        <v>Monitor</v>
      </c>
      <c r="U162" s="4" t="str">
        <v>Peripherals</v>
      </c>
      <c r="V162" s="4" t="str">
        <v>North</v>
      </c>
      <c r="W162" s="4" t="str">
        <v>Apr-2025</v>
      </c>
      <c r="X162" s="4">
        <v>105639</v>
      </c>
      <c r="Y162" s="4">
        <v>5</v>
      </c>
      <c r="Z162" s="4">
        <v>64064.32</v>
      </c>
    </row>
    <row r="163" spans="1:26" x14ac:dyDescent="0.3">
      <c r="A163" s="4" t="str">
        <v>ORD0214</v>
      </c>
      <c r="B163" s="4" t="str">
        <v>Laptop</v>
      </c>
      <c r="C163" s="4" t="str">
        <v>Electronics</v>
      </c>
      <c r="D163" s="4" t="str">
        <v>South</v>
      </c>
      <c r="E163" s="4" t="str">
        <v>Mar-2025</v>
      </c>
      <c r="F163" s="4">
        <v>107954</v>
      </c>
      <c r="G163" s="4">
        <v>1</v>
      </c>
      <c r="H163" s="4">
        <v>76750.210000000006</v>
      </c>
      <c r="J163" s="4" t="str">
        <v>ORD0449</v>
      </c>
      <c r="K163" s="4" t="str">
        <v>Phone</v>
      </c>
      <c r="L163" s="4" t="str">
        <v>Electronics</v>
      </c>
      <c r="M163" s="4" t="str">
        <v>North</v>
      </c>
      <c r="N163" s="4" t="str">
        <v>Jul-2025</v>
      </c>
      <c r="O163" s="4">
        <v>69654</v>
      </c>
      <c r="P163" s="4">
        <v>12</v>
      </c>
      <c r="Q163" s="4">
        <v>51718.63</v>
      </c>
      <c r="S163" s="4" t="str">
        <v>ORD0025</v>
      </c>
      <c r="T163" s="4" t="str">
        <v>Headphones</v>
      </c>
      <c r="U163" s="4" t="str">
        <v>Accessories</v>
      </c>
      <c r="V163" s="4" t="str">
        <v>North</v>
      </c>
      <c r="W163" s="4" t="str">
        <v>May-2025</v>
      </c>
      <c r="X163" s="4">
        <v>105530</v>
      </c>
      <c r="Y163" s="4">
        <v>5</v>
      </c>
      <c r="Z163" s="4">
        <v>67441.740000000005</v>
      </c>
    </row>
    <row r="164" spans="1:26" x14ac:dyDescent="0.3">
      <c r="A164" s="4" t="str">
        <v>ORD0215</v>
      </c>
      <c r="B164" s="4" t="str">
        <v>Printer</v>
      </c>
      <c r="C164" s="4" t="str">
        <v>Peripherals</v>
      </c>
      <c r="D164" s="4" t="str">
        <v>East</v>
      </c>
      <c r="E164" s="4" t="str">
        <v>Feb-2025</v>
      </c>
      <c r="F164" s="4">
        <v>140492</v>
      </c>
      <c r="G164" s="4">
        <v>12</v>
      </c>
      <c r="H164" s="4">
        <v>101947.49</v>
      </c>
      <c r="J164" s="4" t="str">
        <v>ORD0452</v>
      </c>
      <c r="K164" s="4" t="str">
        <v>Tablet</v>
      </c>
      <c r="L164" s="4" t="str">
        <v>Electronics</v>
      </c>
      <c r="M164" s="4" t="str">
        <v>West</v>
      </c>
      <c r="N164" s="4" t="str">
        <v>Jul-2025</v>
      </c>
      <c r="O164" s="4">
        <v>64971</v>
      </c>
      <c r="P164" s="4">
        <v>6</v>
      </c>
      <c r="Q164" s="4">
        <v>44078.04</v>
      </c>
      <c r="S164" s="4" t="str">
        <v>ORD0047</v>
      </c>
      <c r="T164" s="4" t="str">
        <v>Headphones</v>
      </c>
      <c r="U164" s="4" t="str">
        <v>Accessories</v>
      </c>
      <c r="V164" s="4" t="str">
        <v>East</v>
      </c>
      <c r="W164" s="4" t="str">
        <v>Oct-2025</v>
      </c>
      <c r="X164" s="4">
        <v>105004</v>
      </c>
      <c r="Y164" s="4">
        <v>12</v>
      </c>
      <c r="Z164" s="4">
        <v>64566.6</v>
      </c>
    </row>
    <row r="165" spans="1:26" x14ac:dyDescent="0.3">
      <c r="A165" s="4" t="str">
        <v>ORD0216</v>
      </c>
      <c r="B165" s="4" t="str">
        <v>Phone</v>
      </c>
      <c r="C165" s="4" t="str">
        <v>Electronics</v>
      </c>
      <c r="D165" s="4" t="str">
        <v>West</v>
      </c>
      <c r="E165" s="4" t="str">
        <v>Jan-2025</v>
      </c>
      <c r="F165" s="4">
        <v>73292</v>
      </c>
      <c r="G165" s="4">
        <v>1</v>
      </c>
      <c r="H165" s="4">
        <v>54905.58</v>
      </c>
      <c r="J165" s="4" t="str">
        <v>ORD0454</v>
      </c>
      <c r="K165" s="4" t="str">
        <v>Tablet</v>
      </c>
      <c r="L165" s="4" t="str">
        <v>Electronics</v>
      </c>
      <c r="M165" s="4" t="str">
        <v>South</v>
      </c>
      <c r="N165" s="4" t="str">
        <v>Oct-2025</v>
      </c>
      <c r="O165" s="4">
        <v>136646</v>
      </c>
      <c r="P165" s="4">
        <v>8</v>
      </c>
      <c r="Q165" s="4">
        <v>88756.17</v>
      </c>
      <c r="S165" s="4" t="str">
        <v>ORD0087</v>
      </c>
      <c r="T165" s="4" t="str">
        <v>Headphones</v>
      </c>
      <c r="U165" s="4" t="str">
        <v>Accessories</v>
      </c>
      <c r="V165" s="4" t="str">
        <v>East</v>
      </c>
      <c r="W165" s="4" t="str">
        <v>Jun-2025</v>
      </c>
      <c r="X165" s="4">
        <v>104820</v>
      </c>
      <c r="Y165" s="4">
        <v>12</v>
      </c>
      <c r="Z165" s="4">
        <v>77512.429999999993</v>
      </c>
    </row>
    <row r="166" spans="1:26" x14ac:dyDescent="0.3">
      <c r="A166" s="4" t="str">
        <v>ORD0217</v>
      </c>
      <c r="B166" s="4" t="str">
        <v>Monitor</v>
      </c>
      <c r="C166" s="4" t="str">
        <v>Peripherals</v>
      </c>
      <c r="D166" s="4" t="str">
        <v>North</v>
      </c>
      <c r="E166" s="4" t="str">
        <v>Feb-2025</v>
      </c>
      <c r="F166" s="4">
        <v>113710</v>
      </c>
      <c r="G166" s="4">
        <v>15</v>
      </c>
      <c r="H166" s="4">
        <v>83087.899999999994</v>
      </c>
      <c r="J166" s="4" t="str">
        <v>ORD0456</v>
      </c>
      <c r="K166" s="4" t="str">
        <v>Phone</v>
      </c>
      <c r="L166" s="4" t="str">
        <v>Electronics</v>
      </c>
      <c r="M166" s="4" t="str">
        <v>West</v>
      </c>
      <c r="N166" s="4" t="str">
        <v>Aug-2025</v>
      </c>
      <c r="O166" s="4">
        <v>123085</v>
      </c>
      <c r="P166" s="4">
        <v>14</v>
      </c>
      <c r="Q166" s="4">
        <v>88964.38</v>
      </c>
      <c r="S166" s="4" t="str">
        <v>ORD0039</v>
      </c>
      <c r="T166" s="4" t="str">
        <v>Printer</v>
      </c>
      <c r="U166" s="4" t="str">
        <v>Peripherals</v>
      </c>
      <c r="V166" s="4" t="str">
        <v>East</v>
      </c>
      <c r="W166" s="4" t="str">
        <v>Jan-2025</v>
      </c>
      <c r="X166" s="4">
        <v>104793</v>
      </c>
      <c r="Y166" s="4">
        <v>1</v>
      </c>
      <c r="Z166" s="4">
        <v>73221.06</v>
      </c>
    </row>
    <row r="167" spans="1:26" x14ac:dyDescent="0.3">
      <c r="A167" s="4" t="str">
        <v>ORD0219</v>
      </c>
      <c r="B167" s="4" t="str">
        <v>Printer</v>
      </c>
      <c r="C167" s="4" t="str">
        <v>Peripherals</v>
      </c>
      <c r="D167" s="4" t="str">
        <v>East</v>
      </c>
      <c r="E167" s="4" t="str">
        <v>May-2025</v>
      </c>
      <c r="F167" s="4">
        <v>103221</v>
      </c>
      <c r="G167" s="4">
        <v>14</v>
      </c>
      <c r="H167" s="4">
        <v>63443.14</v>
      </c>
      <c r="J167" s="4" t="str">
        <v>ORD0459</v>
      </c>
      <c r="K167" s="4" t="str">
        <v>Phone</v>
      </c>
      <c r="L167" s="4" t="str">
        <v>Electronics</v>
      </c>
      <c r="M167" s="4" t="str">
        <v>East</v>
      </c>
      <c r="N167" s="4" t="str">
        <v>Nov-2025</v>
      </c>
      <c r="O167" s="4">
        <v>94773</v>
      </c>
      <c r="P167" s="4">
        <v>1</v>
      </c>
      <c r="Q167" s="4">
        <v>66962.89</v>
      </c>
      <c r="S167" s="4" t="str">
        <v>ORD0058</v>
      </c>
      <c r="T167" s="4" t="str">
        <v>Tablet</v>
      </c>
      <c r="U167" s="4" t="str">
        <v>Electronics</v>
      </c>
      <c r="V167" s="4" t="str">
        <v>South</v>
      </c>
      <c r="W167" s="4" t="str">
        <v>Nov-2025</v>
      </c>
      <c r="X167" s="4">
        <v>104612</v>
      </c>
      <c r="Y167" s="4">
        <v>14</v>
      </c>
      <c r="Z167" s="4">
        <v>63528.58</v>
      </c>
    </row>
    <row r="168" spans="1:26" x14ac:dyDescent="0.3">
      <c r="A168" s="4" t="str">
        <v>ORD0220</v>
      </c>
      <c r="B168" s="4" t="str">
        <v>Keyboard</v>
      </c>
      <c r="C168" s="4" t="str">
        <v>Accessories</v>
      </c>
      <c r="D168" s="4" t="str">
        <v>West</v>
      </c>
      <c r="E168" s="4" t="str">
        <v>Nov-2025</v>
      </c>
      <c r="F168" s="4">
        <v>148383</v>
      </c>
      <c r="G168" s="4">
        <v>1</v>
      </c>
      <c r="H168" s="4">
        <v>97975.7</v>
      </c>
      <c r="J168" s="4" t="str">
        <v>ORD0466</v>
      </c>
      <c r="K168" s="4" t="str">
        <v>Tablet</v>
      </c>
      <c r="L168" s="4" t="str">
        <v>Electronics</v>
      </c>
      <c r="M168" s="4" t="str">
        <v>South</v>
      </c>
      <c r="N168" s="4" t="str">
        <v>Nov-2025</v>
      </c>
      <c r="O168" s="4">
        <v>140234</v>
      </c>
      <c r="P168" s="4">
        <v>4</v>
      </c>
      <c r="Q168" s="4">
        <v>89904.72</v>
      </c>
      <c r="S168" s="4" t="str">
        <v>ORD0151</v>
      </c>
      <c r="T168" s="4" t="str">
        <v>Tablet</v>
      </c>
      <c r="U168" s="4" t="str">
        <v>Electronics</v>
      </c>
      <c r="V168" s="4" t="str">
        <v>East</v>
      </c>
      <c r="W168" s="4" t="str">
        <v>Mar-2025</v>
      </c>
      <c r="X168" s="4">
        <v>104055</v>
      </c>
      <c r="Y168" s="4">
        <v>10</v>
      </c>
      <c r="Z168" s="4">
        <v>67486</v>
      </c>
    </row>
    <row r="169" spans="1:26" x14ac:dyDescent="0.3">
      <c r="A169" s="4" t="str">
        <v>ORD0221</v>
      </c>
      <c r="B169" s="4" t="str">
        <v>Printer</v>
      </c>
      <c r="C169" s="4" t="str">
        <v>Peripherals</v>
      </c>
      <c r="D169" s="4" t="str">
        <v>North</v>
      </c>
      <c r="E169" s="4" t="str">
        <v>Sep-2025</v>
      </c>
      <c r="F169" s="4">
        <v>134678</v>
      </c>
      <c r="G169" s="4">
        <v>6</v>
      </c>
      <c r="H169" s="4">
        <v>84588.17</v>
      </c>
      <c r="J169" s="4" t="str">
        <v>ORD0468</v>
      </c>
      <c r="K169" s="4" t="str">
        <v>Phone</v>
      </c>
      <c r="L169" s="4" t="str">
        <v>Electronics</v>
      </c>
      <c r="M169" s="4" t="str">
        <v>West</v>
      </c>
      <c r="N169" s="4" t="str">
        <v>Nov-2025</v>
      </c>
      <c r="O169" s="4">
        <v>112276</v>
      </c>
      <c r="P169" s="4">
        <v>14</v>
      </c>
      <c r="Q169" s="4">
        <v>77225.289999999994</v>
      </c>
      <c r="S169" s="4" t="str">
        <v>ORD0329</v>
      </c>
      <c r="T169" s="4" t="str">
        <v>Printer</v>
      </c>
      <c r="U169" s="4" t="str">
        <v>Peripherals</v>
      </c>
      <c r="V169" s="4" t="str">
        <v>North</v>
      </c>
      <c r="W169" s="4" t="str">
        <v>Jan-2025</v>
      </c>
      <c r="X169" s="4">
        <v>103813</v>
      </c>
      <c r="Y169" s="4">
        <v>10</v>
      </c>
      <c r="Z169" s="4">
        <v>70081.41</v>
      </c>
    </row>
    <row r="170" spans="1:26" x14ac:dyDescent="0.3">
      <c r="A170" s="4" t="str">
        <v>ORD0222</v>
      </c>
      <c r="B170" s="4" t="str">
        <v>Tablet</v>
      </c>
      <c r="C170" s="4" t="str">
        <v>Electronics</v>
      </c>
      <c r="D170" s="4" t="str">
        <v>South</v>
      </c>
      <c r="E170" s="4" t="str">
        <v>Mar-2025</v>
      </c>
      <c r="F170" s="4">
        <v>126024</v>
      </c>
      <c r="G170" s="4">
        <v>14</v>
      </c>
      <c r="H170" s="4">
        <v>93116.61</v>
      </c>
      <c r="J170" s="4" t="str">
        <v>ORD0469</v>
      </c>
      <c r="K170" s="4" t="str">
        <v>Phone</v>
      </c>
      <c r="L170" s="4" t="str">
        <v>Electronics</v>
      </c>
      <c r="M170" s="4" t="str">
        <v>North</v>
      </c>
      <c r="N170" s="4" t="str">
        <v>Mar-2025</v>
      </c>
      <c r="O170" s="4">
        <v>61944</v>
      </c>
      <c r="P170" s="4">
        <v>15</v>
      </c>
      <c r="Q170" s="4">
        <v>37270.11</v>
      </c>
      <c r="S170" s="4" t="str">
        <v>ORD0179</v>
      </c>
      <c r="T170" s="4" t="str">
        <v>Headphones</v>
      </c>
      <c r="U170" s="4" t="str">
        <v>Accessories</v>
      </c>
      <c r="V170" s="4" t="str">
        <v>East</v>
      </c>
      <c r="W170" s="4" t="str">
        <v>Aug-2025</v>
      </c>
      <c r="X170" s="4">
        <v>103755</v>
      </c>
      <c r="Y170" s="4">
        <v>7</v>
      </c>
      <c r="Z170" s="4">
        <v>66980.94</v>
      </c>
    </row>
    <row r="171" spans="1:26" x14ac:dyDescent="0.3">
      <c r="A171" s="4" t="str">
        <v>ORD0226</v>
      </c>
      <c r="B171" s="4" t="str">
        <v>Monitor</v>
      </c>
      <c r="C171" s="4" t="str">
        <v>Peripherals</v>
      </c>
      <c r="D171" s="4" t="str">
        <v>South</v>
      </c>
      <c r="E171" s="4" t="str">
        <v>May-2025</v>
      </c>
      <c r="F171" s="4">
        <v>141463</v>
      </c>
      <c r="G171" s="4">
        <v>12</v>
      </c>
      <c r="H171" s="4">
        <v>95875.97</v>
      </c>
      <c r="J171" s="4" t="str">
        <v>ORD0476</v>
      </c>
      <c r="K171" s="4" t="str">
        <v>Phone</v>
      </c>
      <c r="L171" s="4" t="str">
        <v>Electronics</v>
      </c>
      <c r="M171" s="4" t="str">
        <v>West</v>
      </c>
      <c r="N171" s="4" t="str">
        <v>Jun-2025</v>
      </c>
      <c r="O171" s="4">
        <v>16434</v>
      </c>
      <c r="P171" s="4">
        <v>9</v>
      </c>
      <c r="Q171" s="4">
        <v>11679.1</v>
      </c>
      <c r="S171" s="4" t="str">
        <v>ORD0159</v>
      </c>
      <c r="T171" s="4" t="str">
        <v>Laptop</v>
      </c>
      <c r="U171" s="4" t="str">
        <v>Electronics</v>
      </c>
      <c r="V171" s="4" t="str">
        <v>East</v>
      </c>
      <c r="W171" s="4" t="str">
        <v>Jun-2025</v>
      </c>
      <c r="X171" s="4">
        <v>103446</v>
      </c>
      <c r="Y171" s="4">
        <v>6</v>
      </c>
      <c r="Z171" s="4">
        <v>63844.72</v>
      </c>
    </row>
    <row r="172" spans="1:26" x14ac:dyDescent="0.3">
      <c r="A172" s="4" t="str">
        <v>ORD0227</v>
      </c>
      <c r="B172" s="4" t="str">
        <v>Laptop</v>
      </c>
      <c r="C172" s="4" t="str">
        <v>Electronics</v>
      </c>
      <c r="D172" s="4" t="str">
        <v>East</v>
      </c>
      <c r="E172" s="4" t="str">
        <v>Oct-2025</v>
      </c>
      <c r="F172" s="4">
        <v>75730</v>
      </c>
      <c r="G172" s="4">
        <v>4</v>
      </c>
      <c r="H172" s="4">
        <v>53041.4</v>
      </c>
      <c r="J172" s="4" t="str">
        <v>ORD0477</v>
      </c>
      <c r="K172" s="4" t="str">
        <v>Tablet</v>
      </c>
      <c r="L172" s="4" t="str">
        <v>Electronics</v>
      </c>
      <c r="M172" s="4" t="str">
        <v>North</v>
      </c>
      <c r="N172" s="4" t="str">
        <v>Jul-2025</v>
      </c>
      <c r="O172" s="4">
        <v>35258</v>
      </c>
      <c r="P172" s="4">
        <v>4</v>
      </c>
      <c r="Q172" s="4">
        <v>24279.37</v>
      </c>
      <c r="S172" s="4" t="str">
        <v>ORD0113</v>
      </c>
      <c r="T172" s="4" t="str">
        <v>Keyboard</v>
      </c>
      <c r="U172" s="4" t="str">
        <v>Accessories</v>
      </c>
      <c r="V172" s="4" t="str">
        <v>North</v>
      </c>
      <c r="W172" s="4" t="str">
        <v>Apr-2025</v>
      </c>
      <c r="X172" s="4">
        <v>103246</v>
      </c>
      <c r="Y172" s="4">
        <v>5</v>
      </c>
      <c r="Z172" s="4">
        <v>77365.539999999994</v>
      </c>
    </row>
    <row r="173" spans="1:26" x14ac:dyDescent="0.3">
      <c r="A173" s="4" t="str">
        <v>ORD0228</v>
      </c>
      <c r="B173" s="4" t="str">
        <v>Laptop</v>
      </c>
      <c r="C173" s="4" t="str">
        <v>Electronics</v>
      </c>
      <c r="D173" s="4" t="str">
        <v>West</v>
      </c>
      <c r="E173" s="4" t="str">
        <v>Feb-2025</v>
      </c>
      <c r="F173" s="4">
        <v>55859</v>
      </c>
      <c r="G173" s="4">
        <v>1</v>
      </c>
      <c r="H173" s="4">
        <v>40431.35</v>
      </c>
      <c r="J173" s="4" t="str">
        <v>ORD0478</v>
      </c>
      <c r="K173" s="4" t="str">
        <v>Tablet</v>
      </c>
      <c r="L173" s="4" t="str">
        <v>Electronics</v>
      </c>
      <c r="M173" s="4" t="str">
        <v>South</v>
      </c>
      <c r="N173" s="4" t="str">
        <v>Jul-2025</v>
      </c>
      <c r="O173" s="4">
        <v>70356</v>
      </c>
      <c r="P173" s="4">
        <v>1</v>
      </c>
      <c r="Q173" s="4">
        <v>49877.32</v>
      </c>
      <c r="S173" s="4" t="str">
        <v>ORD0219</v>
      </c>
      <c r="T173" s="4" t="str">
        <v>Printer</v>
      </c>
      <c r="U173" s="4" t="str">
        <v>Peripherals</v>
      </c>
      <c r="V173" s="4" t="str">
        <v>East</v>
      </c>
      <c r="W173" s="4" t="str">
        <v>May-2025</v>
      </c>
      <c r="X173" s="4">
        <v>103221</v>
      </c>
      <c r="Y173" s="4">
        <v>14</v>
      </c>
      <c r="Z173" s="4">
        <v>63443.14</v>
      </c>
    </row>
    <row r="174" spans="1:26" x14ac:dyDescent="0.3">
      <c r="A174" s="4" t="str">
        <v>ORD0229</v>
      </c>
      <c r="B174" s="4" t="str">
        <v>Phone</v>
      </c>
      <c r="C174" s="4" t="str">
        <v>Electronics</v>
      </c>
      <c r="D174" s="4" t="str">
        <v>North</v>
      </c>
      <c r="E174" s="4" t="str">
        <v>Sep-2025</v>
      </c>
      <c r="F174" s="4">
        <v>59942</v>
      </c>
      <c r="G174" s="4">
        <v>1</v>
      </c>
      <c r="H174" s="4">
        <v>40570.18</v>
      </c>
      <c r="J174" s="4" t="str">
        <v>ORD0479</v>
      </c>
      <c r="K174" s="4" t="str">
        <v>Phone</v>
      </c>
      <c r="L174" s="4" t="str">
        <v>Electronics</v>
      </c>
      <c r="M174" s="4" t="str">
        <v>East</v>
      </c>
      <c r="N174" s="4" t="str">
        <v>Aug-2025</v>
      </c>
      <c r="O174" s="4">
        <v>137488</v>
      </c>
      <c r="P174" s="4">
        <v>12</v>
      </c>
      <c r="Q174" s="4">
        <v>93479.21</v>
      </c>
      <c r="S174" s="4" t="str">
        <v>ORD0111</v>
      </c>
      <c r="T174" s="4" t="str">
        <v>Laptop</v>
      </c>
      <c r="U174" s="4" t="str">
        <v>Electronics</v>
      </c>
      <c r="V174" s="4" t="str">
        <v>East</v>
      </c>
      <c r="W174" s="4" t="str">
        <v>Apr-2025</v>
      </c>
      <c r="X174" s="4">
        <v>102944</v>
      </c>
      <c r="Y174" s="4">
        <v>2</v>
      </c>
      <c r="Z174" s="4">
        <v>71297.59</v>
      </c>
    </row>
    <row r="175" spans="1:26" x14ac:dyDescent="0.3">
      <c r="A175" s="4" t="str">
        <v>ORD0230</v>
      </c>
      <c r="B175" s="4" t="str">
        <v>Keyboard</v>
      </c>
      <c r="C175" s="4" t="str">
        <v>Accessories</v>
      </c>
      <c r="D175" s="4" t="str">
        <v>South</v>
      </c>
      <c r="E175" s="4" t="str">
        <v>Nov-2025</v>
      </c>
      <c r="F175" s="4">
        <v>111277</v>
      </c>
      <c r="G175" s="4">
        <v>12</v>
      </c>
      <c r="H175" s="4">
        <v>75128.47</v>
      </c>
      <c r="J175" s="4" t="str">
        <v>ORD0482</v>
      </c>
      <c r="K175" s="4" t="str">
        <v>Tablet</v>
      </c>
      <c r="L175" s="4" t="str">
        <v>Electronics</v>
      </c>
      <c r="M175" s="4" t="str">
        <v>South</v>
      </c>
      <c r="N175" s="4" t="str">
        <v>Sep-2025</v>
      </c>
      <c r="O175" s="4">
        <v>109840</v>
      </c>
      <c r="P175" s="4">
        <v>12</v>
      </c>
      <c r="Q175" s="4">
        <v>79745.149999999994</v>
      </c>
      <c r="S175" s="4" t="str">
        <v>ORD0297</v>
      </c>
      <c r="T175" s="4" t="str">
        <v>Printer</v>
      </c>
      <c r="U175" s="4" t="str">
        <v>Peripherals</v>
      </c>
      <c r="V175" s="4" t="str">
        <v>North</v>
      </c>
      <c r="W175" s="4" t="str">
        <v>Jun-2025</v>
      </c>
      <c r="X175" s="4">
        <v>102639</v>
      </c>
      <c r="Y175" s="4">
        <v>5</v>
      </c>
      <c r="Z175" s="4">
        <v>68969.67</v>
      </c>
    </row>
    <row r="176" spans="1:26" x14ac:dyDescent="0.3">
      <c r="A176" s="4" t="str">
        <v>ORD0231</v>
      </c>
      <c r="B176" s="4" t="str">
        <v>Laptop</v>
      </c>
      <c r="C176" s="4" t="str">
        <v>Electronics</v>
      </c>
      <c r="D176" s="4" t="str">
        <v>East</v>
      </c>
      <c r="E176" s="4" t="str">
        <v>Mar-2025</v>
      </c>
      <c r="F176" s="4">
        <v>131387</v>
      </c>
      <c r="G176" s="4">
        <v>7</v>
      </c>
      <c r="H176" s="4">
        <v>96301.37</v>
      </c>
      <c r="J176" s="4" t="str">
        <v>ORD0483</v>
      </c>
      <c r="K176" s="4" t="str">
        <v>Tablet</v>
      </c>
      <c r="L176" s="4" t="str">
        <v>Electronics</v>
      </c>
      <c r="M176" s="4" t="str">
        <v>East</v>
      </c>
      <c r="N176" s="4" t="str">
        <v>Aug-2025</v>
      </c>
      <c r="O176" s="4">
        <v>57603</v>
      </c>
      <c r="P176" s="4">
        <v>6</v>
      </c>
      <c r="Q176" s="4">
        <v>41712.33</v>
      </c>
      <c r="S176" s="4" t="str">
        <v>ORD0052</v>
      </c>
      <c r="T176" s="4" t="str">
        <v>Keyboard</v>
      </c>
      <c r="U176" s="4" t="str">
        <v>Accessories</v>
      </c>
      <c r="V176" s="4" t="str">
        <v>West</v>
      </c>
      <c r="W176" s="4" t="str">
        <v>Oct-2025</v>
      </c>
      <c r="X176" s="4">
        <v>102468</v>
      </c>
      <c r="Y176" s="4">
        <v>11</v>
      </c>
      <c r="Z176" s="4">
        <v>61920.480000000003</v>
      </c>
    </row>
    <row r="177" spans="1:26" x14ac:dyDescent="0.3">
      <c r="A177" s="4" t="str">
        <v>ORD0232</v>
      </c>
      <c r="B177" s="4" t="str">
        <v>Headphones</v>
      </c>
      <c r="C177" s="4" t="str">
        <v>Accessories</v>
      </c>
      <c r="D177" s="4" t="str">
        <v>West</v>
      </c>
      <c r="E177" s="4" t="str">
        <v>Aug-2025</v>
      </c>
      <c r="F177" s="4">
        <v>127368</v>
      </c>
      <c r="G177" s="4">
        <v>8</v>
      </c>
      <c r="H177" s="4">
        <v>90208.47</v>
      </c>
      <c r="J177" s="4" t="str">
        <v>ORD0485</v>
      </c>
      <c r="K177" s="4" t="str">
        <v>Laptop</v>
      </c>
      <c r="L177" s="4" t="str">
        <v>Electronics</v>
      </c>
      <c r="M177" s="4" t="str">
        <v>North</v>
      </c>
      <c r="N177" s="4" t="str">
        <v>Jan-2025</v>
      </c>
      <c r="O177" s="4">
        <v>15319</v>
      </c>
      <c r="P177" s="4">
        <v>1</v>
      </c>
      <c r="Q177" s="4">
        <v>10488.07</v>
      </c>
      <c r="S177" s="4" t="str">
        <v>ORD0166</v>
      </c>
      <c r="T177" s="4" t="str">
        <v>Headphones</v>
      </c>
      <c r="U177" s="4" t="str">
        <v>Accessories</v>
      </c>
      <c r="V177" s="4" t="str">
        <v>South</v>
      </c>
      <c r="W177" s="4" t="str">
        <v>Jun-2025</v>
      </c>
      <c r="X177" s="4">
        <v>102461</v>
      </c>
      <c r="Y177" s="4">
        <v>4</v>
      </c>
      <c r="Z177" s="4">
        <v>65560.649999999994</v>
      </c>
    </row>
    <row r="178" spans="1:26" x14ac:dyDescent="0.3">
      <c r="A178" s="4" t="str">
        <v>ORD0233</v>
      </c>
      <c r="B178" s="4" t="str">
        <v>Laptop</v>
      </c>
      <c r="C178" s="4" t="str">
        <v>Electronics</v>
      </c>
      <c r="D178" s="4" t="str">
        <v>North</v>
      </c>
      <c r="E178" s="4" t="str">
        <v>Sep-2025</v>
      </c>
      <c r="F178" s="4">
        <v>59665</v>
      </c>
      <c r="G178" s="4">
        <v>5</v>
      </c>
      <c r="H178" s="4">
        <v>37502.22</v>
      </c>
      <c r="J178" s="4" t="str">
        <v>ORD0486</v>
      </c>
      <c r="K178" s="4" t="str">
        <v>Phone</v>
      </c>
      <c r="L178" s="4" t="str">
        <v>Electronics</v>
      </c>
      <c r="M178" s="4" t="str">
        <v>South</v>
      </c>
      <c r="N178" s="4" t="str">
        <v>Jun-2025</v>
      </c>
      <c r="O178" s="4">
        <v>20214</v>
      </c>
      <c r="P178" s="4">
        <v>7</v>
      </c>
      <c r="Q178" s="4">
        <v>14771.92</v>
      </c>
      <c r="S178" s="4" t="str">
        <v>ORD0461</v>
      </c>
      <c r="T178" s="4" t="str">
        <v>Mouse</v>
      </c>
      <c r="U178" s="4" t="str">
        <v>Accessories</v>
      </c>
      <c r="V178" s="4" t="str">
        <v>North</v>
      </c>
      <c r="W178" s="4" t="str">
        <v>Sep-2025</v>
      </c>
      <c r="X178" s="4">
        <v>102321</v>
      </c>
      <c r="Y178" s="4">
        <v>11</v>
      </c>
      <c r="Z178" s="4">
        <v>63274.97</v>
      </c>
    </row>
    <row r="179" spans="1:26" x14ac:dyDescent="0.3">
      <c r="A179" s="4" t="str">
        <v>ORD0235</v>
      </c>
      <c r="B179" s="4" t="str">
        <v>Mouse</v>
      </c>
      <c r="C179" s="4" t="str">
        <v>Accessories</v>
      </c>
      <c r="D179" s="4" t="str">
        <v>East</v>
      </c>
      <c r="E179" s="4" t="str">
        <v>May-2025</v>
      </c>
      <c r="F179" s="4">
        <v>71867</v>
      </c>
      <c r="G179" s="4">
        <v>6</v>
      </c>
      <c r="H179" s="4">
        <v>47242.25</v>
      </c>
      <c r="J179" s="4" t="str">
        <v>ORD0488</v>
      </c>
      <c r="K179" s="4" t="str">
        <v>Tablet</v>
      </c>
      <c r="L179" s="4" t="str">
        <v>Electronics</v>
      </c>
      <c r="M179" s="4" t="str">
        <v>West</v>
      </c>
      <c r="N179" s="4" t="str">
        <v>Oct-2025</v>
      </c>
      <c r="O179" s="4">
        <v>117425</v>
      </c>
      <c r="P179" s="4">
        <v>5</v>
      </c>
      <c r="Q179" s="4">
        <v>80955.8</v>
      </c>
      <c r="S179" s="4" t="str">
        <v>ORD0356</v>
      </c>
      <c r="T179" s="4" t="str">
        <v>Monitor</v>
      </c>
      <c r="U179" s="4" t="str">
        <v>Peripherals</v>
      </c>
      <c r="V179" s="4" t="str">
        <v>West</v>
      </c>
      <c r="W179" s="4" t="str">
        <v>Jun-2025</v>
      </c>
      <c r="X179" s="4">
        <v>102159</v>
      </c>
      <c r="Y179" s="4">
        <v>4</v>
      </c>
      <c r="Z179" s="4">
        <v>68140.02</v>
      </c>
    </row>
    <row r="180" spans="1:26" x14ac:dyDescent="0.3">
      <c r="A180" s="4" t="str">
        <v>ORD0237</v>
      </c>
      <c r="B180" s="4" t="str">
        <v>Tablet</v>
      </c>
      <c r="C180" s="4" t="str">
        <v>Electronics</v>
      </c>
      <c r="D180" s="4" t="str">
        <v>North</v>
      </c>
      <c r="E180" s="4" t="str">
        <v>Dec-2025</v>
      </c>
      <c r="F180" s="4">
        <v>98103</v>
      </c>
      <c r="G180" s="4">
        <v>9</v>
      </c>
      <c r="H180" s="4">
        <v>68736.160000000003</v>
      </c>
      <c r="J180" s="4" t="str">
        <v>ORD0489</v>
      </c>
      <c r="K180" s="4" t="str">
        <v>Laptop</v>
      </c>
      <c r="L180" s="4" t="str">
        <v>Electronics</v>
      </c>
      <c r="M180" s="4" t="str">
        <v>North</v>
      </c>
      <c r="N180" s="4" t="str">
        <v>Sep-2025</v>
      </c>
      <c r="O180" s="4">
        <v>106980</v>
      </c>
      <c r="P180" s="4">
        <v>14</v>
      </c>
      <c r="Q180" s="4">
        <v>67349.740000000005</v>
      </c>
      <c r="S180" s="4" t="str">
        <v>ORD0272</v>
      </c>
      <c r="T180" s="4" t="str">
        <v>Phone</v>
      </c>
      <c r="U180" s="4" t="str">
        <v>Electronics</v>
      </c>
      <c r="V180" s="4" t="str">
        <v>West</v>
      </c>
      <c r="W180" s="4" t="str">
        <v>Nov-2025</v>
      </c>
      <c r="X180" s="4">
        <v>101989</v>
      </c>
      <c r="Y180" s="4">
        <v>9</v>
      </c>
      <c r="Z180" s="4">
        <v>67101.009999999995</v>
      </c>
    </row>
    <row r="181" spans="1:26" x14ac:dyDescent="0.3">
      <c r="A181" s="4" t="str">
        <v>ORD0239</v>
      </c>
      <c r="B181" s="4" t="str">
        <v>Monitor</v>
      </c>
      <c r="C181" s="4" t="str">
        <v>Peripherals</v>
      </c>
      <c r="D181" s="4" t="str">
        <v>East</v>
      </c>
      <c r="E181" s="4" t="str">
        <v>Jan-2025</v>
      </c>
      <c r="F181" s="4">
        <v>101934</v>
      </c>
      <c r="G181" s="4">
        <v>3</v>
      </c>
      <c r="H181" s="4">
        <v>72915.759999999995</v>
      </c>
      <c r="J181" s="4" t="str">
        <v>ORD0492</v>
      </c>
      <c r="K181" s="4" t="str">
        <v>Tablet</v>
      </c>
      <c r="L181" s="4" t="str">
        <v>Electronics</v>
      </c>
      <c r="M181" s="4" t="str">
        <v>West</v>
      </c>
      <c r="N181" s="4" t="str">
        <v>Mar-2025</v>
      </c>
      <c r="O181" s="4">
        <v>29764</v>
      </c>
      <c r="P181" s="4">
        <v>11</v>
      </c>
      <c r="Q181" s="4">
        <v>21549.21</v>
      </c>
      <c r="S181" s="4" t="str">
        <v>ORD0239</v>
      </c>
      <c r="T181" s="4" t="str">
        <v>Monitor</v>
      </c>
      <c r="U181" s="4" t="str">
        <v>Peripherals</v>
      </c>
      <c r="V181" s="4" t="str">
        <v>East</v>
      </c>
      <c r="W181" s="4" t="str">
        <v>Jan-2025</v>
      </c>
      <c r="X181" s="4">
        <v>101934</v>
      </c>
      <c r="Y181" s="4">
        <v>3</v>
      </c>
      <c r="Z181" s="4">
        <v>72915.759999999995</v>
      </c>
    </row>
    <row r="182" spans="1:26" x14ac:dyDescent="0.3">
      <c r="A182" s="4" t="str">
        <v>ORD0241</v>
      </c>
      <c r="B182" s="4" t="str">
        <v>Phone</v>
      </c>
      <c r="C182" s="4" t="str">
        <v>Electronics</v>
      </c>
      <c r="D182" s="4" t="str">
        <v>North</v>
      </c>
      <c r="E182" s="4" t="str">
        <v>Jun-2025</v>
      </c>
      <c r="F182" s="4">
        <v>133194</v>
      </c>
      <c r="G182" s="4">
        <v>4</v>
      </c>
      <c r="H182" s="4">
        <v>83671.64</v>
      </c>
      <c r="J182" s="4" t="str">
        <v>ORD0493</v>
      </c>
      <c r="K182" s="4" t="str">
        <v>Phone</v>
      </c>
      <c r="L182" s="4" t="str">
        <v>Electronics</v>
      </c>
      <c r="M182" s="4" t="str">
        <v>North</v>
      </c>
      <c r="N182" s="4" t="str">
        <v>Jul-2025</v>
      </c>
      <c r="O182" s="4">
        <v>35708</v>
      </c>
      <c r="P182" s="4">
        <v>2</v>
      </c>
      <c r="Q182" s="4">
        <v>26298.15</v>
      </c>
      <c r="S182" s="4" t="str">
        <v>ORD0344</v>
      </c>
      <c r="T182" s="4" t="str">
        <v>Laptop</v>
      </c>
      <c r="U182" s="4" t="str">
        <v>Electronics</v>
      </c>
      <c r="V182" s="4" t="str">
        <v>West</v>
      </c>
      <c r="W182" s="4" t="str">
        <v>Nov-2025</v>
      </c>
      <c r="X182" s="4">
        <v>101747</v>
      </c>
      <c r="Y182" s="4">
        <v>3</v>
      </c>
      <c r="Z182" s="4">
        <v>64737.38</v>
      </c>
    </row>
    <row r="183" spans="1:26" x14ac:dyDescent="0.3">
      <c r="A183" s="4" t="str">
        <v>ORD0242</v>
      </c>
      <c r="B183" s="4" t="str">
        <v>Phone</v>
      </c>
      <c r="C183" s="4" t="str">
        <v>Electronics</v>
      </c>
      <c r="D183" s="4" t="str">
        <v>South</v>
      </c>
      <c r="E183" s="4" t="str">
        <v>Jul-2025</v>
      </c>
      <c r="F183" s="4">
        <v>60884</v>
      </c>
      <c r="G183" s="4">
        <v>12</v>
      </c>
      <c r="H183" s="4">
        <v>44462.07</v>
      </c>
      <c r="J183" s="4" t="str">
        <v>ORD0494</v>
      </c>
      <c r="K183" s="4" t="str">
        <v>Tablet</v>
      </c>
      <c r="L183" s="4" t="str">
        <v>Electronics</v>
      </c>
      <c r="M183" s="4" t="str">
        <v>South</v>
      </c>
      <c r="N183" s="4" t="str">
        <v>Jan-2025</v>
      </c>
      <c r="O183" s="4">
        <v>22946</v>
      </c>
      <c r="P183" s="4">
        <v>9</v>
      </c>
      <c r="Q183" s="4">
        <v>15692.66</v>
      </c>
      <c r="S183" s="4" t="str">
        <v>ORD0371</v>
      </c>
      <c r="T183" s="4" t="str">
        <v>Keyboard</v>
      </c>
      <c r="U183" s="4" t="str">
        <v>Accessories</v>
      </c>
      <c r="V183" s="4" t="str">
        <v>East</v>
      </c>
      <c r="W183" s="4" t="str">
        <v>Jan-2025</v>
      </c>
      <c r="X183" s="4">
        <v>101262</v>
      </c>
      <c r="Y183" s="4">
        <v>11</v>
      </c>
      <c r="Z183" s="4">
        <v>72135.81</v>
      </c>
    </row>
    <row r="184" spans="1:26" x14ac:dyDescent="0.3">
      <c r="A184" s="4" t="str">
        <v>ORD0243</v>
      </c>
      <c r="B184" s="4" t="str">
        <v>Printer</v>
      </c>
      <c r="C184" s="4" t="str">
        <v>Peripherals</v>
      </c>
      <c r="D184" s="4" t="str">
        <v>East</v>
      </c>
      <c r="E184" s="4" t="str">
        <v>Mar-2025</v>
      </c>
      <c r="F184" s="4">
        <v>144850</v>
      </c>
      <c r="G184" s="4">
        <v>10</v>
      </c>
      <c r="H184" s="4">
        <v>92291.42</v>
      </c>
      <c r="J184" s="4" t="str">
        <v>ORD0497</v>
      </c>
      <c r="K184" s="4" t="str">
        <v>Laptop</v>
      </c>
      <c r="L184" s="4" t="str">
        <v>Electronics</v>
      </c>
      <c r="M184" s="4" t="str">
        <v>North</v>
      </c>
      <c r="N184" s="4" t="str">
        <v>Aug-2025</v>
      </c>
      <c r="O184" s="4">
        <v>118058</v>
      </c>
      <c r="P184" s="4">
        <v>12</v>
      </c>
      <c r="Q184" s="4">
        <v>86655.58</v>
      </c>
      <c r="S184" s="4" t="str">
        <v>ORD0376</v>
      </c>
      <c r="T184" s="4" t="str">
        <v>Phone</v>
      </c>
      <c r="U184" s="4" t="str">
        <v>Electronics</v>
      </c>
      <c r="V184" s="4" t="str">
        <v>West</v>
      </c>
      <c r="W184" s="4" t="str">
        <v>Mar-2025</v>
      </c>
      <c r="X184" s="4">
        <v>101085</v>
      </c>
      <c r="Y184" s="4">
        <v>9</v>
      </c>
      <c r="Z184" s="4">
        <v>67488.37</v>
      </c>
    </row>
    <row r="185" spans="1:26" x14ac:dyDescent="0.3">
      <c r="A185" s="4" t="str">
        <v>ORD0244</v>
      </c>
      <c r="B185" s="4" t="str">
        <v>Printer</v>
      </c>
      <c r="C185" s="4" t="str">
        <v>Peripherals</v>
      </c>
      <c r="D185" s="4" t="str">
        <v>West</v>
      </c>
      <c r="E185" s="4" t="str">
        <v>Oct-2025</v>
      </c>
      <c r="F185" s="4">
        <v>86230</v>
      </c>
      <c r="G185" s="4">
        <v>11</v>
      </c>
      <c r="H185" s="4">
        <v>56818.99</v>
      </c>
      <c r="J185" s="4" t="str">
        <v>ORD0498</v>
      </c>
      <c r="K185" s="4" t="str">
        <v>Tablet</v>
      </c>
      <c r="L185" s="4" t="str">
        <v>Electronics</v>
      </c>
      <c r="M185" s="4" t="str">
        <v>South</v>
      </c>
      <c r="N185" s="4" t="str">
        <v>Mar-2025</v>
      </c>
      <c r="O185" s="4">
        <v>142910</v>
      </c>
      <c r="P185" s="4">
        <v>15</v>
      </c>
      <c r="Q185" s="4">
        <v>106372.09</v>
      </c>
      <c r="S185" s="4" t="str">
        <v>ORD0101</v>
      </c>
      <c r="T185" s="4" t="str">
        <v>Monitor</v>
      </c>
      <c r="U185" s="4" t="str">
        <v>Peripherals</v>
      </c>
      <c r="V185" s="4" t="str">
        <v>North</v>
      </c>
      <c r="W185" s="4" t="str">
        <v>Dec-2025</v>
      </c>
      <c r="X185" s="4">
        <v>100468</v>
      </c>
      <c r="Y185" s="4">
        <v>3</v>
      </c>
      <c r="Z185" s="4">
        <v>71782.720000000001</v>
      </c>
    </row>
    <row r="186" spans="1:26" x14ac:dyDescent="0.3">
      <c r="A186" s="4" t="str">
        <v>ORD0247</v>
      </c>
      <c r="B186" s="4" t="str">
        <v>Tablet</v>
      </c>
      <c r="C186" s="4" t="str">
        <v>Electronics</v>
      </c>
      <c r="D186" s="4" t="str">
        <v>East</v>
      </c>
      <c r="E186" s="4" t="str">
        <v>Apr-2025</v>
      </c>
      <c r="F186" s="4">
        <v>130799</v>
      </c>
      <c r="G186" s="4">
        <v>3</v>
      </c>
      <c r="H186" s="4">
        <v>94451.56</v>
      </c>
      <c r="J186" s="4" t="str">
        <v>ORD0500</v>
      </c>
      <c r="K186" s="4" t="str">
        <v>Phone</v>
      </c>
      <c r="L186" s="4" t="str">
        <v>Electronics</v>
      </c>
      <c r="M186" s="4" t="str">
        <v>West</v>
      </c>
      <c r="N186" s="4" t="str">
        <v>Jan-2025</v>
      </c>
      <c r="O186" s="4">
        <v>130327</v>
      </c>
      <c r="P186" s="4">
        <v>15</v>
      </c>
      <c r="Q186" s="4">
        <v>91928.02</v>
      </c>
      <c r="S186" s="4" t="str">
        <v>ORD0373</v>
      </c>
      <c r="T186" s="4" t="str">
        <v>Monitor</v>
      </c>
      <c r="U186" s="4" t="str">
        <v>Peripherals</v>
      </c>
      <c r="V186" s="4" t="str">
        <v>North</v>
      </c>
      <c r="W186" s="4" t="str">
        <v>Apr-2025</v>
      </c>
      <c r="X186" s="4">
        <v>100019</v>
      </c>
      <c r="Y186" s="4">
        <v>1</v>
      </c>
      <c r="Z186" s="4">
        <v>62625.84</v>
      </c>
    </row>
    <row r="187" spans="1:26" x14ac:dyDescent="0.3">
      <c r="A187" s="4" t="str">
        <v>ORD0248</v>
      </c>
      <c r="B187" s="4" t="str">
        <v>Tablet</v>
      </c>
      <c r="C187" s="4" t="str">
        <v>Electronics</v>
      </c>
      <c r="D187" s="4" t="str">
        <v>West</v>
      </c>
      <c r="E187" s="4" t="str">
        <v>Jan-2025</v>
      </c>
      <c r="F187" s="4">
        <v>66328</v>
      </c>
      <c r="G187" s="4">
        <v>12</v>
      </c>
      <c r="H187" s="4">
        <v>40581.769999999997</v>
      </c>
      <c r="S187" s="4" t="str">
        <v>ORD0418</v>
      </c>
      <c r="T187" s="4" t="str">
        <v>Mouse</v>
      </c>
      <c r="U187" s="4" t="str">
        <v>Accessories</v>
      </c>
      <c r="V187" s="4" t="str">
        <v>South</v>
      </c>
      <c r="W187" s="4" t="str">
        <v>Apr-2025</v>
      </c>
      <c r="X187" s="4">
        <v>99874</v>
      </c>
      <c r="Y187" s="4">
        <v>8</v>
      </c>
      <c r="Z187" s="4">
        <v>63101.95</v>
      </c>
    </row>
    <row r="188" spans="1:26" x14ac:dyDescent="0.3">
      <c r="A188" s="4" t="str">
        <v>ORD0249</v>
      </c>
      <c r="B188" s="4" t="str">
        <v>Headphones</v>
      </c>
      <c r="C188" s="4" t="str">
        <v>Accessories</v>
      </c>
      <c r="D188" s="4" t="str">
        <v>North</v>
      </c>
      <c r="E188" s="4" t="str">
        <v>Jul-2025</v>
      </c>
      <c r="F188" s="4">
        <v>50267</v>
      </c>
      <c r="G188" s="4">
        <v>15</v>
      </c>
      <c r="H188" s="4">
        <v>30775.22</v>
      </c>
      <c r="S188" s="4" t="str">
        <v>ORD0395</v>
      </c>
      <c r="T188" s="4" t="str">
        <v>Keyboard</v>
      </c>
      <c r="U188" s="4" t="str">
        <v>Accessories</v>
      </c>
      <c r="V188" s="4" t="str">
        <v>East</v>
      </c>
      <c r="W188" s="4" t="str">
        <v>Jan-2025</v>
      </c>
      <c r="X188" s="4">
        <v>99460</v>
      </c>
      <c r="Y188" s="4">
        <v>6</v>
      </c>
      <c r="Z188" s="4">
        <v>66564.789999999994</v>
      </c>
    </row>
    <row r="189" spans="1:26" x14ac:dyDescent="0.3">
      <c r="A189" s="4" t="str">
        <v>ORD0256</v>
      </c>
      <c r="B189" s="4" t="str">
        <v>Mouse</v>
      </c>
      <c r="C189" s="4" t="str">
        <v>Accessories</v>
      </c>
      <c r="D189" s="4" t="str">
        <v>West</v>
      </c>
      <c r="E189" s="4" t="str">
        <v>Mar-2025</v>
      </c>
      <c r="F189" s="4">
        <v>135557</v>
      </c>
      <c r="G189" s="4">
        <v>4</v>
      </c>
      <c r="H189" s="4">
        <v>86786.41</v>
      </c>
      <c r="S189" s="4" t="str">
        <v>ORD0048</v>
      </c>
      <c r="T189" s="4" t="str">
        <v>Monitor</v>
      </c>
      <c r="U189" s="4" t="str">
        <v>Peripherals</v>
      </c>
      <c r="V189" s="4" t="str">
        <v>West</v>
      </c>
      <c r="W189" s="4" t="str">
        <v>Mar-2025</v>
      </c>
      <c r="X189" s="4">
        <v>98116</v>
      </c>
      <c r="Y189" s="4">
        <v>1</v>
      </c>
      <c r="Z189" s="4">
        <v>67738.7</v>
      </c>
    </row>
    <row r="190" spans="1:26" x14ac:dyDescent="0.3">
      <c r="A190" s="4" t="str">
        <v>ORD0257</v>
      </c>
      <c r="B190" s="4" t="str">
        <v>Phone</v>
      </c>
      <c r="C190" s="4" t="str">
        <v>Electronics</v>
      </c>
      <c r="D190" s="4" t="str">
        <v>North</v>
      </c>
      <c r="E190" s="4" t="str">
        <v>Apr-2025</v>
      </c>
      <c r="F190" s="4">
        <v>60732</v>
      </c>
      <c r="G190" s="4">
        <v>6</v>
      </c>
      <c r="H190" s="4">
        <v>40329.800000000003</v>
      </c>
      <c r="S190" s="4" t="str">
        <v>ORD0237</v>
      </c>
      <c r="T190" s="4" t="str">
        <v>Tablet</v>
      </c>
      <c r="U190" s="4" t="str">
        <v>Electronics</v>
      </c>
      <c r="V190" s="4" t="str">
        <v>North</v>
      </c>
      <c r="W190" s="4" t="str">
        <v>Dec-2025</v>
      </c>
      <c r="X190" s="4">
        <v>98103</v>
      </c>
      <c r="Y190" s="4">
        <v>9</v>
      </c>
      <c r="Z190" s="4">
        <v>68736.160000000003</v>
      </c>
    </row>
    <row r="191" spans="1:26" x14ac:dyDescent="0.3">
      <c r="A191" s="4" t="str">
        <v>ORD0258</v>
      </c>
      <c r="B191" s="4" t="str">
        <v>Monitor</v>
      </c>
      <c r="C191" s="4" t="str">
        <v>Peripherals</v>
      </c>
      <c r="D191" s="4" t="str">
        <v>South</v>
      </c>
      <c r="E191" s="4" t="str">
        <v>Feb-2025</v>
      </c>
      <c r="F191" s="4">
        <v>66200</v>
      </c>
      <c r="G191" s="4">
        <v>15</v>
      </c>
      <c r="H191" s="4">
        <v>40921.07</v>
      </c>
      <c r="S191" s="4" t="str">
        <v>ORD0445</v>
      </c>
      <c r="T191" s="4" t="str">
        <v>Monitor</v>
      </c>
      <c r="U191" s="4" t="str">
        <v>Peripherals</v>
      </c>
      <c r="V191" s="4" t="str">
        <v>North</v>
      </c>
      <c r="W191" s="4" t="str">
        <v>Jul-2025</v>
      </c>
      <c r="X191" s="4">
        <v>97198</v>
      </c>
      <c r="Y191" s="4">
        <v>7</v>
      </c>
      <c r="Z191" s="4">
        <v>58969.2</v>
      </c>
    </row>
    <row r="192" spans="1:26" x14ac:dyDescent="0.3">
      <c r="A192" s="4" t="str">
        <v>ORD0259</v>
      </c>
      <c r="B192" s="4" t="str">
        <v>Mouse</v>
      </c>
      <c r="C192" s="4" t="str">
        <v>Accessories</v>
      </c>
      <c r="D192" s="4" t="str">
        <v>East</v>
      </c>
      <c r="E192" s="4" t="str">
        <v>May-2025</v>
      </c>
      <c r="F192" s="4">
        <v>123040</v>
      </c>
      <c r="G192" s="4">
        <v>7</v>
      </c>
      <c r="H192" s="4">
        <v>79699.58</v>
      </c>
      <c r="S192" s="4" t="str">
        <v>ORD0142</v>
      </c>
      <c r="T192" s="4" t="str">
        <v>Phone</v>
      </c>
      <c r="U192" s="4" t="str">
        <v>Electronics</v>
      </c>
      <c r="V192" s="4" t="str">
        <v>South</v>
      </c>
      <c r="W192" s="4" t="str">
        <v>Dec-2025</v>
      </c>
      <c r="X192" s="4">
        <v>96555</v>
      </c>
      <c r="Y192" s="4">
        <v>5</v>
      </c>
      <c r="Z192" s="4">
        <v>62385.279999999999</v>
      </c>
    </row>
    <row r="193" spans="1:26" x14ac:dyDescent="0.3">
      <c r="A193" s="4" t="str">
        <v>ORD0260</v>
      </c>
      <c r="B193" s="4" t="str">
        <v>Phone</v>
      </c>
      <c r="C193" s="4" t="str">
        <v>Electronics</v>
      </c>
      <c r="D193" s="4" t="str">
        <v>West</v>
      </c>
      <c r="E193" s="4" t="str">
        <v>Apr-2025</v>
      </c>
      <c r="F193" s="4">
        <v>50236</v>
      </c>
      <c r="G193" s="4">
        <v>14</v>
      </c>
      <c r="H193" s="4">
        <v>37575.339999999997</v>
      </c>
      <c r="S193" s="4" t="str">
        <v>ORD0391</v>
      </c>
      <c r="T193" s="4" t="str">
        <v>Keyboard</v>
      </c>
      <c r="U193" s="4" t="str">
        <v>Accessories</v>
      </c>
      <c r="V193" s="4" t="str">
        <v>East</v>
      </c>
      <c r="W193" s="4" t="str">
        <v>Sep-2025</v>
      </c>
      <c r="X193" s="4">
        <v>96444</v>
      </c>
      <c r="Y193" s="4">
        <v>3</v>
      </c>
      <c r="Z193" s="4">
        <v>70063.63</v>
      </c>
    </row>
    <row r="194" spans="1:26" x14ac:dyDescent="0.3">
      <c r="A194" s="4" t="str">
        <v>ORD0261</v>
      </c>
      <c r="B194" s="4" t="str">
        <v>Mouse</v>
      </c>
      <c r="C194" s="4" t="str">
        <v>Accessories</v>
      </c>
      <c r="D194" s="4" t="str">
        <v>North</v>
      </c>
      <c r="E194" s="4" t="str">
        <v>Oct-2025</v>
      </c>
      <c r="F194" s="4">
        <v>111328</v>
      </c>
      <c r="G194" s="4">
        <v>15</v>
      </c>
      <c r="H194" s="4">
        <v>69519.3</v>
      </c>
      <c r="S194" s="4" t="str">
        <v>ORD0067</v>
      </c>
      <c r="T194" s="4" t="str">
        <v>Keyboard</v>
      </c>
      <c r="U194" s="4" t="str">
        <v>Accessories</v>
      </c>
      <c r="V194" s="4" t="str">
        <v>East</v>
      </c>
      <c r="W194" s="4" t="str">
        <v>Jun-2025</v>
      </c>
      <c r="X194" s="4">
        <v>96106</v>
      </c>
      <c r="Y194" s="4">
        <v>4</v>
      </c>
      <c r="Z194" s="4">
        <v>65435.62</v>
      </c>
    </row>
    <row r="195" spans="1:26" x14ac:dyDescent="0.3">
      <c r="A195" s="4" t="str">
        <v>ORD0262</v>
      </c>
      <c r="B195" s="4" t="str">
        <v>Phone</v>
      </c>
      <c r="C195" s="4" t="str">
        <v>Electronics</v>
      </c>
      <c r="D195" s="4" t="str">
        <v>South</v>
      </c>
      <c r="E195" s="4" t="str">
        <v>Dec-2025</v>
      </c>
      <c r="F195" s="4">
        <v>92605</v>
      </c>
      <c r="G195" s="4">
        <v>2</v>
      </c>
      <c r="H195" s="4">
        <v>58814.77</v>
      </c>
      <c r="S195" s="4" t="str">
        <v>ORD0366</v>
      </c>
      <c r="T195" s="4" t="str">
        <v>Headphones</v>
      </c>
      <c r="U195" s="4" t="str">
        <v>Accessories</v>
      </c>
      <c r="V195" s="4" t="str">
        <v>South</v>
      </c>
      <c r="W195" s="4" t="str">
        <v>Oct-2025</v>
      </c>
      <c r="X195" s="4">
        <v>95361</v>
      </c>
      <c r="Y195" s="4">
        <v>13</v>
      </c>
      <c r="Z195" s="4">
        <v>61317.13</v>
      </c>
    </row>
    <row r="196" spans="1:26" x14ac:dyDescent="0.3">
      <c r="A196" s="4" t="str">
        <v>ORD0263</v>
      </c>
      <c r="B196" s="4" t="str">
        <v>Monitor</v>
      </c>
      <c r="C196" s="4" t="str">
        <v>Peripherals</v>
      </c>
      <c r="D196" s="4" t="str">
        <v>East</v>
      </c>
      <c r="E196" s="4" t="str">
        <v>May-2025</v>
      </c>
      <c r="F196" s="4">
        <v>69795</v>
      </c>
      <c r="G196" s="4">
        <v>6</v>
      </c>
      <c r="H196" s="4">
        <v>49830.67</v>
      </c>
      <c r="S196" s="4" t="str">
        <v>ORD0280</v>
      </c>
      <c r="T196" s="4" t="str">
        <v>Laptop</v>
      </c>
      <c r="U196" s="4" t="str">
        <v>Electronics</v>
      </c>
      <c r="V196" s="4" t="str">
        <v>West</v>
      </c>
      <c r="W196" s="4" t="str">
        <v>Nov-2025</v>
      </c>
      <c r="X196" s="4">
        <v>95096</v>
      </c>
      <c r="Y196" s="4">
        <v>10</v>
      </c>
      <c r="Z196" s="4">
        <v>60057.84</v>
      </c>
    </row>
    <row r="197" spans="1:26" x14ac:dyDescent="0.3">
      <c r="A197" s="4" t="str">
        <v>ORD0265</v>
      </c>
      <c r="B197" s="4" t="str">
        <v>Tablet</v>
      </c>
      <c r="C197" s="4" t="str">
        <v>Electronics</v>
      </c>
      <c r="D197" s="4" t="str">
        <v>North</v>
      </c>
      <c r="E197" s="4" t="str">
        <v>Feb-2025</v>
      </c>
      <c r="F197" s="4">
        <v>128523</v>
      </c>
      <c r="G197" s="4">
        <v>6</v>
      </c>
      <c r="H197" s="4">
        <v>84020.14</v>
      </c>
      <c r="S197" s="4" t="str">
        <v>ORD0062</v>
      </c>
      <c r="T197" s="4" t="str">
        <v>Tablet</v>
      </c>
      <c r="U197" s="4" t="str">
        <v>Electronics</v>
      </c>
      <c r="V197" s="4" t="str">
        <v>South</v>
      </c>
      <c r="W197" s="4" t="str">
        <v>Dec-2025</v>
      </c>
      <c r="X197" s="4">
        <v>94839</v>
      </c>
      <c r="Y197" s="4">
        <v>12</v>
      </c>
      <c r="Z197" s="4">
        <v>63674.81</v>
      </c>
    </row>
    <row r="198" spans="1:26" x14ac:dyDescent="0.3">
      <c r="A198" s="4" t="str">
        <v>ORD0266</v>
      </c>
      <c r="B198" s="4" t="str">
        <v>Headphones</v>
      </c>
      <c r="C198" s="4" t="str">
        <v>Accessories</v>
      </c>
      <c r="D198" s="4" t="str">
        <v>South</v>
      </c>
      <c r="E198" s="4" t="str">
        <v>Jul-2025</v>
      </c>
      <c r="F198" s="4">
        <v>74179</v>
      </c>
      <c r="G198" s="4">
        <v>11</v>
      </c>
      <c r="H198" s="4">
        <v>54967.43</v>
      </c>
      <c r="S198" s="4" t="str">
        <v>ORD0459</v>
      </c>
      <c r="T198" s="4" t="str">
        <v>Phone</v>
      </c>
      <c r="U198" s="4" t="str">
        <v>Electronics</v>
      </c>
      <c r="V198" s="4" t="str">
        <v>East</v>
      </c>
      <c r="W198" s="4" t="str">
        <v>Nov-2025</v>
      </c>
      <c r="X198" s="4">
        <v>94773</v>
      </c>
      <c r="Y198" s="4">
        <v>1</v>
      </c>
      <c r="Z198" s="4">
        <v>66962.89</v>
      </c>
    </row>
    <row r="199" spans="1:26" x14ac:dyDescent="0.3">
      <c r="A199" s="4" t="str">
        <v>ORD0267</v>
      </c>
      <c r="B199" s="4" t="str">
        <v>Headphones</v>
      </c>
      <c r="C199" s="4" t="str">
        <v>Accessories</v>
      </c>
      <c r="D199" s="4" t="str">
        <v>East</v>
      </c>
      <c r="E199" s="4" t="str">
        <v>Dec-2025</v>
      </c>
      <c r="F199" s="4">
        <v>130703</v>
      </c>
      <c r="G199" s="4">
        <v>15</v>
      </c>
      <c r="H199" s="4">
        <v>94817.86</v>
      </c>
      <c r="S199" s="4" t="str">
        <v>ORD0084</v>
      </c>
      <c r="T199" s="4" t="str">
        <v>Mouse</v>
      </c>
      <c r="U199" s="4" t="str">
        <v>Accessories</v>
      </c>
      <c r="V199" s="4" t="str">
        <v>West</v>
      </c>
      <c r="W199" s="4" t="str">
        <v>Nov-2025</v>
      </c>
      <c r="X199" s="4">
        <v>94636</v>
      </c>
      <c r="Y199" s="4">
        <v>1</v>
      </c>
      <c r="Z199" s="4">
        <v>58549.77</v>
      </c>
    </row>
    <row r="200" spans="1:26" x14ac:dyDescent="0.3">
      <c r="A200" s="4" t="str">
        <v>ORD0268</v>
      </c>
      <c r="B200" s="4" t="str">
        <v>Tablet</v>
      </c>
      <c r="C200" s="4" t="str">
        <v>Electronics</v>
      </c>
      <c r="D200" s="4" t="str">
        <v>West</v>
      </c>
      <c r="E200" s="4" t="str">
        <v>Feb-2025</v>
      </c>
      <c r="F200" s="4">
        <v>76106</v>
      </c>
      <c r="G200" s="4">
        <v>6</v>
      </c>
      <c r="H200" s="4">
        <v>54268.79</v>
      </c>
      <c r="S200" s="4" t="str">
        <v>ORD0436</v>
      </c>
      <c r="T200" s="4" t="str">
        <v>Printer</v>
      </c>
      <c r="U200" s="4" t="str">
        <v>Peripherals</v>
      </c>
      <c r="V200" s="4" t="str">
        <v>West</v>
      </c>
      <c r="W200" s="4" t="str">
        <v>Oct-2025</v>
      </c>
      <c r="X200" s="4">
        <v>94340</v>
      </c>
      <c r="Y200" s="4">
        <v>12</v>
      </c>
      <c r="Z200" s="4">
        <v>70078.8</v>
      </c>
    </row>
    <row r="201" spans="1:26" x14ac:dyDescent="0.3">
      <c r="A201" s="4" t="str">
        <v>ORD0270</v>
      </c>
      <c r="B201" s="4" t="str">
        <v>Monitor</v>
      </c>
      <c r="C201" s="4" t="str">
        <v>Peripherals</v>
      </c>
      <c r="D201" s="4" t="str">
        <v>South</v>
      </c>
      <c r="E201" s="4" t="str">
        <v>Nov-2025</v>
      </c>
      <c r="F201" s="4">
        <v>80354</v>
      </c>
      <c r="G201" s="4">
        <v>8</v>
      </c>
      <c r="H201" s="4">
        <v>54081.71</v>
      </c>
      <c r="S201" s="4" t="str">
        <v>ORD0435</v>
      </c>
      <c r="T201" s="4" t="str">
        <v>Mouse</v>
      </c>
      <c r="U201" s="4" t="str">
        <v>Accessories</v>
      </c>
      <c r="V201" s="4" t="str">
        <v>East</v>
      </c>
      <c r="W201" s="4" t="str">
        <v>Sep-2025</v>
      </c>
      <c r="X201" s="4">
        <v>94331</v>
      </c>
      <c r="Y201" s="4">
        <v>5</v>
      </c>
      <c r="Z201" s="4">
        <v>67245.09</v>
      </c>
    </row>
    <row r="202" spans="1:26" x14ac:dyDescent="0.3">
      <c r="A202" s="4" t="str">
        <v>ORD0272</v>
      </c>
      <c r="B202" s="4" t="str">
        <v>Phone</v>
      </c>
      <c r="C202" s="4" t="str">
        <v>Electronics</v>
      </c>
      <c r="D202" s="4" t="str">
        <v>West</v>
      </c>
      <c r="E202" s="4" t="str">
        <v>Nov-2025</v>
      </c>
      <c r="F202" s="4">
        <v>101989</v>
      </c>
      <c r="G202" s="4">
        <v>9</v>
      </c>
      <c r="H202" s="4">
        <v>67101.009999999995</v>
      </c>
      <c r="S202" s="4" t="str">
        <v>ORD0188</v>
      </c>
      <c r="T202" s="4" t="str">
        <v>Monitor</v>
      </c>
      <c r="U202" s="4" t="str">
        <v>Peripherals</v>
      </c>
      <c r="V202" s="4" t="str">
        <v>West</v>
      </c>
      <c r="W202" s="4" t="str">
        <v>Jul-2025</v>
      </c>
      <c r="X202" s="4">
        <v>94145</v>
      </c>
      <c r="Y202" s="4">
        <v>3</v>
      </c>
      <c r="Z202" s="4">
        <v>66561.72</v>
      </c>
    </row>
    <row r="203" spans="1:26" x14ac:dyDescent="0.3">
      <c r="A203" s="4" t="str">
        <v>ORD0273</v>
      </c>
      <c r="B203" s="4" t="str">
        <v>Phone</v>
      </c>
      <c r="C203" s="4" t="str">
        <v>Electronics</v>
      </c>
      <c r="D203" s="4" t="str">
        <v>North</v>
      </c>
      <c r="E203" s="4" t="str">
        <v>May-2025</v>
      </c>
      <c r="F203" s="4">
        <v>116122</v>
      </c>
      <c r="G203" s="4">
        <v>10</v>
      </c>
      <c r="H203" s="4">
        <v>76936.47</v>
      </c>
      <c r="S203" s="4" t="str">
        <v>ORD0117</v>
      </c>
      <c r="T203" s="4" t="str">
        <v>Headphones</v>
      </c>
      <c r="U203" s="4" t="str">
        <v>Accessories</v>
      </c>
      <c r="V203" s="4" t="str">
        <v>North</v>
      </c>
      <c r="W203" s="4" t="str">
        <v>Mar-2025</v>
      </c>
      <c r="X203" s="4">
        <v>93854</v>
      </c>
      <c r="Y203" s="4">
        <v>3</v>
      </c>
      <c r="Z203" s="4">
        <v>64435.28</v>
      </c>
    </row>
    <row r="204" spans="1:26" x14ac:dyDescent="0.3">
      <c r="A204" s="4" t="str">
        <v>ORD0274</v>
      </c>
      <c r="B204" s="4" t="str">
        <v>Headphones</v>
      </c>
      <c r="C204" s="4" t="str">
        <v>Accessories</v>
      </c>
      <c r="D204" s="4" t="str">
        <v>South</v>
      </c>
      <c r="E204" s="4" t="str">
        <v>Apr-2025</v>
      </c>
      <c r="F204" s="4">
        <v>91410</v>
      </c>
      <c r="G204" s="4">
        <v>15</v>
      </c>
      <c r="H204" s="4">
        <v>67839.77</v>
      </c>
      <c r="S204" s="4" t="str">
        <v>ORD0019</v>
      </c>
      <c r="T204" s="4" t="str">
        <v>Headphones</v>
      </c>
      <c r="U204" s="4" t="str">
        <v>Accessories</v>
      </c>
      <c r="V204" s="4" t="str">
        <v>East</v>
      </c>
      <c r="W204" s="4" t="str">
        <v>Mar-2025</v>
      </c>
      <c r="X204" s="4">
        <v>93793</v>
      </c>
      <c r="Y204" s="4">
        <v>11</v>
      </c>
      <c r="Z204" s="4">
        <v>61845.85</v>
      </c>
    </row>
    <row r="205" spans="1:26" x14ac:dyDescent="0.3">
      <c r="A205" s="4" t="str">
        <v>ORD0275</v>
      </c>
      <c r="B205" s="4" t="str">
        <v>Phone</v>
      </c>
      <c r="C205" s="4" t="str">
        <v>Electronics</v>
      </c>
      <c r="D205" s="4" t="str">
        <v>East</v>
      </c>
      <c r="E205" s="4" t="str">
        <v>Jun-2025</v>
      </c>
      <c r="F205" s="4">
        <v>126910</v>
      </c>
      <c r="G205" s="4">
        <v>15</v>
      </c>
      <c r="H205" s="4">
        <v>87362.2</v>
      </c>
      <c r="S205" s="4" t="str">
        <v>ORD0425</v>
      </c>
      <c r="T205" s="4" t="str">
        <v>Keyboard</v>
      </c>
      <c r="U205" s="4" t="str">
        <v>Accessories</v>
      </c>
      <c r="V205" s="4" t="str">
        <v>North</v>
      </c>
      <c r="W205" s="4" t="str">
        <v>Oct-2025</v>
      </c>
      <c r="X205" s="4">
        <v>93692</v>
      </c>
      <c r="Y205" s="4">
        <v>4</v>
      </c>
      <c r="Z205" s="4">
        <v>67637.16</v>
      </c>
    </row>
    <row r="206" spans="1:26" x14ac:dyDescent="0.3">
      <c r="A206" s="4" t="str">
        <v>ORD0277</v>
      </c>
      <c r="B206" s="4" t="str">
        <v>Keyboard</v>
      </c>
      <c r="C206" s="4" t="str">
        <v>Accessories</v>
      </c>
      <c r="D206" s="4" t="str">
        <v>North</v>
      </c>
      <c r="E206" s="4" t="str">
        <v>Mar-2025</v>
      </c>
      <c r="F206" s="4">
        <v>125208</v>
      </c>
      <c r="G206" s="4">
        <v>3</v>
      </c>
      <c r="H206" s="4">
        <v>87002.48</v>
      </c>
      <c r="S206" s="4" t="str">
        <v>ORD0212</v>
      </c>
      <c r="T206" s="4" t="str">
        <v>Keyboard</v>
      </c>
      <c r="U206" s="4" t="str">
        <v>Accessories</v>
      </c>
      <c r="V206" s="4" t="str">
        <v>West</v>
      </c>
      <c r="W206" s="4" t="str">
        <v>Feb-2025</v>
      </c>
      <c r="X206" s="4">
        <v>93375</v>
      </c>
      <c r="Y206" s="4">
        <v>11</v>
      </c>
      <c r="Z206" s="4">
        <v>58192.800000000003</v>
      </c>
    </row>
    <row r="207" spans="1:26" x14ac:dyDescent="0.3">
      <c r="A207" s="4" t="str">
        <v>ORD0278</v>
      </c>
      <c r="B207" s="4" t="str">
        <v>Laptop</v>
      </c>
      <c r="C207" s="4" t="str">
        <v>Electronics</v>
      </c>
      <c r="D207" s="4" t="str">
        <v>South</v>
      </c>
      <c r="E207" s="4" t="str">
        <v>Oct-2025</v>
      </c>
      <c r="F207" s="4">
        <v>88177</v>
      </c>
      <c r="G207" s="4">
        <v>4</v>
      </c>
      <c r="H207" s="4">
        <v>57671.24</v>
      </c>
      <c r="S207" s="4" t="str">
        <v>ORD0114</v>
      </c>
      <c r="T207" s="4" t="str">
        <v>Monitor</v>
      </c>
      <c r="U207" s="4" t="str">
        <v>Peripherals</v>
      </c>
      <c r="V207" s="4" t="str">
        <v>South</v>
      </c>
      <c r="W207" s="4" t="str">
        <v>Apr-2025</v>
      </c>
      <c r="X207" s="4">
        <v>93366</v>
      </c>
      <c r="Y207" s="4">
        <v>5</v>
      </c>
      <c r="Z207" s="4">
        <v>59145.34</v>
      </c>
    </row>
    <row r="208" spans="1:26" x14ac:dyDescent="0.3">
      <c r="A208" s="4" t="str">
        <v>ORD0279</v>
      </c>
      <c r="B208" s="4" t="str">
        <v>Phone</v>
      </c>
      <c r="C208" s="4" t="str">
        <v>Electronics</v>
      </c>
      <c r="D208" s="4" t="str">
        <v>East</v>
      </c>
      <c r="E208" s="4" t="str">
        <v>Jun-2025</v>
      </c>
      <c r="F208" s="4">
        <v>79500</v>
      </c>
      <c r="G208" s="4">
        <v>15</v>
      </c>
      <c r="H208" s="4">
        <v>57325.96</v>
      </c>
      <c r="S208" s="4" t="str">
        <v>ORD0103</v>
      </c>
      <c r="T208" s="4" t="str">
        <v>Tablet</v>
      </c>
      <c r="U208" s="4" t="str">
        <v>Electronics</v>
      </c>
      <c r="V208" s="4" t="str">
        <v>East</v>
      </c>
      <c r="W208" s="4" t="str">
        <v>Oct-2025</v>
      </c>
      <c r="X208" s="4">
        <v>93174</v>
      </c>
      <c r="Y208" s="4">
        <v>11</v>
      </c>
      <c r="Z208" s="4">
        <v>69553.19</v>
      </c>
    </row>
    <row r="209" spans="1:26" x14ac:dyDescent="0.3">
      <c r="A209" s="4" t="str">
        <v>ORD0280</v>
      </c>
      <c r="B209" s="4" t="str">
        <v>Laptop</v>
      </c>
      <c r="C209" s="4" t="str">
        <v>Electronics</v>
      </c>
      <c r="D209" s="4" t="str">
        <v>West</v>
      </c>
      <c r="E209" s="4" t="str">
        <v>Nov-2025</v>
      </c>
      <c r="F209" s="4">
        <v>95096</v>
      </c>
      <c r="G209" s="4">
        <v>10</v>
      </c>
      <c r="H209" s="4">
        <v>60057.84</v>
      </c>
      <c r="S209" s="4" t="str">
        <v>ORD0294</v>
      </c>
      <c r="T209" s="4" t="str">
        <v>Phone</v>
      </c>
      <c r="U209" s="4" t="str">
        <v>Electronics</v>
      </c>
      <c r="V209" s="4" t="str">
        <v>South</v>
      </c>
      <c r="W209" s="4" t="str">
        <v>May-2025</v>
      </c>
      <c r="X209" s="4">
        <v>92943</v>
      </c>
      <c r="Y209" s="4">
        <v>6</v>
      </c>
      <c r="Z209" s="4">
        <v>58727.360000000001</v>
      </c>
    </row>
    <row r="210" spans="1:26" x14ac:dyDescent="0.3">
      <c r="A210" s="4" t="str">
        <v>ORD0281</v>
      </c>
      <c r="B210" s="4" t="str">
        <v>Tablet</v>
      </c>
      <c r="C210" s="4" t="str">
        <v>Electronics</v>
      </c>
      <c r="D210" s="4" t="str">
        <v>North</v>
      </c>
      <c r="E210" s="4" t="str">
        <v>Sep-2025</v>
      </c>
      <c r="F210" s="4">
        <v>92510</v>
      </c>
      <c r="G210" s="4">
        <v>3</v>
      </c>
      <c r="H210" s="4">
        <v>61874.37</v>
      </c>
      <c r="S210" s="4" t="str">
        <v>ORD0077</v>
      </c>
      <c r="T210" s="4" t="str">
        <v>Tablet</v>
      </c>
      <c r="U210" s="4" t="str">
        <v>Electronics</v>
      </c>
      <c r="V210" s="4" t="str">
        <v>North</v>
      </c>
      <c r="W210" s="4" t="str">
        <v>Jul-2025</v>
      </c>
      <c r="X210" s="4">
        <v>92920</v>
      </c>
      <c r="Y210" s="4">
        <v>3</v>
      </c>
      <c r="Z210" s="4">
        <v>61948.18</v>
      </c>
    </row>
    <row r="211" spans="1:26" x14ac:dyDescent="0.3">
      <c r="A211" s="4" t="str">
        <v>ORD0282</v>
      </c>
      <c r="B211" s="4" t="str">
        <v>Monitor</v>
      </c>
      <c r="C211" s="4" t="str">
        <v>Peripherals</v>
      </c>
      <c r="D211" s="4" t="str">
        <v>South</v>
      </c>
      <c r="E211" s="4" t="str">
        <v>May-2025</v>
      </c>
      <c r="F211" s="4">
        <v>80085</v>
      </c>
      <c r="G211" s="4">
        <v>2</v>
      </c>
      <c r="H211" s="4">
        <v>54680.23</v>
      </c>
      <c r="S211" s="4" t="str">
        <v>ORD0262</v>
      </c>
      <c r="T211" s="4" t="str">
        <v>Phone</v>
      </c>
      <c r="U211" s="4" t="str">
        <v>Electronics</v>
      </c>
      <c r="V211" s="4" t="str">
        <v>South</v>
      </c>
      <c r="W211" s="4" t="str">
        <v>Dec-2025</v>
      </c>
      <c r="X211" s="4">
        <v>92605</v>
      </c>
      <c r="Y211" s="4">
        <v>2</v>
      </c>
      <c r="Z211" s="4">
        <v>58814.77</v>
      </c>
    </row>
    <row r="212" spans="1:26" x14ac:dyDescent="0.3">
      <c r="A212" s="4" t="str">
        <v>ORD0284</v>
      </c>
      <c r="B212" s="4" t="str">
        <v>Laptop</v>
      </c>
      <c r="C212" s="4" t="str">
        <v>Electronics</v>
      </c>
      <c r="D212" s="4" t="str">
        <v>West</v>
      </c>
      <c r="E212" s="4" t="str">
        <v>Jun-2025</v>
      </c>
      <c r="F212" s="4">
        <v>75551</v>
      </c>
      <c r="G212" s="4">
        <v>1</v>
      </c>
      <c r="H212" s="4">
        <v>56148.36</v>
      </c>
      <c r="S212" s="4" t="str">
        <v>ORD0281</v>
      </c>
      <c r="T212" s="4" t="str">
        <v>Tablet</v>
      </c>
      <c r="U212" s="4" t="str">
        <v>Electronics</v>
      </c>
      <c r="V212" s="4" t="str">
        <v>North</v>
      </c>
      <c r="W212" s="4" t="str">
        <v>Sep-2025</v>
      </c>
      <c r="X212" s="4">
        <v>92510</v>
      </c>
      <c r="Y212" s="4">
        <v>3</v>
      </c>
      <c r="Z212" s="4">
        <v>61874.37</v>
      </c>
    </row>
    <row r="213" spans="1:26" x14ac:dyDescent="0.3">
      <c r="A213" s="4" t="str">
        <v>ORD0285</v>
      </c>
      <c r="B213" s="4" t="str">
        <v>Mouse</v>
      </c>
      <c r="C213" s="4" t="str">
        <v>Accessories</v>
      </c>
      <c r="D213" s="4" t="str">
        <v>North</v>
      </c>
      <c r="E213" s="4" t="str">
        <v>Mar-2025</v>
      </c>
      <c r="F213" s="4">
        <v>110566</v>
      </c>
      <c r="G213" s="4">
        <v>3</v>
      </c>
      <c r="H213" s="4">
        <v>72736.850000000006</v>
      </c>
      <c r="S213" s="4" t="str">
        <v>ORD0341</v>
      </c>
      <c r="T213" s="4" t="str">
        <v>Headphones</v>
      </c>
      <c r="U213" s="4" t="str">
        <v>Accessories</v>
      </c>
      <c r="V213" s="4" t="str">
        <v>North</v>
      </c>
      <c r="W213" s="4" t="str">
        <v>Jan-2025</v>
      </c>
      <c r="X213" s="4">
        <v>92300</v>
      </c>
      <c r="Y213" s="4">
        <v>5</v>
      </c>
      <c r="Z213" s="4">
        <v>62078.7</v>
      </c>
    </row>
    <row r="214" spans="1:26" x14ac:dyDescent="0.3">
      <c r="A214" s="4" t="str">
        <v>ORD0288</v>
      </c>
      <c r="B214" s="4" t="str">
        <v>Keyboard</v>
      </c>
      <c r="C214" s="4" t="str">
        <v>Accessories</v>
      </c>
      <c r="D214" s="4" t="str">
        <v>West</v>
      </c>
      <c r="E214" s="4" t="str">
        <v>Dec-2025</v>
      </c>
      <c r="F214" s="4">
        <v>144979</v>
      </c>
      <c r="G214" s="4">
        <v>11</v>
      </c>
      <c r="H214" s="4">
        <v>92858.62</v>
      </c>
      <c r="S214" s="4" t="str">
        <v>ORD0140</v>
      </c>
      <c r="T214" s="4" t="str">
        <v>Printer</v>
      </c>
      <c r="U214" s="4" t="str">
        <v>Peripherals</v>
      </c>
      <c r="V214" s="4" t="str">
        <v>West</v>
      </c>
      <c r="W214" s="4" t="str">
        <v>May-2025</v>
      </c>
      <c r="X214" s="4">
        <v>92222</v>
      </c>
      <c r="Y214" s="4">
        <v>8</v>
      </c>
      <c r="Z214" s="4">
        <v>62119.32</v>
      </c>
    </row>
    <row r="215" spans="1:26" x14ac:dyDescent="0.3">
      <c r="A215" s="4" t="str">
        <v>ORD0289</v>
      </c>
      <c r="B215" s="4" t="str">
        <v>Printer</v>
      </c>
      <c r="C215" s="4" t="str">
        <v>Peripherals</v>
      </c>
      <c r="D215" s="4" t="str">
        <v>North</v>
      </c>
      <c r="E215" s="4" t="str">
        <v>Nov-2025</v>
      </c>
      <c r="F215" s="4">
        <v>123293</v>
      </c>
      <c r="G215" s="4">
        <v>1</v>
      </c>
      <c r="H215" s="4">
        <v>91778.58</v>
      </c>
      <c r="S215" s="4" t="str">
        <v>ORD0363</v>
      </c>
      <c r="T215" s="4" t="str">
        <v>Phone</v>
      </c>
      <c r="U215" s="4" t="str">
        <v>Electronics</v>
      </c>
      <c r="V215" s="4" t="str">
        <v>East</v>
      </c>
      <c r="W215" s="4" t="str">
        <v>Jan-2025</v>
      </c>
      <c r="X215" s="4">
        <v>91542</v>
      </c>
      <c r="Y215" s="4">
        <v>14</v>
      </c>
      <c r="Z215" s="4">
        <v>65106.73</v>
      </c>
    </row>
    <row r="216" spans="1:26" x14ac:dyDescent="0.3">
      <c r="A216" s="4" t="str">
        <v>ORD0290</v>
      </c>
      <c r="B216" s="4" t="str">
        <v>Tablet</v>
      </c>
      <c r="C216" s="4" t="str">
        <v>Electronics</v>
      </c>
      <c r="D216" s="4" t="str">
        <v>South</v>
      </c>
      <c r="E216" s="4" t="str">
        <v>Aug-2025</v>
      </c>
      <c r="F216" s="4">
        <v>83403</v>
      </c>
      <c r="G216" s="4">
        <v>8</v>
      </c>
      <c r="H216" s="4">
        <v>54792.19</v>
      </c>
      <c r="S216" s="4" t="str">
        <v>ORD0301</v>
      </c>
      <c r="T216" s="4" t="str">
        <v>Printer</v>
      </c>
      <c r="U216" s="4" t="str">
        <v>Peripherals</v>
      </c>
      <c r="V216" s="4" t="str">
        <v>North</v>
      </c>
      <c r="W216" s="4" t="str">
        <v>Mar-2025</v>
      </c>
      <c r="X216" s="4">
        <v>91496</v>
      </c>
      <c r="Y216" s="4">
        <v>5</v>
      </c>
      <c r="Z216" s="4">
        <v>64487.51</v>
      </c>
    </row>
    <row r="217" spans="1:26" x14ac:dyDescent="0.3">
      <c r="A217" s="4" t="str">
        <v>ORD0292</v>
      </c>
      <c r="B217" s="4" t="str">
        <v>Laptop</v>
      </c>
      <c r="C217" s="4" t="str">
        <v>Electronics</v>
      </c>
      <c r="D217" s="4" t="str">
        <v>West</v>
      </c>
      <c r="E217" s="4" t="str">
        <v>May-2025</v>
      </c>
      <c r="F217" s="4">
        <v>138320</v>
      </c>
      <c r="G217" s="4">
        <v>8</v>
      </c>
      <c r="H217" s="4">
        <v>98859.39</v>
      </c>
      <c r="S217" s="4" t="str">
        <v>ORD0274</v>
      </c>
      <c r="T217" s="4" t="str">
        <v>Headphones</v>
      </c>
      <c r="U217" s="4" t="str">
        <v>Accessories</v>
      </c>
      <c r="V217" s="4" t="str">
        <v>South</v>
      </c>
      <c r="W217" s="4" t="str">
        <v>Apr-2025</v>
      </c>
      <c r="X217" s="4">
        <v>91410</v>
      </c>
      <c r="Y217" s="4">
        <v>15</v>
      </c>
      <c r="Z217" s="4">
        <v>67839.77</v>
      </c>
    </row>
    <row r="218" spans="1:26" x14ac:dyDescent="0.3">
      <c r="A218" s="4" t="str">
        <v>ORD0293</v>
      </c>
      <c r="B218" s="4" t="str">
        <v>Tablet</v>
      </c>
      <c r="C218" s="4" t="str">
        <v>Electronics</v>
      </c>
      <c r="D218" s="4" t="str">
        <v>North</v>
      </c>
      <c r="E218" s="4" t="str">
        <v>Oct-2025</v>
      </c>
      <c r="F218" s="4">
        <v>146713</v>
      </c>
      <c r="G218" s="4">
        <v>6</v>
      </c>
      <c r="H218" s="4">
        <v>108818.76</v>
      </c>
      <c r="S218" s="4" t="str">
        <v>ORD0491</v>
      </c>
      <c r="T218" s="4" t="str">
        <v>Monitor</v>
      </c>
      <c r="U218" s="4" t="str">
        <v>Peripherals</v>
      </c>
      <c r="V218" s="4" t="str">
        <v>East</v>
      </c>
      <c r="W218" s="4" t="str">
        <v>May-2025</v>
      </c>
      <c r="X218" s="4">
        <v>91034</v>
      </c>
      <c r="Y218" s="4">
        <v>8</v>
      </c>
      <c r="Z218" s="4">
        <v>56516.66</v>
      </c>
    </row>
    <row r="219" spans="1:26" x14ac:dyDescent="0.3">
      <c r="A219" s="4" t="str">
        <v>ORD0294</v>
      </c>
      <c r="B219" s="4" t="str">
        <v>Phone</v>
      </c>
      <c r="C219" s="4" t="str">
        <v>Electronics</v>
      </c>
      <c r="D219" s="4" t="str">
        <v>South</v>
      </c>
      <c r="E219" s="4" t="str">
        <v>May-2025</v>
      </c>
      <c r="F219" s="4">
        <v>92943</v>
      </c>
      <c r="G219" s="4">
        <v>6</v>
      </c>
      <c r="H219" s="4">
        <v>58727.360000000001</v>
      </c>
      <c r="S219" s="4" t="str">
        <v>ORD0354</v>
      </c>
      <c r="T219" s="4" t="str">
        <v>Tablet</v>
      </c>
      <c r="U219" s="4" t="str">
        <v>Electronics</v>
      </c>
      <c r="V219" s="4" t="str">
        <v>South</v>
      </c>
      <c r="W219" s="4" t="str">
        <v>Jul-2025</v>
      </c>
      <c r="X219" s="4">
        <v>90037</v>
      </c>
      <c r="Y219" s="4">
        <v>12</v>
      </c>
      <c r="Z219" s="4">
        <v>64683.35</v>
      </c>
    </row>
    <row r="220" spans="1:26" x14ac:dyDescent="0.3">
      <c r="A220" s="4" t="str">
        <v>ORD0295</v>
      </c>
      <c r="B220" s="4" t="str">
        <v>Tablet</v>
      </c>
      <c r="C220" s="4" t="str">
        <v>Electronics</v>
      </c>
      <c r="D220" s="4" t="str">
        <v>East</v>
      </c>
      <c r="E220" s="4" t="str">
        <v>Apr-2025</v>
      </c>
      <c r="F220" s="4">
        <v>144298</v>
      </c>
      <c r="G220" s="4">
        <v>1</v>
      </c>
      <c r="H220" s="4">
        <v>107431.97</v>
      </c>
      <c r="S220" s="4" t="str">
        <v>ORD0438</v>
      </c>
      <c r="T220" s="4" t="str">
        <v>Phone</v>
      </c>
      <c r="U220" s="4" t="str">
        <v>Electronics</v>
      </c>
      <c r="V220" s="4" t="str">
        <v>South</v>
      </c>
      <c r="W220" s="4" t="str">
        <v>Jun-2025</v>
      </c>
      <c r="X220" s="4">
        <v>90023</v>
      </c>
      <c r="Y220" s="4">
        <v>14</v>
      </c>
      <c r="Z220" s="4">
        <v>63555.46</v>
      </c>
    </row>
    <row r="221" spans="1:26" x14ac:dyDescent="0.3">
      <c r="A221" s="4" t="str">
        <v>ORD0296</v>
      </c>
      <c r="B221" s="4" t="str">
        <v>Keyboard</v>
      </c>
      <c r="C221" s="4" t="str">
        <v>Accessories</v>
      </c>
      <c r="D221" s="4" t="str">
        <v>West</v>
      </c>
      <c r="E221" s="4" t="str">
        <v>Mar-2025</v>
      </c>
      <c r="F221" s="4">
        <v>50003</v>
      </c>
      <c r="G221" s="4">
        <v>14</v>
      </c>
      <c r="H221" s="4">
        <v>37068.519999999997</v>
      </c>
      <c r="S221" s="4" t="str">
        <v>ORD0011</v>
      </c>
      <c r="T221" s="4" t="str">
        <v>Monitor</v>
      </c>
      <c r="U221" s="4" t="str">
        <v>Peripherals</v>
      </c>
      <c r="V221" s="4" t="str">
        <v>East</v>
      </c>
      <c r="W221" s="4" t="str">
        <v>Mar-2025</v>
      </c>
      <c r="X221" s="4">
        <v>89991</v>
      </c>
      <c r="Y221" s="4">
        <v>1</v>
      </c>
      <c r="Z221" s="4">
        <v>60373.37</v>
      </c>
    </row>
    <row r="222" spans="1:26" x14ac:dyDescent="0.3">
      <c r="A222" s="4" t="str">
        <v>ORD0297</v>
      </c>
      <c r="B222" s="4" t="str">
        <v>Printer</v>
      </c>
      <c r="C222" s="4" t="str">
        <v>Peripherals</v>
      </c>
      <c r="D222" s="4" t="str">
        <v>North</v>
      </c>
      <c r="E222" s="4" t="str">
        <v>Jun-2025</v>
      </c>
      <c r="F222" s="4">
        <v>102639</v>
      </c>
      <c r="G222" s="4">
        <v>5</v>
      </c>
      <c r="H222" s="4">
        <v>68969.67</v>
      </c>
      <c r="S222" s="4" t="str">
        <v>ORD0335</v>
      </c>
      <c r="T222" s="4" t="str">
        <v>Phone</v>
      </c>
      <c r="U222" s="4" t="str">
        <v>Electronics</v>
      </c>
      <c r="V222" s="4" t="str">
        <v>East</v>
      </c>
      <c r="W222" s="4" t="str">
        <v>Oct-2025</v>
      </c>
      <c r="X222" s="4">
        <v>89979</v>
      </c>
      <c r="Y222" s="4">
        <v>1</v>
      </c>
      <c r="Z222" s="4">
        <v>54176.4</v>
      </c>
    </row>
    <row r="223" spans="1:26" x14ac:dyDescent="0.3">
      <c r="A223" s="4" t="str">
        <v>ORD0298</v>
      </c>
      <c r="B223" s="4" t="str">
        <v>Headphones</v>
      </c>
      <c r="C223" s="4" t="str">
        <v>Accessories</v>
      </c>
      <c r="D223" s="4" t="str">
        <v>South</v>
      </c>
      <c r="E223" s="4" t="str">
        <v>Nov-2025</v>
      </c>
      <c r="F223" s="4">
        <v>117890</v>
      </c>
      <c r="G223" s="4">
        <v>12</v>
      </c>
      <c r="H223" s="4">
        <v>82587.58</v>
      </c>
      <c r="S223" s="4" t="str">
        <v>ORD0063</v>
      </c>
      <c r="T223" s="4" t="str">
        <v>Mouse</v>
      </c>
      <c r="U223" s="4" t="str">
        <v>Accessories</v>
      </c>
      <c r="V223" s="4" t="str">
        <v>East</v>
      </c>
      <c r="W223" s="4" t="str">
        <v>Apr-2025</v>
      </c>
      <c r="X223" s="4">
        <v>89800</v>
      </c>
      <c r="Y223" s="4">
        <v>1</v>
      </c>
      <c r="Z223" s="4">
        <v>62545.38</v>
      </c>
    </row>
    <row r="224" spans="1:26" x14ac:dyDescent="0.3">
      <c r="A224" s="4" t="str">
        <v>ORD0299</v>
      </c>
      <c r="B224" s="4" t="str">
        <v>Printer</v>
      </c>
      <c r="C224" s="4" t="str">
        <v>Peripherals</v>
      </c>
      <c r="D224" s="4" t="str">
        <v>East</v>
      </c>
      <c r="E224" s="4" t="str">
        <v>Aug-2025</v>
      </c>
      <c r="F224" s="4">
        <v>129279</v>
      </c>
      <c r="G224" s="4">
        <v>15</v>
      </c>
      <c r="H224" s="4">
        <v>88954.73</v>
      </c>
      <c r="S224" s="4" t="str">
        <v>ORD0124</v>
      </c>
      <c r="T224" s="4" t="str">
        <v>Laptop</v>
      </c>
      <c r="U224" s="4" t="str">
        <v>Electronics</v>
      </c>
      <c r="V224" s="4" t="str">
        <v>West</v>
      </c>
      <c r="W224" s="4" t="str">
        <v>Jul-2025</v>
      </c>
      <c r="X224" s="4">
        <v>89513</v>
      </c>
      <c r="Y224" s="4">
        <v>4</v>
      </c>
      <c r="Z224" s="4">
        <v>60402.23</v>
      </c>
    </row>
    <row r="225" spans="1:26" x14ac:dyDescent="0.3">
      <c r="A225" s="4" t="str">
        <v>ORD0301</v>
      </c>
      <c r="B225" s="4" t="str">
        <v>Printer</v>
      </c>
      <c r="C225" s="4" t="str">
        <v>Peripherals</v>
      </c>
      <c r="D225" s="4" t="str">
        <v>North</v>
      </c>
      <c r="E225" s="4" t="str">
        <v>Mar-2025</v>
      </c>
      <c r="F225" s="4">
        <v>91496</v>
      </c>
      <c r="G225" s="4">
        <v>5</v>
      </c>
      <c r="H225" s="4">
        <v>64487.51</v>
      </c>
      <c r="S225" s="4" t="str">
        <v>ORD0104</v>
      </c>
      <c r="T225" s="4" t="str">
        <v>Monitor</v>
      </c>
      <c r="U225" s="4" t="str">
        <v>Peripherals</v>
      </c>
      <c r="V225" s="4" t="str">
        <v>West</v>
      </c>
      <c r="W225" s="4" t="str">
        <v>Apr-2025</v>
      </c>
      <c r="X225" s="4">
        <v>89264</v>
      </c>
      <c r="Y225" s="4">
        <v>6</v>
      </c>
      <c r="Z225" s="4">
        <v>59538.27</v>
      </c>
    </row>
    <row r="226" spans="1:26" x14ac:dyDescent="0.3">
      <c r="A226" s="4" t="str">
        <v>ORD0302</v>
      </c>
      <c r="B226" s="4" t="str">
        <v>Headphones</v>
      </c>
      <c r="C226" s="4" t="str">
        <v>Accessories</v>
      </c>
      <c r="D226" s="4" t="str">
        <v>South</v>
      </c>
      <c r="E226" s="4" t="str">
        <v>Oct-2025</v>
      </c>
      <c r="F226" s="4">
        <v>66437</v>
      </c>
      <c r="G226" s="4">
        <v>8</v>
      </c>
      <c r="H226" s="4">
        <v>42004.92</v>
      </c>
      <c r="S226" s="4" t="str">
        <v>ORD0355</v>
      </c>
      <c r="T226" s="4" t="str">
        <v>Mouse</v>
      </c>
      <c r="U226" s="4" t="str">
        <v>Accessories</v>
      </c>
      <c r="V226" s="4" t="str">
        <v>East</v>
      </c>
      <c r="W226" s="4" t="str">
        <v>Nov-2025</v>
      </c>
      <c r="X226" s="4">
        <v>88744</v>
      </c>
      <c r="Y226" s="4">
        <v>12</v>
      </c>
      <c r="Z226" s="4">
        <v>65700.14</v>
      </c>
    </row>
    <row r="227" spans="1:26" x14ac:dyDescent="0.3">
      <c r="A227" s="4" t="str">
        <v>ORD0303</v>
      </c>
      <c r="B227" s="4" t="str">
        <v>Mouse</v>
      </c>
      <c r="C227" s="4" t="str">
        <v>Accessories</v>
      </c>
      <c r="D227" s="4" t="str">
        <v>East</v>
      </c>
      <c r="E227" s="4" t="str">
        <v>Aug-2025</v>
      </c>
      <c r="F227" s="4">
        <v>130673</v>
      </c>
      <c r="G227" s="4">
        <v>6</v>
      </c>
      <c r="H227" s="4">
        <v>79562.73</v>
      </c>
      <c r="S227" s="4" t="str">
        <v>ORD0490</v>
      </c>
      <c r="T227" s="4" t="str">
        <v>Mouse</v>
      </c>
      <c r="U227" s="4" t="str">
        <v>Accessories</v>
      </c>
      <c r="V227" s="4" t="str">
        <v>South</v>
      </c>
      <c r="W227" s="4" t="str">
        <v>Jan-2025</v>
      </c>
      <c r="X227" s="4">
        <v>88741</v>
      </c>
      <c r="Y227" s="4">
        <v>6</v>
      </c>
      <c r="Z227" s="4">
        <v>56916.47</v>
      </c>
    </row>
    <row r="228" spans="1:26" x14ac:dyDescent="0.3">
      <c r="A228" s="4" t="str">
        <v>ORD0304</v>
      </c>
      <c r="B228" s="4" t="str">
        <v>Printer</v>
      </c>
      <c r="C228" s="4" t="str">
        <v>Peripherals</v>
      </c>
      <c r="D228" s="4" t="str">
        <v>West</v>
      </c>
      <c r="E228" s="4" t="str">
        <v>Sep-2025</v>
      </c>
      <c r="F228" s="4">
        <v>59073</v>
      </c>
      <c r="G228" s="4">
        <v>9</v>
      </c>
      <c r="H228" s="4">
        <v>38344.69</v>
      </c>
      <c r="S228" s="4" t="str">
        <v>ORD0278</v>
      </c>
      <c r="T228" s="4" t="str">
        <v>Laptop</v>
      </c>
      <c r="U228" s="4" t="str">
        <v>Electronics</v>
      </c>
      <c r="V228" s="4" t="str">
        <v>South</v>
      </c>
      <c r="W228" s="4" t="str">
        <v>Oct-2025</v>
      </c>
      <c r="X228" s="4">
        <v>88177</v>
      </c>
      <c r="Y228" s="4">
        <v>4</v>
      </c>
      <c r="Z228" s="4">
        <v>57671.24</v>
      </c>
    </row>
    <row r="229" spans="1:26" x14ac:dyDescent="0.3">
      <c r="A229" s="4" t="str">
        <v>ORD0305</v>
      </c>
      <c r="B229" s="4" t="str">
        <v>Printer</v>
      </c>
      <c r="C229" s="4" t="str">
        <v>Peripherals</v>
      </c>
      <c r="D229" s="4" t="str">
        <v>North</v>
      </c>
      <c r="E229" s="4" t="str">
        <v>Jul-2025</v>
      </c>
      <c r="F229" s="4">
        <v>72440</v>
      </c>
      <c r="G229" s="4">
        <v>11</v>
      </c>
      <c r="H229" s="4">
        <v>52329.36</v>
      </c>
      <c r="S229" s="4" t="str">
        <v>ORD0074</v>
      </c>
      <c r="T229" s="4" t="str">
        <v>Laptop</v>
      </c>
      <c r="U229" s="4" t="str">
        <v>Electronics</v>
      </c>
      <c r="V229" s="4" t="str">
        <v>South</v>
      </c>
      <c r="W229" s="4" t="str">
        <v>Feb-2025</v>
      </c>
      <c r="X229" s="4">
        <v>88000</v>
      </c>
      <c r="Y229" s="4">
        <v>15</v>
      </c>
      <c r="Z229" s="4">
        <v>64233.99</v>
      </c>
    </row>
    <row r="230" spans="1:26" x14ac:dyDescent="0.3">
      <c r="A230" s="4" t="str">
        <v>ORD0306</v>
      </c>
      <c r="B230" s="4" t="str">
        <v>Tablet</v>
      </c>
      <c r="C230" s="4" t="str">
        <v>Electronics</v>
      </c>
      <c r="D230" s="4" t="str">
        <v>South</v>
      </c>
      <c r="E230" s="4" t="str">
        <v>Jan-2025</v>
      </c>
      <c r="F230" s="4">
        <v>83843</v>
      </c>
      <c r="G230" s="4">
        <v>7</v>
      </c>
      <c r="H230" s="4">
        <v>57927.81</v>
      </c>
      <c r="S230" s="4" t="str">
        <v>ORD0326</v>
      </c>
      <c r="T230" s="4" t="str">
        <v>Printer</v>
      </c>
      <c r="U230" s="4" t="str">
        <v>Peripherals</v>
      </c>
      <c r="V230" s="4" t="str">
        <v>South</v>
      </c>
      <c r="W230" s="4" t="str">
        <v>Oct-2025</v>
      </c>
      <c r="X230" s="4">
        <v>87418</v>
      </c>
      <c r="Y230" s="4">
        <v>5</v>
      </c>
      <c r="Z230" s="4">
        <v>53664.24</v>
      </c>
    </row>
    <row r="231" spans="1:26" x14ac:dyDescent="0.3">
      <c r="A231" s="4" t="str">
        <v>ORD0307</v>
      </c>
      <c r="B231" s="4" t="str">
        <v>Printer</v>
      </c>
      <c r="C231" s="4" t="str">
        <v>Peripherals</v>
      </c>
      <c r="D231" s="4" t="str">
        <v>East</v>
      </c>
      <c r="E231" s="4" t="str">
        <v>May-2025</v>
      </c>
      <c r="F231" s="4">
        <v>67136</v>
      </c>
      <c r="G231" s="4">
        <v>10</v>
      </c>
      <c r="H231" s="4">
        <v>45146.03</v>
      </c>
      <c r="S231" s="4" t="str">
        <v>ORD0037</v>
      </c>
      <c r="T231" s="4" t="str">
        <v>Headphones</v>
      </c>
      <c r="U231" s="4" t="str">
        <v>Accessories</v>
      </c>
      <c r="V231" s="4" t="str">
        <v>North</v>
      </c>
      <c r="W231" s="4" t="str">
        <v>Aug-2025</v>
      </c>
      <c r="X231" s="4">
        <v>87238</v>
      </c>
      <c r="Y231" s="4">
        <v>4</v>
      </c>
      <c r="Z231" s="4">
        <v>56786.64</v>
      </c>
    </row>
    <row r="232" spans="1:26" x14ac:dyDescent="0.3">
      <c r="A232" s="4" t="str">
        <v>ORD0308</v>
      </c>
      <c r="B232" s="4" t="str">
        <v>Laptop</v>
      </c>
      <c r="C232" s="4" t="str">
        <v>Electronics</v>
      </c>
      <c r="D232" s="4" t="str">
        <v>West</v>
      </c>
      <c r="E232" s="4" t="str">
        <v>Jan-2025</v>
      </c>
      <c r="F232" s="4">
        <v>81636</v>
      </c>
      <c r="G232" s="4">
        <v>3</v>
      </c>
      <c r="H232" s="4">
        <v>50959.86</v>
      </c>
      <c r="S232" s="4" t="str">
        <v>ORD0330</v>
      </c>
      <c r="T232" s="4" t="str">
        <v>Headphones</v>
      </c>
      <c r="U232" s="4" t="str">
        <v>Accessories</v>
      </c>
      <c r="V232" s="4" t="str">
        <v>South</v>
      </c>
      <c r="W232" s="4" t="str">
        <v>Sep-2025</v>
      </c>
      <c r="X232" s="4">
        <v>86806</v>
      </c>
      <c r="Y232" s="4">
        <v>1</v>
      </c>
      <c r="Z232" s="4">
        <v>60768.73</v>
      </c>
    </row>
    <row r="233" spans="1:26" x14ac:dyDescent="0.3">
      <c r="A233" s="4" t="str">
        <v>ORD0309</v>
      </c>
      <c r="B233" s="4" t="str">
        <v>Tablet</v>
      </c>
      <c r="C233" s="4" t="str">
        <v>Electronics</v>
      </c>
      <c r="D233" s="4" t="str">
        <v>North</v>
      </c>
      <c r="E233" s="4" t="str">
        <v>Sep-2025</v>
      </c>
      <c r="F233" s="4">
        <v>77434</v>
      </c>
      <c r="G233" s="4">
        <v>11</v>
      </c>
      <c r="H233" s="4">
        <v>57719.78</v>
      </c>
      <c r="S233" s="4" t="str">
        <v>ORD0369</v>
      </c>
      <c r="T233" s="4" t="str">
        <v>Printer</v>
      </c>
      <c r="U233" s="4" t="str">
        <v>Peripherals</v>
      </c>
      <c r="V233" s="4" t="str">
        <v>North</v>
      </c>
      <c r="W233" s="4" t="str">
        <v>Apr-2025</v>
      </c>
      <c r="X233" s="4">
        <v>86383</v>
      </c>
      <c r="Y233" s="4">
        <v>11</v>
      </c>
      <c r="Z233" s="4">
        <v>57194.43</v>
      </c>
    </row>
    <row r="234" spans="1:26" x14ac:dyDescent="0.3">
      <c r="A234" s="4" t="str">
        <v>ORD0313</v>
      </c>
      <c r="B234" s="4" t="str">
        <v>Printer</v>
      </c>
      <c r="C234" s="4" t="str">
        <v>Peripherals</v>
      </c>
      <c r="D234" s="4" t="str">
        <v>North</v>
      </c>
      <c r="E234" s="4" t="str">
        <v>Oct-2025</v>
      </c>
      <c r="F234" s="4">
        <v>128201</v>
      </c>
      <c r="G234" s="4">
        <v>14</v>
      </c>
      <c r="H234" s="4">
        <v>91937.71</v>
      </c>
      <c r="S234" s="4" t="str">
        <v>ORD0388</v>
      </c>
      <c r="T234" s="4" t="str">
        <v>Phone</v>
      </c>
      <c r="U234" s="4" t="str">
        <v>Electronics</v>
      </c>
      <c r="V234" s="4" t="str">
        <v>West</v>
      </c>
      <c r="W234" s="4" t="str">
        <v>Jan-2025</v>
      </c>
      <c r="X234" s="4">
        <v>86375</v>
      </c>
      <c r="Y234" s="4">
        <v>5</v>
      </c>
      <c r="Z234" s="4">
        <v>64682.29</v>
      </c>
    </row>
    <row r="235" spans="1:26" x14ac:dyDescent="0.3">
      <c r="A235" s="4" t="str">
        <v>ORD0314</v>
      </c>
      <c r="B235" s="4" t="str">
        <v>Phone</v>
      </c>
      <c r="C235" s="4" t="str">
        <v>Electronics</v>
      </c>
      <c r="D235" s="4" t="str">
        <v>South</v>
      </c>
      <c r="E235" s="4" t="str">
        <v>Dec-2025</v>
      </c>
      <c r="F235" s="4">
        <v>124098</v>
      </c>
      <c r="G235" s="4">
        <v>4</v>
      </c>
      <c r="H235" s="4">
        <v>81265.279999999999</v>
      </c>
      <c r="S235" s="4" t="str">
        <v>ORD0244</v>
      </c>
      <c r="T235" s="4" t="str">
        <v>Printer</v>
      </c>
      <c r="U235" s="4" t="str">
        <v>Peripherals</v>
      </c>
      <c r="V235" s="4" t="str">
        <v>West</v>
      </c>
      <c r="W235" s="4" t="str">
        <v>Oct-2025</v>
      </c>
      <c r="X235" s="4">
        <v>86230</v>
      </c>
      <c r="Y235" s="4">
        <v>11</v>
      </c>
      <c r="Z235" s="4">
        <v>56818.99</v>
      </c>
    </row>
    <row r="236" spans="1:26" x14ac:dyDescent="0.3">
      <c r="A236" s="4" t="str">
        <v>ORD0315</v>
      </c>
      <c r="B236" s="4" t="str">
        <v>Laptop</v>
      </c>
      <c r="C236" s="4" t="str">
        <v>Electronics</v>
      </c>
      <c r="D236" s="4" t="str">
        <v>East</v>
      </c>
      <c r="E236" s="4" t="str">
        <v>Oct-2025</v>
      </c>
      <c r="F236" s="4">
        <v>107979</v>
      </c>
      <c r="G236" s="4">
        <v>1</v>
      </c>
      <c r="H236" s="4">
        <v>80118.570000000007</v>
      </c>
      <c r="S236" s="4" t="str">
        <v>ORD0317</v>
      </c>
      <c r="T236" s="4" t="str">
        <v>Tablet</v>
      </c>
      <c r="U236" s="4" t="str">
        <v>Electronics</v>
      </c>
      <c r="V236" s="4" t="str">
        <v>North</v>
      </c>
      <c r="W236" s="4" t="str">
        <v>Apr-2025</v>
      </c>
      <c r="X236" s="4">
        <v>85928</v>
      </c>
      <c r="Y236" s="4">
        <v>15</v>
      </c>
      <c r="Z236" s="4">
        <v>52662.98</v>
      </c>
    </row>
    <row r="237" spans="1:26" x14ac:dyDescent="0.3">
      <c r="A237" s="4" t="str">
        <v>ORD0316</v>
      </c>
      <c r="B237" s="4" t="str">
        <v>Keyboard</v>
      </c>
      <c r="C237" s="4" t="str">
        <v>Accessories</v>
      </c>
      <c r="D237" s="4" t="str">
        <v>West</v>
      </c>
      <c r="E237" s="4" t="str">
        <v>May-2025</v>
      </c>
      <c r="F237" s="4">
        <v>56262</v>
      </c>
      <c r="G237" s="4">
        <v>1</v>
      </c>
      <c r="H237" s="4">
        <v>37840.46</v>
      </c>
      <c r="S237" s="4" t="str">
        <v>ORD0010</v>
      </c>
      <c r="T237" s="4" t="str">
        <v>Laptop</v>
      </c>
      <c r="U237" s="4" t="str">
        <v>Electronics</v>
      </c>
      <c r="V237" s="4" t="str">
        <v>South</v>
      </c>
      <c r="W237" s="4" t="str">
        <v>Nov-2025</v>
      </c>
      <c r="X237" s="4">
        <v>85760</v>
      </c>
      <c r="Y237" s="4">
        <v>5</v>
      </c>
      <c r="Z237" s="4">
        <v>55941.919999999998</v>
      </c>
    </row>
    <row r="238" spans="1:26" x14ac:dyDescent="0.3">
      <c r="A238" s="4" t="str">
        <v>ORD0317</v>
      </c>
      <c r="B238" s="4" t="str">
        <v>Tablet</v>
      </c>
      <c r="C238" s="4" t="str">
        <v>Electronics</v>
      </c>
      <c r="D238" s="4" t="str">
        <v>North</v>
      </c>
      <c r="E238" s="4" t="str">
        <v>Apr-2025</v>
      </c>
      <c r="F238" s="4">
        <v>85928</v>
      </c>
      <c r="G238" s="4">
        <v>15</v>
      </c>
      <c r="H238" s="4">
        <v>52662.98</v>
      </c>
      <c r="S238" s="4" t="str">
        <v>ORD0041</v>
      </c>
      <c r="T238" s="4" t="str">
        <v>Phone</v>
      </c>
      <c r="U238" s="4" t="str">
        <v>Electronics</v>
      </c>
      <c r="V238" s="4" t="str">
        <v>North</v>
      </c>
      <c r="W238" s="4" t="str">
        <v>Sep-2025</v>
      </c>
      <c r="X238" s="4">
        <v>85608</v>
      </c>
      <c r="Y238" s="4">
        <v>1</v>
      </c>
      <c r="Z238" s="4">
        <v>62122.080000000002</v>
      </c>
    </row>
    <row r="239" spans="1:26" x14ac:dyDescent="0.3">
      <c r="A239" s="4" t="str">
        <v>ORD0318</v>
      </c>
      <c r="B239" s="4" t="str">
        <v>Phone</v>
      </c>
      <c r="C239" s="4" t="str">
        <v>Electronics</v>
      </c>
      <c r="D239" s="4" t="str">
        <v>South</v>
      </c>
      <c r="E239" s="4" t="str">
        <v>Oct-2025</v>
      </c>
      <c r="F239" s="4">
        <v>74527</v>
      </c>
      <c r="G239" s="4">
        <v>11</v>
      </c>
      <c r="H239" s="4">
        <v>44782.17</v>
      </c>
      <c r="S239" s="4" t="str">
        <v>ORD0192</v>
      </c>
      <c r="T239" s="4" t="str">
        <v>Printer</v>
      </c>
      <c r="U239" s="4" t="str">
        <v>Peripherals</v>
      </c>
      <c r="V239" s="4" t="str">
        <v>West</v>
      </c>
      <c r="W239" s="4" t="str">
        <v>Sep-2025</v>
      </c>
      <c r="X239" s="4">
        <v>85553</v>
      </c>
      <c r="Y239" s="4">
        <v>12</v>
      </c>
      <c r="Z239" s="4">
        <v>61940.83</v>
      </c>
    </row>
    <row r="240" spans="1:26" x14ac:dyDescent="0.3">
      <c r="A240" s="4" t="str">
        <v>ORD0319</v>
      </c>
      <c r="B240" s="4" t="str">
        <v>Keyboard</v>
      </c>
      <c r="C240" s="4" t="str">
        <v>Accessories</v>
      </c>
      <c r="D240" s="4" t="str">
        <v>East</v>
      </c>
      <c r="E240" s="4" t="str">
        <v>Jan-2025</v>
      </c>
      <c r="F240" s="4">
        <v>113041</v>
      </c>
      <c r="G240" s="4">
        <v>9</v>
      </c>
      <c r="H240" s="4">
        <v>70585.86</v>
      </c>
      <c r="S240" s="4" t="str">
        <v>ORD0137</v>
      </c>
      <c r="T240" s="4" t="str">
        <v>Headphones</v>
      </c>
      <c r="U240" s="4" t="str">
        <v>Accessories</v>
      </c>
      <c r="V240" s="4" t="str">
        <v>North</v>
      </c>
      <c r="W240" s="4" t="str">
        <v>Jan-2025</v>
      </c>
      <c r="X240" s="4">
        <v>85505</v>
      </c>
      <c r="Y240" s="4">
        <v>6</v>
      </c>
      <c r="Z240" s="4">
        <v>52177.18</v>
      </c>
    </row>
    <row r="241" spans="1:26" x14ac:dyDescent="0.3">
      <c r="A241" s="4" t="str">
        <v>ORD0320</v>
      </c>
      <c r="B241" s="4" t="str">
        <v>Phone</v>
      </c>
      <c r="C241" s="4" t="str">
        <v>Electronics</v>
      </c>
      <c r="D241" s="4" t="str">
        <v>West</v>
      </c>
      <c r="E241" s="4" t="str">
        <v>Aug-2025</v>
      </c>
      <c r="F241" s="4">
        <v>107199</v>
      </c>
      <c r="G241" s="4">
        <v>8</v>
      </c>
      <c r="H241" s="4">
        <v>69798.67</v>
      </c>
      <c r="S241" s="4" t="str">
        <v>ORD0429</v>
      </c>
      <c r="T241" s="4" t="str">
        <v>Headphones</v>
      </c>
      <c r="U241" s="4" t="str">
        <v>Accessories</v>
      </c>
      <c r="V241" s="4" t="str">
        <v>North</v>
      </c>
      <c r="W241" s="4" t="str">
        <v>Aug-2025</v>
      </c>
      <c r="X241" s="4">
        <v>85244</v>
      </c>
      <c r="Y241" s="4">
        <v>14</v>
      </c>
      <c r="Z241" s="4">
        <v>62852.98</v>
      </c>
    </row>
    <row r="242" spans="1:26" x14ac:dyDescent="0.3">
      <c r="A242" s="4" t="str">
        <v>ORD0321</v>
      </c>
      <c r="B242" s="4" t="str">
        <v>Keyboard</v>
      </c>
      <c r="C242" s="4" t="str">
        <v>Accessories</v>
      </c>
      <c r="D242" s="4" t="str">
        <v>North</v>
      </c>
      <c r="E242" s="4" t="str">
        <v>Jun-2025</v>
      </c>
      <c r="F242" s="4">
        <v>76448</v>
      </c>
      <c r="G242" s="4">
        <v>14</v>
      </c>
      <c r="H242" s="4">
        <v>56759.68</v>
      </c>
      <c r="S242" s="4" t="str">
        <v>ORD0398</v>
      </c>
      <c r="T242" s="4" t="str">
        <v>Mouse</v>
      </c>
      <c r="U242" s="4" t="str">
        <v>Accessories</v>
      </c>
      <c r="V242" s="4" t="str">
        <v>South</v>
      </c>
      <c r="W242" s="4" t="str">
        <v>Jan-2025</v>
      </c>
      <c r="X242" s="4">
        <v>85033</v>
      </c>
      <c r="Y242" s="4">
        <v>6</v>
      </c>
      <c r="Z242" s="4">
        <v>60703.05</v>
      </c>
    </row>
    <row r="243" spans="1:26" x14ac:dyDescent="0.3">
      <c r="A243" s="4" t="str">
        <v>ORD0322</v>
      </c>
      <c r="B243" s="4" t="str">
        <v>Tablet</v>
      </c>
      <c r="C243" s="4" t="str">
        <v>Electronics</v>
      </c>
      <c r="D243" s="4" t="str">
        <v>South</v>
      </c>
      <c r="E243" s="4" t="str">
        <v>Jun-2025</v>
      </c>
      <c r="F243" s="4">
        <v>125949</v>
      </c>
      <c r="G243" s="4">
        <v>7</v>
      </c>
      <c r="H243" s="4">
        <v>85635.27</v>
      </c>
      <c r="S243" s="4" t="str">
        <v>ORD0033</v>
      </c>
      <c r="T243" s="4" t="str">
        <v>Tablet</v>
      </c>
      <c r="U243" s="4" t="str">
        <v>Electronics</v>
      </c>
      <c r="V243" s="4" t="str">
        <v>North</v>
      </c>
      <c r="W243" s="4" t="str">
        <v>Apr-2025</v>
      </c>
      <c r="X243" s="4">
        <v>84865</v>
      </c>
      <c r="Y243" s="4">
        <v>9</v>
      </c>
      <c r="Z243" s="4">
        <v>53751.38</v>
      </c>
    </row>
    <row r="244" spans="1:26" x14ac:dyDescent="0.3">
      <c r="A244" s="4" t="str">
        <v>ORD0323</v>
      </c>
      <c r="B244" s="4" t="str">
        <v>Printer</v>
      </c>
      <c r="C244" s="4" t="str">
        <v>Peripherals</v>
      </c>
      <c r="D244" s="4" t="str">
        <v>East</v>
      </c>
      <c r="E244" s="4" t="str">
        <v>Feb-2025</v>
      </c>
      <c r="F244" s="4">
        <v>123388</v>
      </c>
      <c r="G244" s="4">
        <v>11</v>
      </c>
      <c r="H244" s="4">
        <v>86132.21</v>
      </c>
      <c r="S244" s="4" t="str">
        <v>ORD0191</v>
      </c>
      <c r="T244" s="4" t="str">
        <v>Tablet</v>
      </c>
      <c r="U244" s="4" t="str">
        <v>Electronics</v>
      </c>
      <c r="V244" s="4" t="str">
        <v>East</v>
      </c>
      <c r="W244" s="4" t="str">
        <v>Apr-2025</v>
      </c>
      <c r="X244" s="4">
        <v>84547</v>
      </c>
      <c r="Y244" s="4">
        <v>3</v>
      </c>
      <c r="Z244" s="4">
        <v>60256.04</v>
      </c>
    </row>
    <row r="245" spans="1:26" x14ac:dyDescent="0.3">
      <c r="A245" s="4" t="str">
        <v>ORD0324</v>
      </c>
      <c r="B245" s="4" t="str">
        <v>Keyboard</v>
      </c>
      <c r="C245" s="4" t="str">
        <v>Accessories</v>
      </c>
      <c r="D245" s="4" t="str">
        <v>West</v>
      </c>
      <c r="E245" s="4" t="str">
        <v>Feb-2025</v>
      </c>
      <c r="F245" s="4">
        <v>139663</v>
      </c>
      <c r="G245" s="4">
        <v>9</v>
      </c>
      <c r="H245" s="4">
        <v>101703.97</v>
      </c>
      <c r="S245" s="4" t="str">
        <v>ORD0306</v>
      </c>
      <c r="T245" s="4" t="str">
        <v>Tablet</v>
      </c>
      <c r="U245" s="4" t="str">
        <v>Electronics</v>
      </c>
      <c r="V245" s="4" t="str">
        <v>South</v>
      </c>
      <c r="W245" s="4" t="str">
        <v>Jan-2025</v>
      </c>
      <c r="X245" s="4">
        <v>83843</v>
      </c>
      <c r="Y245" s="4">
        <v>7</v>
      </c>
      <c r="Z245" s="4">
        <v>57927.81</v>
      </c>
    </row>
    <row r="246" spans="1:26" x14ac:dyDescent="0.3">
      <c r="A246" s="4" t="str">
        <v>ORD0325</v>
      </c>
      <c r="B246" s="4" t="str">
        <v>Headphones</v>
      </c>
      <c r="C246" s="4" t="str">
        <v>Accessories</v>
      </c>
      <c r="D246" s="4" t="str">
        <v>North</v>
      </c>
      <c r="E246" s="4" t="str">
        <v>Jun-2025</v>
      </c>
      <c r="F246" s="4">
        <v>81219</v>
      </c>
      <c r="G246" s="4">
        <v>3</v>
      </c>
      <c r="H246" s="4">
        <v>59811.97</v>
      </c>
      <c r="S246" s="4" t="str">
        <v>ORD0290</v>
      </c>
      <c r="T246" s="4" t="str">
        <v>Tablet</v>
      </c>
      <c r="U246" s="4" t="str">
        <v>Electronics</v>
      </c>
      <c r="V246" s="4" t="str">
        <v>South</v>
      </c>
      <c r="W246" s="4" t="str">
        <v>Aug-2025</v>
      </c>
      <c r="X246" s="4">
        <v>83403</v>
      </c>
      <c r="Y246" s="4">
        <v>8</v>
      </c>
      <c r="Z246" s="4">
        <v>54792.19</v>
      </c>
    </row>
    <row r="247" spans="1:26" x14ac:dyDescent="0.3">
      <c r="A247" s="4" t="str">
        <v>ORD0326</v>
      </c>
      <c r="B247" s="4" t="str">
        <v>Printer</v>
      </c>
      <c r="C247" s="4" t="str">
        <v>Peripherals</v>
      </c>
      <c r="D247" s="4" t="str">
        <v>South</v>
      </c>
      <c r="E247" s="4" t="str">
        <v>Oct-2025</v>
      </c>
      <c r="F247" s="4">
        <v>87418</v>
      </c>
      <c r="G247" s="4">
        <v>5</v>
      </c>
      <c r="H247" s="4">
        <v>53664.24</v>
      </c>
      <c r="S247" s="4" t="str">
        <v>ORD0415</v>
      </c>
      <c r="T247" s="4" t="str">
        <v>Phone</v>
      </c>
      <c r="U247" s="4" t="str">
        <v>Electronics</v>
      </c>
      <c r="V247" s="4" t="str">
        <v>East</v>
      </c>
      <c r="W247" s="4" t="str">
        <v>Sep-2025</v>
      </c>
      <c r="X247" s="4">
        <v>83372</v>
      </c>
      <c r="Y247" s="4">
        <v>15</v>
      </c>
      <c r="Z247" s="4">
        <v>53844.57</v>
      </c>
    </row>
    <row r="248" spans="1:26" x14ac:dyDescent="0.3">
      <c r="A248" s="4" t="str">
        <v>ORD0327</v>
      </c>
      <c r="B248" s="4" t="str">
        <v>Monitor</v>
      </c>
      <c r="C248" s="4" t="str">
        <v>Peripherals</v>
      </c>
      <c r="D248" s="4" t="str">
        <v>East</v>
      </c>
      <c r="E248" s="4" t="str">
        <v>Jan-2025</v>
      </c>
      <c r="F248" s="4">
        <v>63554</v>
      </c>
      <c r="G248" s="4">
        <v>7</v>
      </c>
      <c r="H248" s="4">
        <v>47494.95</v>
      </c>
      <c r="S248" s="4" t="str">
        <v>ORD0032</v>
      </c>
      <c r="T248" s="4" t="str">
        <v>Laptop</v>
      </c>
      <c r="U248" s="4" t="str">
        <v>Electronics</v>
      </c>
      <c r="V248" s="4" t="str">
        <v>West</v>
      </c>
      <c r="W248" s="4" t="str">
        <v>Mar-2025</v>
      </c>
      <c r="X248" s="4">
        <v>83263</v>
      </c>
      <c r="Y248" s="4">
        <v>9</v>
      </c>
      <c r="Z248" s="4">
        <v>60573.7</v>
      </c>
    </row>
    <row r="249" spans="1:26" x14ac:dyDescent="0.3">
      <c r="A249" s="4" t="str">
        <v>ORD0328</v>
      </c>
      <c r="B249" s="4" t="str">
        <v>Tablet</v>
      </c>
      <c r="C249" s="4" t="str">
        <v>Electronics</v>
      </c>
      <c r="D249" s="4" t="str">
        <v>West</v>
      </c>
      <c r="E249" s="4" t="str">
        <v>Apr-2025</v>
      </c>
      <c r="F249" s="4">
        <v>56670</v>
      </c>
      <c r="G249" s="4">
        <v>3</v>
      </c>
      <c r="H249" s="4">
        <v>34731.21</v>
      </c>
      <c r="S249" s="4" t="str">
        <v>ORD0051</v>
      </c>
      <c r="T249" s="4" t="str">
        <v>Phone</v>
      </c>
      <c r="U249" s="4" t="str">
        <v>Electronics</v>
      </c>
      <c r="V249" s="4" t="str">
        <v>East</v>
      </c>
      <c r="W249" s="4" t="str">
        <v>Sep-2025</v>
      </c>
      <c r="X249" s="4">
        <v>82994</v>
      </c>
      <c r="Y249" s="4">
        <v>12</v>
      </c>
      <c r="Z249" s="4">
        <v>60725.760000000002</v>
      </c>
    </row>
    <row r="250" spans="1:26" x14ac:dyDescent="0.3">
      <c r="A250" s="4" t="str">
        <v>ORD0329</v>
      </c>
      <c r="B250" s="4" t="str">
        <v>Printer</v>
      </c>
      <c r="C250" s="4" t="str">
        <v>Peripherals</v>
      </c>
      <c r="D250" s="4" t="str">
        <v>North</v>
      </c>
      <c r="E250" s="4" t="str">
        <v>Jan-2025</v>
      </c>
      <c r="F250" s="4">
        <v>103813</v>
      </c>
      <c r="G250" s="4">
        <v>10</v>
      </c>
      <c r="H250" s="4">
        <v>70081.41</v>
      </c>
      <c r="S250" s="4" t="str">
        <v>ORD0018</v>
      </c>
      <c r="T250" s="4" t="str">
        <v>Keyboard</v>
      </c>
      <c r="U250" s="4" t="str">
        <v>Accessories</v>
      </c>
      <c r="V250" s="4" t="str">
        <v>South</v>
      </c>
      <c r="W250" s="4" t="str">
        <v>Sep-2025</v>
      </c>
      <c r="X250" s="4">
        <v>82909</v>
      </c>
      <c r="Y250" s="4">
        <v>2</v>
      </c>
      <c r="Z250" s="4">
        <v>54247.89</v>
      </c>
    </row>
    <row r="251" spans="1:26" x14ac:dyDescent="0.3">
      <c r="A251" s="4" t="str">
        <v>ORD0330</v>
      </c>
      <c r="B251" s="4" t="str">
        <v>Headphones</v>
      </c>
      <c r="C251" s="4" t="str">
        <v>Accessories</v>
      </c>
      <c r="D251" s="4" t="str">
        <v>South</v>
      </c>
      <c r="E251" s="4" t="str">
        <v>Sep-2025</v>
      </c>
      <c r="F251" s="4">
        <v>86806</v>
      </c>
      <c r="G251" s="4">
        <v>1</v>
      </c>
      <c r="H251" s="4">
        <v>60768.73</v>
      </c>
      <c r="S251" s="4" t="str">
        <v>ORD0079</v>
      </c>
      <c r="T251" s="4" t="str">
        <v>Printer</v>
      </c>
      <c r="U251" s="4" t="str">
        <v>Peripherals</v>
      </c>
      <c r="V251" s="4" t="str">
        <v>East</v>
      </c>
      <c r="W251" s="4" t="str">
        <v>Jul-2025</v>
      </c>
      <c r="X251" s="4">
        <v>82002</v>
      </c>
      <c r="Y251" s="4">
        <v>5</v>
      </c>
      <c r="Z251" s="4">
        <v>50120.01</v>
      </c>
    </row>
    <row r="252" spans="1:26" x14ac:dyDescent="0.3">
      <c r="A252" s="4" t="str">
        <v>ORD0332</v>
      </c>
      <c r="B252" s="4" t="str">
        <v>Mouse</v>
      </c>
      <c r="C252" s="4" t="str">
        <v>Accessories</v>
      </c>
      <c r="D252" s="4" t="str">
        <v>West</v>
      </c>
      <c r="E252" s="4" t="str">
        <v>Dec-2025</v>
      </c>
      <c r="F252" s="4">
        <v>53399</v>
      </c>
      <c r="G252" s="4">
        <v>8</v>
      </c>
      <c r="H252" s="4">
        <v>33956.080000000002</v>
      </c>
      <c r="S252" s="4" t="str">
        <v>ORD0308</v>
      </c>
      <c r="T252" s="4" t="str">
        <v>Laptop</v>
      </c>
      <c r="U252" s="4" t="str">
        <v>Electronics</v>
      </c>
      <c r="V252" s="4" t="str">
        <v>West</v>
      </c>
      <c r="W252" s="4" t="str">
        <v>Jan-2025</v>
      </c>
      <c r="X252" s="4">
        <v>81636</v>
      </c>
      <c r="Y252" s="4">
        <v>3</v>
      </c>
      <c r="Z252" s="4">
        <v>50959.86</v>
      </c>
    </row>
    <row r="253" spans="1:26" x14ac:dyDescent="0.3">
      <c r="A253" s="4" t="str">
        <v>ORD0333</v>
      </c>
      <c r="B253" s="4" t="str">
        <v>Phone</v>
      </c>
      <c r="C253" s="4" t="str">
        <v>Electronics</v>
      </c>
      <c r="D253" s="4" t="str">
        <v>North</v>
      </c>
      <c r="E253" s="4" t="str">
        <v>Mar-2025</v>
      </c>
      <c r="F253" s="4">
        <v>67042</v>
      </c>
      <c r="G253" s="4">
        <v>7</v>
      </c>
      <c r="H253" s="4">
        <v>40850.46</v>
      </c>
      <c r="S253" s="4" t="str">
        <v>ORD0040</v>
      </c>
      <c r="T253" s="4" t="str">
        <v>Keyboard</v>
      </c>
      <c r="U253" s="4" t="str">
        <v>Accessories</v>
      </c>
      <c r="V253" s="4" t="str">
        <v>West</v>
      </c>
      <c r="W253" s="4" t="str">
        <v>Jun-2025</v>
      </c>
      <c r="X253" s="4">
        <v>81441</v>
      </c>
      <c r="Y253" s="4">
        <v>9</v>
      </c>
      <c r="Z253" s="4">
        <v>59683.6</v>
      </c>
    </row>
    <row r="254" spans="1:26" x14ac:dyDescent="0.3">
      <c r="A254" s="4" t="str">
        <v>ORD0335</v>
      </c>
      <c r="B254" s="4" t="str">
        <v>Phone</v>
      </c>
      <c r="C254" s="4" t="str">
        <v>Electronics</v>
      </c>
      <c r="D254" s="4" t="str">
        <v>East</v>
      </c>
      <c r="E254" s="4" t="str">
        <v>Oct-2025</v>
      </c>
      <c r="F254" s="4">
        <v>89979</v>
      </c>
      <c r="G254" s="4">
        <v>1</v>
      </c>
      <c r="H254" s="4">
        <v>54176.4</v>
      </c>
      <c r="S254" s="4" t="str">
        <v>ORD0325</v>
      </c>
      <c r="T254" s="4" t="str">
        <v>Headphones</v>
      </c>
      <c r="U254" s="4" t="str">
        <v>Accessories</v>
      </c>
      <c r="V254" s="4" t="str">
        <v>North</v>
      </c>
      <c r="W254" s="4" t="str">
        <v>Jun-2025</v>
      </c>
      <c r="X254" s="4">
        <v>81219</v>
      </c>
      <c r="Y254" s="4">
        <v>3</v>
      </c>
      <c r="Z254" s="4">
        <v>59811.97</v>
      </c>
    </row>
    <row r="255" spans="1:26" x14ac:dyDescent="0.3">
      <c r="A255" s="4" t="str">
        <v>ORD0336</v>
      </c>
      <c r="B255" s="4" t="str">
        <v>Monitor</v>
      </c>
      <c r="C255" s="4" t="str">
        <v>Peripherals</v>
      </c>
      <c r="D255" s="4" t="str">
        <v>West</v>
      </c>
      <c r="E255" s="4" t="str">
        <v>Oct-2025</v>
      </c>
      <c r="F255" s="4">
        <v>147250</v>
      </c>
      <c r="G255" s="4">
        <v>6</v>
      </c>
      <c r="H255" s="4">
        <v>98649.45</v>
      </c>
      <c r="S255" s="4" t="str">
        <v>ORD0345</v>
      </c>
      <c r="T255" s="4" t="str">
        <v>Tablet</v>
      </c>
      <c r="U255" s="4" t="str">
        <v>Electronics</v>
      </c>
      <c r="V255" s="4" t="str">
        <v>North</v>
      </c>
      <c r="W255" s="4" t="str">
        <v>Jun-2025</v>
      </c>
      <c r="X255" s="4">
        <v>80414</v>
      </c>
      <c r="Y255" s="4">
        <v>8</v>
      </c>
      <c r="Z255" s="4">
        <v>52317.38</v>
      </c>
    </row>
    <row r="256" spans="1:26" x14ac:dyDescent="0.3">
      <c r="A256" s="4" t="str">
        <v>ORD0337</v>
      </c>
      <c r="B256" s="4" t="str">
        <v>Mouse</v>
      </c>
      <c r="C256" s="4" t="str">
        <v>Accessories</v>
      </c>
      <c r="D256" s="4" t="str">
        <v>North</v>
      </c>
      <c r="E256" s="4" t="str">
        <v>Apr-2025</v>
      </c>
      <c r="F256" s="4">
        <v>136939</v>
      </c>
      <c r="G256" s="4">
        <v>2</v>
      </c>
      <c r="H256" s="4">
        <v>85940.21</v>
      </c>
      <c r="S256" s="4" t="str">
        <v>ORD0270</v>
      </c>
      <c r="T256" s="4" t="str">
        <v>Monitor</v>
      </c>
      <c r="U256" s="4" t="str">
        <v>Peripherals</v>
      </c>
      <c r="V256" s="4" t="str">
        <v>South</v>
      </c>
      <c r="W256" s="4" t="str">
        <v>Nov-2025</v>
      </c>
      <c r="X256" s="4">
        <v>80354</v>
      </c>
      <c r="Y256" s="4">
        <v>8</v>
      </c>
      <c r="Z256" s="4">
        <v>54081.71</v>
      </c>
    </row>
    <row r="257" spans="1:26" x14ac:dyDescent="0.3">
      <c r="A257" s="4" t="str">
        <v>ORD0338</v>
      </c>
      <c r="B257" s="4" t="str">
        <v>Printer</v>
      </c>
      <c r="C257" s="4" t="str">
        <v>Peripherals</v>
      </c>
      <c r="D257" s="4" t="str">
        <v>South</v>
      </c>
      <c r="E257" s="4" t="str">
        <v>Nov-2025</v>
      </c>
      <c r="F257" s="4">
        <v>111765</v>
      </c>
      <c r="G257" s="4">
        <v>15</v>
      </c>
      <c r="H257" s="4">
        <v>78251.429999999993</v>
      </c>
      <c r="S257" s="4" t="str">
        <v>ORD0282</v>
      </c>
      <c r="T257" s="4" t="str">
        <v>Monitor</v>
      </c>
      <c r="U257" s="4" t="str">
        <v>Peripherals</v>
      </c>
      <c r="V257" s="4" t="str">
        <v>South</v>
      </c>
      <c r="W257" s="4" t="str">
        <v>May-2025</v>
      </c>
      <c r="X257" s="4">
        <v>80085</v>
      </c>
      <c r="Y257" s="4">
        <v>2</v>
      </c>
      <c r="Z257" s="4">
        <v>54680.23</v>
      </c>
    </row>
    <row r="258" spans="1:26" x14ac:dyDescent="0.3">
      <c r="A258" s="4" t="str">
        <v>ORD0340</v>
      </c>
      <c r="B258" s="4" t="str">
        <v>Keyboard</v>
      </c>
      <c r="C258" s="4" t="str">
        <v>Accessories</v>
      </c>
      <c r="D258" s="4" t="str">
        <v>West</v>
      </c>
      <c r="E258" s="4" t="str">
        <v>Jan-2025</v>
      </c>
      <c r="F258" s="4">
        <v>56604</v>
      </c>
      <c r="G258" s="4">
        <v>4</v>
      </c>
      <c r="H258" s="4">
        <v>39392.75</v>
      </c>
      <c r="S258" s="4" t="str">
        <v>ORD0279</v>
      </c>
      <c r="T258" s="4" t="str">
        <v>Phone</v>
      </c>
      <c r="U258" s="4" t="str">
        <v>Electronics</v>
      </c>
      <c r="V258" s="4" t="str">
        <v>East</v>
      </c>
      <c r="W258" s="4" t="str">
        <v>Jun-2025</v>
      </c>
      <c r="X258" s="4">
        <v>79500</v>
      </c>
      <c r="Y258" s="4">
        <v>15</v>
      </c>
      <c r="Z258" s="4">
        <v>57325.96</v>
      </c>
    </row>
    <row r="259" spans="1:26" x14ac:dyDescent="0.3">
      <c r="A259" s="4" t="str">
        <v>ORD0341</v>
      </c>
      <c r="B259" s="4" t="str">
        <v>Headphones</v>
      </c>
      <c r="C259" s="4" t="str">
        <v>Accessories</v>
      </c>
      <c r="D259" s="4" t="str">
        <v>North</v>
      </c>
      <c r="E259" s="4" t="str">
        <v>Jan-2025</v>
      </c>
      <c r="F259" s="4">
        <v>92300</v>
      </c>
      <c r="G259" s="4">
        <v>5</v>
      </c>
      <c r="H259" s="4">
        <v>62078.7</v>
      </c>
      <c r="S259" s="4" t="str">
        <v>ORD0096</v>
      </c>
      <c r="T259" s="4" t="str">
        <v>Tablet</v>
      </c>
      <c r="U259" s="4" t="str">
        <v>Electronics</v>
      </c>
      <c r="V259" s="4" t="str">
        <v>West</v>
      </c>
      <c r="W259" s="4" t="str">
        <v>Jul-2025</v>
      </c>
      <c r="X259" s="4">
        <v>78845</v>
      </c>
      <c r="Y259" s="4">
        <v>1</v>
      </c>
      <c r="Z259" s="4">
        <v>54969.35</v>
      </c>
    </row>
    <row r="260" spans="1:26" x14ac:dyDescent="0.3">
      <c r="A260" s="4" t="str">
        <v>ORD0342</v>
      </c>
      <c r="B260" s="4" t="str">
        <v>Phone</v>
      </c>
      <c r="C260" s="4" t="str">
        <v>Electronics</v>
      </c>
      <c r="D260" s="4" t="str">
        <v>South</v>
      </c>
      <c r="E260" s="4" t="str">
        <v>May-2025</v>
      </c>
      <c r="F260" s="4">
        <v>65679</v>
      </c>
      <c r="G260" s="4">
        <v>13</v>
      </c>
      <c r="H260" s="4">
        <v>40953.35</v>
      </c>
      <c r="S260" s="4" t="str">
        <v>ORD0343</v>
      </c>
      <c r="T260" s="4" t="str">
        <v>Mouse</v>
      </c>
      <c r="U260" s="4" t="str">
        <v>Accessories</v>
      </c>
      <c r="V260" s="4" t="str">
        <v>East</v>
      </c>
      <c r="W260" s="4" t="str">
        <v>Dec-2025</v>
      </c>
      <c r="X260" s="4">
        <v>78673</v>
      </c>
      <c r="Y260" s="4">
        <v>3</v>
      </c>
      <c r="Z260" s="4">
        <v>48910</v>
      </c>
    </row>
    <row r="261" spans="1:26" x14ac:dyDescent="0.3">
      <c r="A261" s="4" t="str">
        <v>ORD0343</v>
      </c>
      <c r="B261" s="4" t="str">
        <v>Mouse</v>
      </c>
      <c r="C261" s="4" t="str">
        <v>Accessories</v>
      </c>
      <c r="D261" s="4" t="str">
        <v>East</v>
      </c>
      <c r="E261" s="4" t="str">
        <v>Dec-2025</v>
      </c>
      <c r="F261" s="4">
        <v>78673</v>
      </c>
      <c r="G261" s="4">
        <v>3</v>
      </c>
      <c r="H261" s="4">
        <v>48910</v>
      </c>
      <c r="S261" s="4" t="str">
        <v>ORD0203</v>
      </c>
      <c r="T261" s="4" t="str">
        <v>Laptop</v>
      </c>
      <c r="U261" s="4" t="str">
        <v>Electronics</v>
      </c>
      <c r="V261" s="4" t="str">
        <v>East</v>
      </c>
      <c r="W261" s="4" t="str">
        <v>Mar-2025</v>
      </c>
      <c r="X261" s="4">
        <v>78275</v>
      </c>
      <c r="Y261" s="4">
        <v>2</v>
      </c>
      <c r="Z261" s="4">
        <v>48383.34</v>
      </c>
    </row>
    <row r="262" spans="1:26" x14ac:dyDescent="0.3">
      <c r="A262" s="4" t="str">
        <v>ORD0344</v>
      </c>
      <c r="B262" s="4" t="str">
        <v>Laptop</v>
      </c>
      <c r="C262" s="4" t="str">
        <v>Electronics</v>
      </c>
      <c r="D262" s="4" t="str">
        <v>West</v>
      </c>
      <c r="E262" s="4" t="str">
        <v>Nov-2025</v>
      </c>
      <c r="F262" s="4">
        <v>101747</v>
      </c>
      <c r="G262" s="4">
        <v>3</v>
      </c>
      <c r="H262" s="4">
        <v>64737.38</v>
      </c>
      <c r="S262" s="4" t="str">
        <v>ORD0350</v>
      </c>
      <c r="T262" s="4" t="str">
        <v>Monitor</v>
      </c>
      <c r="U262" s="4" t="str">
        <v>Peripherals</v>
      </c>
      <c r="V262" s="4" t="str">
        <v>South</v>
      </c>
      <c r="W262" s="4" t="str">
        <v>Mar-2025</v>
      </c>
      <c r="X262" s="4">
        <v>78087</v>
      </c>
      <c r="Y262" s="4">
        <v>5</v>
      </c>
      <c r="Z262" s="4">
        <v>50077.02</v>
      </c>
    </row>
    <row r="263" spans="1:26" x14ac:dyDescent="0.3">
      <c r="A263" s="4" t="str">
        <v>ORD0345</v>
      </c>
      <c r="B263" s="4" t="str">
        <v>Tablet</v>
      </c>
      <c r="C263" s="4" t="str">
        <v>Electronics</v>
      </c>
      <c r="D263" s="4" t="str">
        <v>North</v>
      </c>
      <c r="E263" s="4" t="str">
        <v>Jun-2025</v>
      </c>
      <c r="F263" s="4">
        <v>80414</v>
      </c>
      <c r="G263" s="4">
        <v>8</v>
      </c>
      <c r="H263" s="4">
        <v>52317.38</v>
      </c>
      <c r="S263" s="4" t="str">
        <v>ORD0309</v>
      </c>
      <c r="T263" s="4" t="str">
        <v>Tablet</v>
      </c>
      <c r="U263" s="4" t="str">
        <v>Electronics</v>
      </c>
      <c r="V263" s="4" t="str">
        <v>North</v>
      </c>
      <c r="W263" s="4" t="str">
        <v>Sep-2025</v>
      </c>
      <c r="X263" s="4">
        <v>77434</v>
      </c>
      <c r="Y263" s="4">
        <v>11</v>
      </c>
      <c r="Z263" s="4">
        <v>57719.78</v>
      </c>
    </row>
    <row r="264" spans="1:26" x14ac:dyDescent="0.3">
      <c r="A264" s="4" t="str">
        <v>ORD0346</v>
      </c>
      <c r="B264" s="4" t="str">
        <v>Keyboard</v>
      </c>
      <c r="C264" s="4" t="str">
        <v>Accessories</v>
      </c>
      <c r="D264" s="4" t="str">
        <v>South</v>
      </c>
      <c r="E264" s="4" t="str">
        <v>May-2025</v>
      </c>
      <c r="F264" s="4">
        <v>120036</v>
      </c>
      <c r="G264" s="4">
        <v>8</v>
      </c>
      <c r="H264" s="4">
        <v>77955.490000000005</v>
      </c>
      <c r="S264" s="4" t="str">
        <v>ORD0447</v>
      </c>
      <c r="T264" s="4" t="str">
        <v>Mouse</v>
      </c>
      <c r="U264" s="4" t="str">
        <v>Accessories</v>
      </c>
      <c r="V264" s="4" t="str">
        <v>East</v>
      </c>
      <c r="W264" s="4" t="str">
        <v>Nov-2025</v>
      </c>
      <c r="X264" s="4">
        <v>76521</v>
      </c>
      <c r="Y264" s="4">
        <v>11</v>
      </c>
      <c r="Z264" s="4">
        <v>52235.15</v>
      </c>
    </row>
    <row r="265" spans="1:26" x14ac:dyDescent="0.3">
      <c r="A265" s="4" t="str">
        <v>ORD0347</v>
      </c>
      <c r="B265" s="4" t="str">
        <v>Laptop</v>
      </c>
      <c r="C265" s="4" t="str">
        <v>Electronics</v>
      </c>
      <c r="D265" s="4" t="str">
        <v>East</v>
      </c>
      <c r="E265" s="4" t="str">
        <v>Aug-2025</v>
      </c>
      <c r="F265" s="4">
        <v>120567</v>
      </c>
      <c r="G265" s="4">
        <v>15</v>
      </c>
      <c r="H265" s="4">
        <v>88595.97</v>
      </c>
      <c r="S265" s="4" t="str">
        <v>ORD0321</v>
      </c>
      <c r="T265" s="4" t="str">
        <v>Keyboard</v>
      </c>
      <c r="U265" s="4" t="str">
        <v>Accessories</v>
      </c>
      <c r="V265" s="4" t="str">
        <v>North</v>
      </c>
      <c r="W265" s="4" t="str">
        <v>Jun-2025</v>
      </c>
      <c r="X265" s="4">
        <v>76448</v>
      </c>
      <c r="Y265" s="4">
        <v>14</v>
      </c>
      <c r="Z265" s="4">
        <v>56759.68</v>
      </c>
    </row>
    <row r="266" spans="1:26" x14ac:dyDescent="0.3">
      <c r="A266" s="4" t="str">
        <v>ORD0350</v>
      </c>
      <c r="B266" s="4" t="str">
        <v>Monitor</v>
      </c>
      <c r="C266" s="4" t="str">
        <v>Peripherals</v>
      </c>
      <c r="D266" s="4" t="str">
        <v>South</v>
      </c>
      <c r="E266" s="4" t="str">
        <v>Mar-2025</v>
      </c>
      <c r="F266" s="4">
        <v>78087</v>
      </c>
      <c r="G266" s="4">
        <v>5</v>
      </c>
      <c r="H266" s="4">
        <v>50077.02</v>
      </c>
      <c r="S266" s="4" t="str">
        <v>ORD0268</v>
      </c>
      <c r="T266" s="4" t="str">
        <v>Tablet</v>
      </c>
      <c r="U266" s="4" t="str">
        <v>Electronics</v>
      </c>
      <c r="V266" s="4" t="str">
        <v>West</v>
      </c>
      <c r="W266" s="4" t="str">
        <v>Feb-2025</v>
      </c>
      <c r="X266" s="4">
        <v>76106</v>
      </c>
      <c r="Y266" s="4">
        <v>6</v>
      </c>
      <c r="Z266" s="4">
        <v>54268.79</v>
      </c>
    </row>
    <row r="267" spans="1:26" x14ac:dyDescent="0.3">
      <c r="A267" s="4" t="str">
        <v>ORD0351</v>
      </c>
      <c r="B267" s="4" t="str">
        <v>Laptop</v>
      </c>
      <c r="C267" s="4" t="str">
        <v>Electronics</v>
      </c>
      <c r="D267" s="4" t="str">
        <v>East</v>
      </c>
      <c r="E267" s="4" t="str">
        <v>Jul-2025</v>
      </c>
      <c r="F267" s="4">
        <v>75449</v>
      </c>
      <c r="G267" s="4">
        <v>10</v>
      </c>
      <c r="H267" s="4">
        <v>50454.26</v>
      </c>
      <c r="S267" s="4" t="str">
        <v>ORD0227</v>
      </c>
      <c r="T267" s="4" t="str">
        <v>Laptop</v>
      </c>
      <c r="U267" s="4" t="str">
        <v>Electronics</v>
      </c>
      <c r="V267" s="4" t="str">
        <v>East</v>
      </c>
      <c r="W267" s="4" t="str">
        <v>Oct-2025</v>
      </c>
      <c r="X267" s="4">
        <v>75730</v>
      </c>
      <c r="Y267" s="4">
        <v>4</v>
      </c>
      <c r="Z267" s="4">
        <v>53041.4</v>
      </c>
    </row>
    <row r="268" spans="1:26" x14ac:dyDescent="0.3">
      <c r="A268" s="4" t="str">
        <v>ORD0352</v>
      </c>
      <c r="B268" s="4" t="str">
        <v>Keyboard</v>
      </c>
      <c r="C268" s="4" t="str">
        <v>Accessories</v>
      </c>
      <c r="D268" s="4" t="str">
        <v>West</v>
      </c>
      <c r="E268" s="4" t="str">
        <v>Feb-2025</v>
      </c>
      <c r="F268" s="4">
        <v>116619</v>
      </c>
      <c r="G268" s="4">
        <v>4</v>
      </c>
      <c r="H268" s="4">
        <v>77150.509999999995</v>
      </c>
      <c r="S268" s="4" t="str">
        <v>ORD0284</v>
      </c>
      <c r="T268" s="4" t="str">
        <v>Laptop</v>
      </c>
      <c r="U268" s="4" t="str">
        <v>Electronics</v>
      </c>
      <c r="V268" s="4" t="str">
        <v>West</v>
      </c>
      <c r="W268" s="4" t="str">
        <v>Jun-2025</v>
      </c>
      <c r="X268" s="4">
        <v>75551</v>
      </c>
      <c r="Y268" s="4">
        <v>1</v>
      </c>
      <c r="Z268" s="4">
        <v>56148.36</v>
      </c>
    </row>
    <row r="269" spans="1:26" x14ac:dyDescent="0.3">
      <c r="A269" s="4" t="str">
        <v>ORD0353</v>
      </c>
      <c r="B269" s="4" t="str">
        <v>Monitor</v>
      </c>
      <c r="C269" s="4" t="str">
        <v>Peripherals</v>
      </c>
      <c r="D269" s="4" t="str">
        <v>North</v>
      </c>
      <c r="E269" s="4" t="str">
        <v>Apr-2025</v>
      </c>
      <c r="F269" s="4">
        <v>105639</v>
      </c>
      <c r="G269" s="4">
        <v>5</v>
      </c>
      <c r="H269" s="4">
        <v>64064.32</v>
      </c>
      <c r="S269" s="4" t="str">
        <v>ORD0112</v>
      </c>
      <c r="T269" s="4" t="str">
        <v>Monitor</v>
      </c>
      <c r="U269" s="4" t="str">
        <v>Peripherals</v>
      </c>
      <c r="V269" s="4" t="str">
        <v>West</v>
      </c>
      <c r="W269" s="4" t="str">
        <v>Dec-2025</v>
      </c>
      <c r="X269" s="4">
        <v>75482</v>
      </c>
      <c r="Y269" s="4">
        <v>5</v>
      </c>
      <c r="Z269" s="4">
        <v>52590.11</v>
      </c>
    </row>
    <row r="270" spans="1:26" x14ac:dyDescent="0.3">
      <c r="A270" s="4" t="str">
        <v>ORD0354</v>
      </c>
      <c r="B270" s="4" t="str">
        <v>Tablet</v>
      </c>
      <c r="C270" s="4" t="str">
        <v>Electronics</v>
      </c>
      <c r="D270" s="4" t="str">
        <v>South</v>
      </c>
      <c r="E270" s="4" t="str">
        <v>Jul-2025</v>
      </c>
      <c r="F270" s="4">
        <v>90037</v>
      </c>
      <c r="G270" s="4">
        <v>12</v>
      </c>
      <c r="H270" s="4">
        <v>64683.35</v>
      </c>
      <c r="S270" s="4" t="str">
        <v>ORD0351</v>
      </c>
      <c r="T270" s="4" t="str">
        <v>Laptop</v>
      </c>
      <c r="U270" s="4" t="str">
        <v>Electronics</v>
      </c>
      <c r="V270" s="4" t="str">
        <v>East</v>
      </c>
      <c r="W270" s="4" t="str">
        <v>Jul-2025</v>
      </c>
      <c r="X270" s="4">
        <v>75449</v>
      </c>
      <c r="Y270" s="4">
        <v>10</v>
      </c>
      <c r="Z270" s="4">
        <v>50454.26</v>
      </c>
    </row>
    <row r="271" spans="1:26" x14ac:dyDescent="0.3">
      <c r="A271" s="4" t="str">
        <v>ORD0355</v>
      </c>
      <c r="B271" s="4" t="str">
        <v>Mouse</v>
      </c>
      <c r="C271" s="4" t="str">
        <v>Accessories</v>
      </c>
      <c r="D271" s="4" t="str">
        <v>East</v>
      </c>
      <c r="E271" s="4" t="str">
        <v>Nov-2025</v>
      </c>
      <c r="F271" s="4">
        <v>88744</v>
      </c>
      <c r="G271" s="4">
        <v>12</v>
      </c>
      <c r="H271" s="4">
        <v>65700.14</v>
      </c>
      <c r="S271" s="4" t="str">
        <v>ORD0157</v>
      </c>
      <c r="T271" s="4" t="str">
        <v>Monitor</v>
      </c>
      <c r="U271" s="4" t="str">
        <v>Peripherals</v>
      </c>
      <c r="V271" s="4" t="str">
        <v>North</v>
      </c>
      <c r="W271" s="4" t="str">
        <v>Apr-2025</v>
      </c>
      <c r="X271" s="4">
        <v>75341</v>
      </c>
      <c r="Y271" s="4">
        <v>3</v>
      </c>
      <c r="Z271" s="4">
        <v>54711.88</v>
      </c>
    </row>
    <row r="272" spans="1:26" x14ac:dyDescent="0.3">
      <c r="A272" s="4" t="str">
        <v>ORD0356</v>
      </c>
      <c r="B272" s="4" t="str">
        <v>Monitor</v>
      </c>
      <c r="C272" s="4" t="str">
        <v>Peripherals</v>
      </c>
      <c r="D272" s="4" t="str">
        <v>West</v>
      </c>
      <c r="E272" s="4" t="str">
        <v>Jun-2025</v>
      </c>
      <c r="F272" s="4">
        <v>102159</v>
      </c>
      <c r="G272" s="4">
        <v>4</v>
      </c>
      <c r="H272" s="4">
        <v>68140.02</v>
      </c>
      <c r="S272" s="4" t="str">
        <v>ORD0046</v>
      </c>
      <c r="T272" s="4" t="str">
        <v>Laptop</v>
      </c>
      <c r="U272" s="4" t="str">
        <v>Electronics</v>
      </c>
      <c r="V272" s="4" t="str">
        <v>South</v>
      </c>
      <c r="W272" s="4" t="str">
        <v>Oct-2025</v>
      </c>
      <c r="X272" s="4">
        <v>75036</v>
      </c>
      <c r="Y272" s="4">
        <v>9</v>
      </c>
      <c r="Z272" s="4">
        <v>50371.839999999997</v>
      </c>
    </row>
    <row r="273" spans="1:26" x14ac:dyDescent="0.3">
      <c r="A273" s="4" t="str">
        <v>ORD0357</v>
      </c>
      <c r="B273" s="4" t="str">
        <v>Keyboard</v>
      </c>
      <c r="C273" s="4" t="str">
        <v>Accessories</v>
      </c>
      <c r="D273" s="4" t="str">
        <v>North</v>
      </c>
      <c r="E273" s="4" t="str">
        <v>Nov-2025</v>
      </c>
      <c r="F273" s="4">
        <v>56121</v>
      </c>
      <c r="G273" s="4">
        <v>15</v>
      </c>
      <c r="H273" s="4">
        <v>39723.78</v>
      </c>
      <c r="S273" s="4" t="str">
        <v>ORD0318</v>
      </c>
      <c r="T273" s="4" t="str">
        <v>Phone</v>
      </c>
      <c r="U273" s="4" t="str">
        <v>Electronics</v>
      </c>
      <c r="V273" s="4" t="str">
        <v>South</v>
      </c>
      <c r="W273" s="4" t="str">
        <v>Oct-2025</v>
      </c>
      <c r="X273" s="4">
        <v>74527</v>
      </c>
      <c r="Y273" s="4">
        <v>11</v>
      </c>
      <c r="Z273" s="4">
        <v>44782.17</v>
      </c>
    </row>
    <row r="274" spans="1:26" x14ac:dyDescent="0.3">
      <c r="A274" s="4" t="str">
        <v>ORD0358</v>
      </c>
      <c r="B274" s="4" t="str">
        <v>Laptop</v>
      </c>
      <c r="C274" s="4" t="str">
        <v>Electronics</v>
      </c>
      <c r="D274" s="4" t="str">
        <v>South</v>
      </c>
      <c r="E274" s="4" t="str">
        <v>May-2025</v>
      </c>
      <c r="F274" s="4">
        <v>57318</v>
      </c>
      <c r="G274" s="4">
        <v>4</v>
      </c>
      <c r="H274" s="4">
        <v>35074.65</v>
      </c>
      <c r="S274" s="4" t="str">
        <v>ORD0266</v>
      </c>
      <c r="T274" s="4" t="str">
        <v>Headphones</v>
      </c>
      <c r="U274" s="4" t="str">
        <v>Accessories</v>
      </c>
      <c r="V274" s="4" t="str">
        <v>South</v>
      </c>
      <c r="W274" s="4" t="str">
        <v>Jul-2025</v>
      </c>
      <c r="X274" s="4">
        <v>74179</v>
      </c>
      <c r="Y274" s="4">
        <v>11</v>
      </c>
      <c r="Z274" s="4">
        <v>54967.43</v>
      </c>
    </row>
    <row r="275" spans="1:26" x14ac:dyDescent="0.3">
      <c r="A275" s="4" t="str">
        <v>ORD0362</v>
      </c>
      <c r="B275" s="4" t="str">
        <v>Mouse</v>
      </c>
      <c r="C275" s="4" t="str">
        <v>Accessories</v>
      </c>
      <c r="D275" s="4" t="str">
        <v>South</v>
      </c>
      <c r="E275" s="4" t="str">
        <v>May-2025</v>
      </c>
      <c r="F275" s="4">
        <v>116243</v>
      </c>
      <c r="G275" s="4">
        <v>11</v>
      </c>
      <c r="H275" s="4">
        <v>73031.53</v>
      </c>
      <c r="S275" s="4" t="str">
        <v>ORD0071</v>
      </c>
      <c r="T275" s="4" t="str">
        <v>Keyboard</v>
      </c>
      <c r="U275" s="4" t="str">
        <v>Accessories</v>
      </c>
      <c r="V275" s="4" t="str">
        <v>East</v>
      </c>
      <c r="W275" s="4" t="str">
        <v>Feb-2025</v>
      </c>
      <c r="X275" s="4">
        <v>73409</v>
      </c>
      <c r="Y275" s="4">
        <v>10</v>
      </c>
      <c r="Z275" s="4">
        <v>48166.55</v>
      </c>
    </row>
    <row r="276" spans="1:26" x14ac:dyDescent="0.3">
      <c r="A276" s="4" t="str">
        <v>ORD0363</v>
      </c>
      <c r="B276" s="4" t="str">
        <v>Phone</v>
      </c>
      <c r="C276" s="4" t="str">
        <v>Electronics</v>
      </c>
      <c r="D276" s="4" t="str">
        <v>East</v>
      </c>
      <c r="E276" s="4" t="str">
        <v>Jan-2025</v>
      </c>
      <c r="F276" s="4">
        <v>91542</v>
      </c>
      <c r="G276" s="4">
        <v>14</v>
      </c>
      <c r="H276" s="4">
        <v>65106.73</v>
      </c>
      <c r="S276" s="4" t="str">
        <v>ORD0216</v>
      </c>
      <c r="T276" s="4" t="str">
        <v>Phone</v>
      </c>
      <c r="U276" s="4" t="str">
        <v>Electronics</v>
      </c>
      <c r="V276" s="4" t="str">
        <v>West</v>
      </c>
      <c r="W276" s="4" t="str">
        <v>Jan-2025</v>
      </c>
      <c r="X276" s="4">
        <v>73292</v>
      </c>
      <c r="Y276" s="4">
        <v>1</v>
      </c>
      <c r="Z276" s="4">
        <v>54905.58</v>
      </c>
    </row>
    <row r="277" spans="1:26" x14ac:dyDescent="0.3">
      <c r="A277" s="4" t="str">
        <v>ORD0365</v>
      </c>
      <c r="B277" s="4" t="str">
        <v>Mouse</v>
      </c>
      <c r="C277" s="4" t="str">
        <v>Accessories</v>
      </c>
      <c r="D277" s="4" t="str">
        <v>North</v>
      </c>
      <c r="E277" s="4" t="str">
        <v>Aug-2025</v>
      </c>
      <c r="F277" s="4">
        <v>60903</v>
      </c>
      <c r="G277" s="4">
        <v>15</v>
      </c>
      <c r="H277" s="4">
        <v>37327.839999999997</v>
      </c>
      <c r="S277" s="4" t="str">
        <v>ORD0185</v>
      </c>
      <c r="T277" s="4" t="str">
        <v>Mouse</v>
      </c>
      <c r="U277" s="4" t="str">
        <v>Accessories</v>
      </c>
      <c r="V277" s="4" t="str">
        <v>North</v>
      </c>
      <c r="W277" s="4" t="str">
        <v>Aug-2025</v>
      </c>
      <c r="X277" s="4">
        <v>72709</v>
      </c>
      <c r="Y277" s="4">
        <v>11</v>
      </c>
      <c r="Z277" s="4">
        <v>47127.07</v>
      </c>
    </row>
    <row r="278" spans="1:26" x14ac:dyDescent="0.3">
      <c r="A278" s="4" t="str">
        <v>ORD0366</v>
      </c>
      <c r="B278" s="4" t="str">
        <v>Headphones</v>
      </c>
      <c r="C278" s="4" t="str">
        <v>Accessories</v>
      </c>
      <c r="D278" s="4" t="str">
        <v>South</v>
      </c>
      <c r="E278" s="4" t="str">
        <v>Oct-2025</v>
      </c>
      <c r="F278" s="4">
        <v>95361</v>
      </c>
      <c r="G278" s="4">
        <v>13</v>
      </c>
      <c r="H278" s="4">
        <v>61317.13</v>
      </c>
      <c r="S278" s="4" t="str">
        <v>ORD0138</v>
      </c>
      <c r="T278" s="4" t="str">
        <v>Monitor</v>
      </c>
      <c r="U278" s="4" t="str">
        <v>Peripherals</v>
      </c>
      <c r="V278" s="4" t="str">
        <v>South</v>
      </c>
      <c r="W278" s="4" t="str">
        <v>Aug-2025</v>
      </c>
      <c r="X278" s="4">
        <v>72565</v>
      </c>
      <c r="Y278" s="4">
        <v>3</v>
      </c>
      <c r="Z278" s="4">
        <v>53181.4</v>
      </c>
    </row>
    <row r="279" spans="1:26" x14ac:dyDescent="0.3">
      <c r="A279" s="4" t="str">
        <v>ORD0367</v>
      </c>
      <c r="B279" s="4" t="str">
        <v>Mouse</v>
      </c>
      <c r="C279" s="4" t="str">
        <v>Accessories</v>
      </c>
      <c r="D279" s="4" t="str">
        <v>East</v>
      </c>
      <c r="E279" s="4" t="str">
        <v>Jan-2025</v>
      </c>
      <c r="F279" s="4">
        <v>141156</v>
      </c>
      <c r="G279" s="4">
        <v>4</v>
      </c>
      <c r="H279" s="4">
        <v>101746.26</v>
      </c>
      <c r="S279" s="4" t="str">
        <v>ORD0305</v>
      </c>
      <c r="T279" s="4" t="str">
        <v>Printer</v>
      </c>
      <c r="U279" s="4" t="str">
        <v>Peripherals</v>
      </c>
      <c r="V279" s="4" t="str">
        <v>North</v>
      </c>
      <c r="W279" s="4" t="str">
        <v>Jul-2025</v>
      </c>
      <c r="X279" s="4">
        <v>72440</v>
      </c>
      <c r="Y279" s="4">
        <v>11</v>
      </c>
      <c r="Z279" s="4">
        <v>52329.36</v>
      </c>
    </row>
    <row r="280" spans="1:26" x14ac:dyDescent="0.3">
      <c r="A280" s="4" t="str">
        <v>ORD0368</v>
      </c>
      <c r="B280" s="4" t="str">
        <v>Phone</v>
      </c>
      <c r="C280" s="4" t="str">
        <v>Electronics</v>
      </c>
      <c r="D280" s="4" t="str">
        <v>West</v>
      </c>
      <c r="E280" s="4" t="str">
        <v>Jul-2025</v>
      </c>
      <c r="F280" s="4">
        <v>134499</v>
      </c>
      <c r="G280" s="4">
        <v>10</v>
      </c>
      <c r="H280" s="4">
        <v>89399.55</v>
      </c>
      <c r="S280" s="4" t="str">
        <v>ORD0378</v>
      </c>
      <c r="T280" s="4" t="str">
        <v>Keyboard</v>
      </c>
      <c r="U280" s="4" t="str">
        <v>Accessories</v>
      </c>
      <c r="V280" s="4" t="str">
        <v>South</v>
      </c>
      <c r="W280" s="4" t="str">
        <v>Jun-2025</v>
      </c>
      <c r="X280" s="4">
        <v>72439</v>
      </c>
      <c r="Y280" s="4">
        <v>1</v>
      </c>
      <c r="Z280" s="4">
        <v>48486.89</v>
      </c>
    </row>
    <row r="281" spans="1:26" x14ac:dyDescent="0.3">
      <c r="A281" s="4" t="str">
        <v>ORD0369</v>
      </c>
      <c r="B281" s="4" t="str">
        <v>Printer</v>
      </c>
      <c r="C281" s="4" t="str">
        <v>Peripherals</v>
      </c>
      <c r="D281" s="4" t="str">
        <v>North</v>
      </c>
      <c r="E281" s="4" t="str">
        <v>Apr-2025</v>
      </c>
      <c r="F281" s="4">
        <v>86383</v>
      </c>
      <c r="G281" s="4">
        <v>11</v>
      </c>
      <c r="H281" s="4">
        <v>57194.43</v>
      </c>
      <c r="S281" s="4" t="str">
        <v>ORD0090</v>
      </c>
      <c r="T281" s="4" t="str">
        <v>Monitor</v>
      </c>
      <c r="U281" s="4" t="str">
        <v>Peripherals</v>
      </c>
      <c r="V281" s="4" t="str">
        <v>South</v>
      </c>
      <c r="W281" s="4" t="str">
        <v>Dec-2025</v>
      </c>
      <c r="X281" s="4">
        <v>72356</v>
      </c>
      <c r="Y281" s="4">
        <v>8</v>
      </c>
      <c r="Z281" s="4">
        <v>46726.81</v>
      </c>
    </row>
    <row r="282" spans="1:26" x14ac:dyDescent="0.3">
      <c r="A282" s="4" t="str">
        <v>ORD0371</v>
      </c>
      <c r="B282" s="4" t="str">
        <v>Keyboard</v>
      </c>
      <c r="C282" s="4" t="str">
        <v>Accessories</v>
      </c>
      <c r="D282" s="4" t="str">
        <v>East</v>
      </c>
      <c r="E282" s="4" t="str">
        <v>Jan-2025</v>
      </c>
      <c r="F282" s="4">
        <v>101262</v>
      </c>
      <c r="G282" s="4">
        <v>11</v>
      </c>
      <c r="H282" s="4">
        <v>72135.81</v>
      </c>
      <c r="S282" s="4" t="str">
        <v>ORD0235</v>
      </c>
      <c r="T282" s="4" t="str">
        <v>Mouse</v>
      </c>
      <c r="U282" s="4" t="str">
        <v>Accessories</v>
      </c>
      <c r="V282" s="4" t="str">
        <v>East</v>
      </c>
      <c r="W282" s="4" t="str">
        <v>May-2025</v>
      </c>
      <c r="X282" s="4">
        <v>71867</v>
      </c>
      <c r="Y282" s="4">
        <v>6</v>
      </c>
      <c r="Z282" s="4">
        <v>47242.25</v>
      </c>
    </row>
    <row r="283" spans="1:26" x14ac:dyDescent="0.3">
      <c r="A283" s="4" t="str">
        <v>ORD0372</v>
      </c>
      <c r="B283" s="4" t="str">
        <v>Tablet</v>
      </c>
      <c r="C283" s="4" t="str">
        <v>Electronics</v>
      </c>
      <c r="D283" s="4" t="str">
        <v>West</v>
      </c>
      <c r="E283" s="4" t="str">
        <v>Aug-2025</v>
      </c>
      <c r="F283" s="4">
        <v>125484</v>
      </c>
      <c r="G283" s="4">
        <v>6</v>
      </c>
      <c r="H283" s="4">
        <v>84195.05</v>
      </c>
      <c r="S283" s="4" t="str">
        <v>ORD0119</v>
      </c>
      <c r="T283" s="4" t="str">
        <v>Headphones</v>
      </c>
      <c r="U283" s="4" t="str">
        <v>Accessories</v>
      </c>
      <c r="V283" s="4" t="str">
        <v>East</v>
      </c>
      <c r="W283" s="4" t="str">
        <v>Oct-2025</v>
      </c>
      <c r="X283" s="4">
        <v>71792</v>
      </c>
      <c r="Y283" s="4">
        <v>3</v>
      </c>
      <c r="Z283" s="4">
        <v>50084.21</v>
      </c>
    </row>
    <row r="284" spans="1:26" x14ac:dyDescent="0.3">
      <c r="A284" s="4" t="str">
        <v>ORD0373</v>
      </c>
      <c r="B284" s="4" t="str">
        <v>Monitor</v>
      </c>
      <c r="C284" s="4" t="str">
        <v>Peripherals</v>
      </c>
      <c r="D284" s="4" t="str">
        <v>North</v>
      </c>
      <c r="E284" s="4" t="str">
        <v>Apr-2025</v>
      </c>
      <c r="F284" s="4">
        <v>100019</v>
      </c>
      <c r="G284" s="4">
        <v>1</v>
      </c>
      <c r="H284" s="4">
        <v>62625.84</v>
      </c>
      <c r="S284" s="4" t="str">
        <v>ORD0471</v>
      </c>
      <c r="T284" s="4" t="str">
        <v>Printer</v>
      </c>
      <c r="U284" s="4" t="str">
        <v>Peripherals</v>
      </c>
      <c r="V284" s="4" t="str">
        <v>East</v>
      </c>
      <c r="W284" s="4" t="str">
        <v>Dec-2025</v>
      </c>
      <c r="X284" s="4">
        <v>71567</v>
      </c>
      <c r="Y284" s="4">
        <v>13</v>
      </c>
      <c r="Z284" s="4">
        <v>45494</v>
      </c>
    </row>
    <row r="285" spans="1:26" x14ac:dyDescent="0.3">
      <c r="A285" s="4" t="str">
        <v>ORD0374</v>
      </c>
      <c r="B285" s="4" t="str">
        <v>Monitor</v>
      </c>
      <c r="C285" s="4" t="str">
        <v>Peripherals</v>
      </c>
      <c r="D285" s="4" t="str">
        <v>South</v>
      </c>
      <c r="E285" s="4" t="str">
        <v>Jul-2025</v>
      </c>
      <c r="F285" s="4">
        <v>68542</v>
      </c>
      <c r="G285" s="4">
        <v>7</v>
      </c>
      <c r="H285" s="4">
        <v>47573.47</v>
      </c>
      <c r="S285" s="4" t="str">
        <v>ORD0128</v>
      </c>
      <c r="T285" s="4" t="str">
        <v>Monitor</v>
      </c>
      <c r="U285" s="4" t="str">
        <v>Peripherals</v>
      </c>
      <c r="V285" s="4" t="str">
        <v>West</v>
      </c>
      <c r="W285" s="4" t="str">
        <v>Dec-2025</v>
      </c>
      <c r="X285" s="4">
        <v>71506</v>
      </c>
      <c r="Y285" s="4">
        <v>7</v>
      </c>
      <c r="Z285" s="4">
        <v>47575.63</v>
      </c>
    </row>
    <row r="286" spans="1:26" x14ac:dyDescent="0.3">
      <c r="A286" s="4" t="str">
        <v>ORD0375</v>
      </c>
      <c r="B286" s="4" t="str">
        <v>Tablet</v>
      </c>
      <c r="C286" s="4" t="str">
        <v>Electronics</v>
      </c>
      <c r="D286" s="4" t="str">
        <v>East</v>
      </c>
      <c r="E286" s="4" t="str">
        <v>Jan-2025</v>
      </c>
      <c r="F286" s="4">
        <v>68004</v>
      </c>
      <c r="G286" s="4">
        <v>4</v>
      </c>
      <c r="H286" s="4">
        <v>46341.05</v>
      </c>
      <c r="S286" s="4" t="str">
        <v>ORD0170</v>
      </c>
      <c r="T286" s="4" t="str">
        <v>Monitor</v>
      </c>
      <c r="U286" s="4" t="str">
        <v>Peripherals</v>
      </c>
      <c r="V286" s="4" t="str">
        <v>South</v>
      </c>
      <c r="W286" s="4" t="str">
        <v>Apr-2025</v>
      </c>
      <c r="X286" s="4">
        <v>71149</v>
      </c>
      <c r="Y286" s="4">
        <v>8</v>
      </c>
      <c r="Z286" s="4">
        <v>44541.73</v>
      </c>
    </row>
    <row r="287" spans="1:26" x14ac:dyDescent="0.3">
      <c r="A287" s="4" t="str">
        <v>ORD0376</v>
      </c>
      <c r="B287" s="4" t="str">
        <v>Phone</v>
      </c>
      <c r="C287" s="4" t="str">
        <v>Electronics</v>
      </c>
      <c r="D287" s="4" t="str">
        <v>West</v>
      </c>
      <c r="E287" s="4" t="str">
        <v>Mar-2025</v>
      </c>
      <c r="F287" s="4">
        <v>101085</v>
      </c>
      <c r="G287" s="4">
        <v>9</v>
      </c>
      <c r="H287" s="4">
        <v>67488.37</v>
      </c>
      <c r="S287" s="4" t="str">
        <v>ORD0068</v>
      </c>
      <c r="T287" s="4" t="str">
        <v>Phone</v>
      </c>
      <c r="U287" s="4" t="str">
        <v>Electronics</v>
      </c>
      <c r="V287" s="4" t="str">
        <v>West</v>
      </c>
      <c r="W287" s="4" t="str">
        <v>Dec-2025</v>
      </c>
      <c r="X287" s="4">
        <v>70507</v>
      </c>
      <c r="Y287" s="4">
        <v>1</v>
      </c>
      <c r="Z287" s="4">
        <v>49512.959999999999</v>
      </c>
    </row>
    <row r="288" spans="1:26" x14ac:dyDescent="0.3">
      <c r="A288" s="4" t="str">
        <v>ORD0377</v>
      </c>
      <c r="B288" s="4" t="str">
        <v>Headphones</v>
      </c>
      <c r="C288" s="4" t="str">
        <v>Accessories</v>
      </c>
      <c r="D288" s="4" t="str">
        <v>North</v>
      </c>
      <c r="E288" s="4" t="str">
        <v>Apr-2025</v>
      </c>
      <c r="F288" s="4">
        <v>109601</v>
      </c>
      <c r="G288" s="4">
        <v>10</v>
      </c>
      <c r="H288" s="4">
        <v>78724.67</v>
      </c>
      <c r="S288" s="4" t="str">
        <v>ORD0008</v>
      </c>
      <c r="T288" s="4" t="str">
        <v>Laptop</v>
      </c>
      <c r="U288" s="4" t="str">
        <v>Electronics</v>
      </c>
      <c r="V288" s="4" t="str">
        <v>West</v>
      </c>
      <c r="W288" s="4" t="str">
        <v>Feb-2025</v>
      </c>
      <c r="X288" s="4">
        <v>70506</v>
      </c>
      <c r="Y288" s="4">
        <v>13</v>
      </c>
      <c r="Z288" s="4">
        <v>44961.54</v>
      </c>
    </row>
    <row r="289" spans="1:26" x14ac:dyDescent="0.3">
      <c r="A289" s="4" t="str">
        <v>ORD0378</v>
      </c>
      <c r="B289" s="4" t="str">
        <v>Keyboard</v>
      </c>
      <c r="C289" s="4" t="str">
        <v>Accessories</v>
      </c>
      <c r="D289" s="4" t="str">
        <v>South</v>
      </c>
      <c r="E289" s="4" t="str">
        <v>Jun-2025</v>
      </c>
      <c r="F289" s="4">
        <v>72439</v>
      </c>
      <c r="G289" s="4">
        <v>1</v>
      </c>
      <c r="H289" s="4">
        <v>48486.89</v>
      </c>
      <c r="S289" s="4" t="str">
        <v>ORD0478</v>
      </c>
      <c r="T289" s="4" t="str">
        <v>Tablet</v>
      </c>
      <c r="U289" s="4" t="str">
        <v>Electronics</v>
      </c>
      <c r="V289" s="4" t="str">
        <v>South</v>
      </c>
      <c r="W289" s="4" t="str">
        <v>Jul-2025</v>
      </c>
      <c r="X289" s="4">
        <v>70356</v>
      </c>
      <c r="Y289" s="4">
        <v>1</v>
      </c>
      <c r="Z289" s="4">
        <v>49877.32</v>
      </c>
    </row>
    <row r="290" spans="1:26" x14ac:dyDescent="0.3">
      <c r="A290" s="4" t="str">
        <v>ORD0381</v>
      </c>
      <c r="B290" s="4" t="str">
        <v>Headphones</v>
      </c>
      <c r="C290" s="4" t="str">
        <v>Accessories</v>
      </c>
      <c r="D290" s="4" t="str">
        <v>North</v>
      </c>
      <c r="E290" s="4" t="str">
        <v>Jan-2025</v>
      </c>
      <c r="F290" s="4">
        <v>139861</v>
      </c>
      <c r="G290" s="4">
        <v>4</v>
      </c>
      <c r="H290" s="4">
        <v>90485.14</v>
      </c>
      <c r="S290" s="4" t="str">
        <v>ORD0122</v>
      </c>
      <c r="T290" s="4" t="str">
        <v>Keyboard</v>
      </c>
      <c r="U290" s="4" t="str">
        <v>Accessories</v>
      </c>
      <c r="V290" s="4" t="str">
        <v>South</v>
      </c>
      <c r="W290" s="4" t="str">
        <v>Jun-2025</v>
      </c>
      <c r="X290" s="4">
        <v>70188</v>
      </c>
      <c r="Y290" s="4">
        <v>13</v>
      </c>
      <c r="Z290" s="4">
        <v>46585.85</v>
      </c>
    </row>
    <row r="291" spans="1:26" x14ac:dyDescent="0.3">
      <c r="A291" s="4" t="str">
        <v>ORD0382</v>
      </c>
      <c r="B291" s="4" t="str">
        <v>Tablet</v>
      </c>
      <c r="C291" s="4" t="str">
        <v>Electronics</v>
      </c>
      <c r="D291" s="4" t="str">
        <v>South</v>
      </c>
      <c r="E291" s="4" t="str">
        <v>May-2025</v>
      </c>
      <c r="F291" s="4">
        <v>112897</v>
      </c>
      <c r="G291" s="4">
        <v>13</v>
      </c>
      <c r="H291" s="4">
        <v>77102.53</v>
      </c>
      <c r="S291" s="4" t="str">
        <v>ORD0439</v>
      </c>
      <c r="T291" s="4" t="str">
        <v>Keyboard</v>
      </c>
      <c r="U291" s="4" t="str">
        <v>Accessories</v>
      </c>
      <c r="V291" s="4" t="str">
        <v>East</v>
      </c>
      <c r="W291" s="4" t="str">
        <v>Jan-2025</v>
      </c>
      <c r="X291" s="4">
        <v>70150</v>
      </c>
      <c r="Y291" s="4">
        <v>10</v>
      </c>
      <c r="Z291" s="4">
        <v>51905.54</v>
      </c>
    </row>
    <row r="292" spans="1:26" x14ac:dyDescent="0.3">
      <c r="A292" s="4" t="str">
        <v>ORD0383</v>
      </c>
      <c r="B292" s="4" t="str">
        <v>Keyboard</v>
      </c>
      <c r="C292" s="4" t="str">
        <v>Accessories</v>
      </c>
      <c r="D292" s="4" t="str">
        <v>East</v>
      </c>
      <c r="E292" s="4" t="str">
        <v>Sep-2025</v>
      </c>
      <c r="F292" s="4">
        <v>66095</v>
      </c>
      <c r="G292" s="4">
        <v>15</v>
      </c>
      <c r="H292" s="4">
        <v>43844.21</v>
      </c>
      <c r="S292" s="4" t="str">
        <v>ORD0263</v>
      </c>
      <c r="T292" s="4" t="str">
        <v>Monitor</v>
      </c>
      <c r="U292" s="4" t="str">
        <v>Peripherals</v>
      </c>
      <c r="V292" s="4" t="str">
        <v>East</v>
      </c>
      <c r="W292" s="4" t="str">
        <v>May-2025</v>
      </c>
      <c r="X292" s="4">
        <v>69795</v>
      </c>
      <c r="Y292" s="4">
        <v>6</v>
      </c>
      <c r="Z292" s="4">
        <v>49830.67</v>
      </c>
    </row>
    <row r="293" spans="1:26" x14ac:dyDescent="0.3">
      <c r="A293" s="4" t="str">
        <v>ORD0385</v>
      </c>
      <c r="B293" s="4" t="str">
        <v>Monitor</v>
      </c>
      <c r="C293" s="4" t="str">
        <v>Peripherals</v>
      </c>
      <c r="D293" s="4" t="str">
        <v>North</v>
      </c>
      <c r="E293" s="4" t="str">
        <v>Aug-2025</v>
      </c>
      <c r="F293" s="4">
        <v>50204</v>
      </c>
      <c r="G293" s="4">
        <v>4</v>
      </c>
      <c r="H293" s="4">
        <v>32873.230000000003</v>
      </c>
      <c r="S293" s="4" t="str">
        <v>ORD0449</v>
      </c>
      <c r="T293" s="4" t="str">
        <v>Phone</v>
      </c>
      <c r="U293" s="4" t="str">
        <v>Electronics</v>
      </c>
      <c r="V293" s="4" t="str">
        <v>North</v>
      </c>
      <c r="W293" s="4" t="str">
        <v>Jul-2025</v>
      </c>
      <c r="X293" s="4">
        <v>69654</v>
      </c>
      <c r="Y293" s="4">
        <v>12</v>
      </c>
      <c r="Z293" s="4">
        <v>51718.63</v>
      </c>
    </row>
    <row r="294" spans="1:26" x14ac:dyDescent="0.3">
      <c r="A294" s="4" t="str">
        <v>ORD0386</v>
      </c>
      <c r="B294" s="4" t="str">
        <v>Mouse</v>
      </c>
      <c r="C294" s="4" t="str">
        <v>Accessories</v>
      </c>
      <c r="D294" s="4" t="str">
        <v>South</v>
      </c>
      <c r="E294" s="4" t="str">
        <v>Mar-2025</v>
      </c>
      <c r="F294" s="4">
        <v>66351</v>
      </c>
      <c r="G294" s="4">
        <v>9</v>
      </c>
      <c r="H294" s="4">
        <v>47358.17</v>
      </c>
      <c r="S294" s="4" t="str">
        <v>ORD0374</v>
      </c>
      <c r="T294" s="4" t="str">
        <v>Monitor</v>
      </c>
      <c r="U294" s="4" t="str">
        <v>Peripherals</v>
      </c>
      <c r="V294" s="4" t="str">
        <v>South</v>
      </c>
      <c r="W294" s="4" t="str">
        <v>Jul-2025</v>
      </c>
      <c r="X294" s="4">
        <v>68542</v>
      </c>
      <c r="Y294" s="4">
        <v>7</v>
      </c>
      <c r="Z294" s="4">
        <v>47573.47</v>
      </c>
    </row>
    <row r="295" spans="1:26" x14ac:dyDescent="0.3">
      <c r="A295" s="4" t="str">
        <v>ORD0387</v>
      </c>
      <c r="B295" s="4" t="str">
        <v>Keyboard</v>
      </c>
      <c r="C295" s="4" t="str">
        <v>Accessories</v>
      </c>
      <c r="D295" s="4" t="str">
        <v>East</v>
      </c>
      <c r="E295" s="4" t="str">
        <v>Nov-2025</v>
      </c>
      <c r="F295" s="4">
        <v>115016</v>
      </c>
      <c r="G295" s="4">
        <v>10</v>
      </c>
      <c r="H295" s="4">
        <v>75471.509999999995</v>
      </c>
      <c r="S295" s="4" t="str">
        <v>ORD0375</v>
      </c>
      <c r="T295" s="4" t="str">
        <v>Tablet</v>
      </c>
      <c r="U295" s="4" t="str">
        <v>Electronics</v>
      </c>
      <c r="V295" s="4" t="str">
        <v>East</v>
      </c>
      <c r="W295" s="4" t="str">
        <v>Jan-2025</v>
      </c>
      <c r="X295" s="4">
        <v>68004</v>
      </c>
      <c r="Y295" s="4">
        <v>4</v>
      </c>
      <c r="Z295" s="4">
        <v>46341.05</v>
      </c>
    </row>
    <row r="296" spans="1:26" x14ac:dyDescent="0.3">
      <c r="A296" s="4" t="str">
        <v>ORD0388</v>
      </c>
      <c r="B296" s="4" t="str">
        <v>Phone</v>
      </c>
      <c r="C296" s="4" t="str">
        <v>Electronics</v>
      </c>
      <c r="D296" s="4" t="str">
        <v>West</v>
      </c>
      <c r="E296" s="4" t="str">
        <v>Jan-2025</v>
      </c>
      <c r="F296" s="4">
        <v>86375</v>
      </c>
      <c r="G296" s="4">
        <v>5</v>
      </c>
      <c r="H296" s="4">
        <v>64682.29</v>
      </c>
      <c r="S296" s="4" t="str">
        <v>ORD0139</v>
      </c>
      <c r="T296" s="4" t="str">
        <v>Tablet</v>
      </c>
      <c r="U296" s="4" t="str">
        <v>Electronics</v>
      </c>
      <c r="V296" s="4" t="str">
        <v>East</v>
      </c>
      <c r="W296" s="4" t="str">
        <v>Jan-2025</v>
      </c>
      <c r="X296" s="4">
        <v>67983</v>
      </c>
      <c r="Y296" s="4">
        <v>10</v>
      </c>
      <c r="Z296" s="4">
        <v>44579.59</v>
      </c>
    </row>
    <row r="297" spans="1:26" x14ac:dyDescent="0.3">
      <c r="A297" s="4" t="str">
        <v>ORD0389</v>
      </c>
      <c r="B297" s="4" t="str">
        <v>Phone</v>
      </c>
      <c r="C297" s="4" t="str">
        <v>Electronics</v>
      </c>
      <c r="D297" s="4" t="str">
        <v>North</v>
      </c>
      <c r="E297" s="4" t="str">
        <v>Mar-2025</v>
      </c>
      <c r="F297" s="4">
        <v>145974</v>
      </c>
      <c r="G297" s="4">
        <v>15</v>
      </c>
      <c r="H297" s="4">
        <v>108751.06</v>
      </c>
      <c r="S297" s="4" t="str">
        <v>ORD0065</v>
      </c>
      <c r="T297" s="4" t="str">
        <v>Printer</v>
      </c>
      <c r="U297" s="4" t="str">
        <v>Peripherals</v>
      </c>
      <c r="V297" s="4" t="str">
        <v>North</v>
      </c>
      <c r="W297" s="4" t="str">
        <v>Apr-2025</v>
      </c>
      <c r="X297" s="4">
        <v>67681</v>
      </c>
      <c r="Y297" s="4">
        <v>12</v>
      </c>
      <c r="Z297" s="4">
        <v>50584.72</v>
      </c>
    </row>
    <row r="298" spans="1:26" x14ac:dyDescent="0.3">
      <c r="A298" s="4" t="str">
        <v>ORD0390</v>
      </c>
      <c r="B298" s="4" t="str">
        <v>Laptop</v>
      </c>
      <c r="C298" s="4" t="str">
        <v>Electronics</v>
      </c>
      <c r="D298" s="4" t="str">
        <v>South</v>
      </c>
      <c r="E298" s="4" t="str">
        <v>Jun-2025</v>
      </c>
      <c r="F298" s="4">
        <v>134999</v>
      </c>
      <c r="G298" s="4">
        <v>1</v>
      </c>
      <c r="H298" s="4">
        <v>101077.19</v>
      </c>
      <c r="S298" s="4" t="str">
        <v>ORD0091</v>
      </c>
      <c r="T298" s="4" t="str">
        <v>Headphones</v>
      </c>
      <c r="U298" s="4" t="str">
        <v>Accessories</v>
      </c>
      <c r="V298" s="4" t="str">
        <v>East</v>
      </c>
      <c r="W298" s="4" t="str">
        <v>Apr-2025</v>
      </c>
      <c r="X298" s="4">
        <v>67237</v>
      </c>
      <c r="Y298" s="4">
        <v>2</v>
      </c>
      <c r="Z298" s="4">
        <v>44435.69</v>
      </c>
    </row>
    <row r="299" spans="1:26" x14ac:dyDescent="0.3">
      <c r="A299" s="4" t="str">
        <v>ORD0391</v>
      </c>
      <c r="B299" s="4" t="str">
        <v>Keyboard</v>
      </c>
      <c r="C299" s="4" t="str">
        <v>Accessories</v>
      </c>
      <c r="D299" s="4" t="str">
        <v>East</v>
      </c>
      <c r="E299" s="4" t="str">
        <v>Sep-2025</v>
      </c>
      <c r="F299" s="4">
        <v>96444</v>
      </c>
      <c r="G299" s="4">
        <v>3</v>
      </c>
      <c r="H299" s="4">
        <v>70063.63</v>
      </c>
      <c r="S299" s="4" t="str">
        <v>ORD0307</v>
      </c>
      <c r="T299" s="4" t="str">
        <v>Printer</v>
      </c>
      <c r="U299" s="4" t="str">
        <v>Peripherals</v>
      </c>
      <c r="V299" s="4" t="str">
        <v>East</v>
      </c>
      <c r="W299" s="4" t="str">
        <v>May-2025</v>
      </c>
      <c r="X299" s="4">
        <v>67136</v>
      </c>
      <c r="Y299" s="4">
        <v>10</v>
      </c>
      <c r="Z299" s="4">
        <v>45146.03</v>
      </c>
    </row>
    <row r="300" spans="1:26" x14ac:dyDescent="0.3">
      <c r="A300" s="4" t="str">
        <v>ORD0393</v>
      </c>
      <c r="B300" s="4" t="str">
        <v>Keyboard</v>
      </c>
      <c r="C300" s="4" t="str">
        <v>Accessories</v>
      </c>
      <c r="D300" s="4" t="str">
        <v>North</v>
      </c>
      <c r="E300" s="4" t="str">
        <v>Aug-2025</v>
      </c>
      <c r="F300" s="4">
        <v>133563</v>
      </c>
      <c r="G300" s="4">
        <v>3</v>
      </c>
      <c r="H300" s="4">
        <v>90955.6</v>
      </c>
      <c r="S300" s="4" t="str">
        <v>ORD0333</v>
      </c>
      <c r="T300" s="4" t="str">
        <v>Phone</v>
      </c>
      <c r="U300" s="4" t="str">
        <v>Electronics</v>
      </c>
      <c r="V300" s="4" t="str">
        <v>North</v>
      </c>
      <c r="W300" s="4" t="str">
        <v>Mar-2025</v>
      </c>
      <c r="X300" s="4">
        <v>67042</v>
      </c>
      <c r="Y300" s="4">
        <v>7</v>
      </c>
      <c r="Z300" s="4">
        <v>40850.46</v>
      </c>
    </row>
    <row r="301" spans="1:26" x14ac:dyDescent="0.3">
      <c r="A301" s="4" t="str">
        <v>ORD0394</v>
      </c>
      <c r="B301" s="4" t="str">
        <v>Laptop</v>
      </c>
      <c r="C301" s="4" t="str">
        <v>Electronics</v>
      </c>
      <c r="D301" s="4" t="str">
        <v>South</v>
      </c>
      <c r="E301" s="4" t="str">
        <v>Apr-2025</v>
      </c>
      <c r="F301" s="4">
        <v>144909</v>
      </c>
      <c r="G301" s="4">
        <v>4</v>
      </c>
      <c r="H301" s="4">
        <v>100697.2</v>
      </c>
      <c r="S301" s="4" t="str">
        <v>ORD0102</v>
      </c>
      <c r="T301" s="4" t="str">
        <v>Keyboard</v>
      </c>
      <c r="U301" s="4" t="str">
        <v>Accessories</v>
      </c>
      <c r="V301" s="4" t="str">
        <v>South</v>
      </c>
      <c r="W301" s="4" t="str">
        <v>Feb-2025</v>
      </c>
      <c r="X301" s="4">
        <v>66972</v>
      </c>
      <c r="Y301" s="4">
        <v>7</v>
      </c>
      <c r="Z301" s="4">
        <v>45605.99</v>
      </c>
    </row>
    <row r="302" spans="1:26" x14ac:dyDescent="0.3">
      <c r="A302" s="4" t="str">
        <v>ORD0395</v>
      </c>
      <c r="B302" s="4" t="str">
        <v>Keyboard</v>
      </c>
      <c r="C302" s="4" t="str">
        <v>Accessories</v>
      </c>
      <c r="D302" s="4" t="str">
        <v>East</v>
      </c>
      <c r="E302" s="4" t="str">
        <v>Jan-2025</v>
      </c>
      <c r="F302" s="4">
        <v>99460</v>
      </c>
      <c r="G302" s="4">
        <v>6</v>
      </c>
      <c r="H302" s="4">
        <v>66564.789999999994</v>
      </c>
      <c r="S302" s="4" t="str">
        <v>ORD0044</v>
      </c>
      <c r="T302" s="4" t="str">
        <v>Headphones</v>
      </c>
      <c r="U302" s="4" t="str">
        <v>Accessories</v>
      </c>
      <c r="V302" s="4" t="str">
        <v>West</v>
      </c>
      <c r="W302" s="4" t="str">
        <v>Mar-2025</v>
      </c>
      <c r="X302" s="4">
        <v>66919</v>
      </c>
      <c r="Y302" s="4">
        <v>2</v>
      </c>
      <c r="Z302" s="4">
        <v>45036.26</v>
      </c>
    </row>
    <row r="303" spans="1:26" x14ac:dyDescent="0.3">
      <c r="A303" s="4" t="str">
        <v>ORD0396</v>
      </c>
      <c r="B303" s="4" t="str">
        <v>Monitor</v>
      </c>
      <c r="C303" s="4" t="str">
        <v>Peripherals</v>
      </c>
      <c r="D303" s="4" t="str">
        <v>West</v>
      </c>
      <c r="E303" s="4" t="str">
        <v>Feb-2025</v>
      </c>
      <c r="F303" s="4">
        <v>55557</v>
      </c>
      <c r="G303" s="4">
        <v>2</v>
      </c>
      <c r="H303" s="4">
        <v>34782.1</v>
      </c>
      <c r="S303" s="4" t="str">
        <v>ORD0302</v>
      </c>
      <c r="T303" s="4" t="str">
        <v>Headphones</v>
      </c>
      <c r="U303" s="4" t="str">
        <v>Accessories</v>
      </c>
      <c r="V303" s="4" t="str">
        <v>South</v>
      </c>
      <c r="W303" s="4" t="str">
        <v>Oct-2025</v>
      </c>
      <c r="X303" s="4">
        <v>66437</v>
      </c>
      <c r="Y303" s="4">
        <v>8</v>
      </c>
      <c r="Z303" s="4">
        <v>42004.92</v>
      </c>
    </row>
    <row r="304" spans="1:26" x14ac:dyDescent="0.3">
      <c r="A304" s="4" t="str">
        <v>ORD0398</v>
      </c>
      <c r="B304" s="4" t="str">
        <v>Mouse</v>
      </c>
      <c r="C304" s="4" t="str">
        <v>Accessories</v>
      </c>
      <c r="D304" s="4" t="str">
        <v>South</v>
      </c>
      <c r="E304" s="4" t="str">
        <v>Jan-2025</v>
      </c>
      <c r="F304" s="4">
        <v>85033</v>
      </c>
      <c r="G304" s="4">
        <v>6</v>
      </c>
      <c r="H304" s="4">
        <v>60703.05</v>
      </c>
      <c r="S304" s="4" t="str">
        <v>ORD0386</v>
      </c>
      <c r="T304" s="4" t="str">
        <v>Mouse</v>
      </c>
      <c r="U304" s="4" t="str">
        <v>Accessories</v>
      </c>
      <c r="V304" s="4" t="str">
        <v>South</v>
      </c>
      <c r="W304" s="4" t="str">
        <v>Mar-2025</v>
      </c>
      <c r="X304" s="4">
        <v>66351</v>
      </c>
      <c r="Y304" s="4">
        <v>9</v>
      </c>
      <c r="Z304" s="4">
        <v>47358.17</v>
      </c>
    </row>
    <row r="305" spans="1:26" x14ac:dyDescent="0.3">
      <c r="A305" s="4" t="str">
        <v>ORD0399</v>
      </c>
      <c r="B305" s="4" t="str">
        <v>Laptop</v>
      </c>
      <c r="C305" s="4" t="str">
        <v>Electronics</v>
      </c>
      <c r="D305" s="4" t="str">
        <v>East</v>
      </c>
      <c r="E305" s="4" t="str">
        <v>Feb-2025</v>
      </c>
      <c r="F305" s="4">
        <v>116354</v>
      </c>
      <c r="G305" s="4">
        <v>11</v>
      </c>
      <c r="H305" s="4">
        <v>71801.039999999994</v>
      </c>
      <c r="S305" s="4" t="str">
        <v>ORD0434</v>
      </c>
      <c r="T305" s="4" t="str">
        <v>Keyboard</v>
      </c>
      <c r="U305" s="4" t="str">
        <v>Accessories</v>
      </c>
      <c r="V305" s="4" t="str">
        <v>South</v>
      </c>
      <c r="W305" s="4" t="str">
        <v>Jun-2025</v>
      </c>
      <c r="X305" s="4">
        <v>66338</v>
      </c>
      <c r="Y305" s="4">
        <v>4</v>
      </c>
      <c r="Z305" s="4">
        <v>43803.35</v>
      </c>
    </row>
    <row r="306" spans="1:26" x14ac:dyDescent="0.3">
      <c r="A306" s="4" t="str">
        <v>ORD0400</v>
      </c>
      <c r="B306" s="4" t="str">
        <v>Headphones</v>
      </c>
      <c r="C306" s="4" t="str">
        <v>Accessories</v>
      </c>
      <c r="D306" s="4" t="str">
        <v>West</v>
      </c>
      <c r="E306" s="4" t="str">
        <v>Nov-2025</v>
      </c>
      <c r="F306" s="4">
        <v>55481</v>
      </c>
      <c r="G306" s="4">
        <v>10</v>
      </c>
      <c r="H306" s="4">
        <v>39592.9</v>
      </c>
      <c r="S306" s="4" t="str">
        <v>ORD0248</v>
      </c>
      <c r="T306" s="4" t="str">
        <v>Tablet</v>
      </c>
      <c r="U306" s="4" t="str">
        <v>Electronics</v>
      </c>
      <c r="V306" s="4" t="str">
        <v>West</v>
      </c>
      <c r="W306" s="4" t="str">
        <v>Jan-2025</v>
      </c>
      <c r="X306" s="4">
        <v>66328</v>
      </c>
      <c r="Y306" s="4">
        <v>12</v>
      </c>
      <c r="Z306" s="4">
        <v>40581.769999999997</v>
      </c>
    </row>
    <row r="307" spans="1:26" x14ac:dyDescent="0.3">
      <c r="A307" s="4" t="str">
        <v>ORD0402</v>
      </c>
      <c r="B307" s="4" t="str">
        <v>Phone</v>
      </c>
      <c r="C307" s="4" t="str">
        <v>Electronics</v>
      </c>
      <c r="D307" s="4" t="str">
        <v>South</v>
      </c>
      <c r="E307" s="4" t="str">
        <v>Feb-2025</v>
      </c>
      <c r="F307" s="4">
        <v>55900</v>
      </c>
      <c r="G307" s="4">
        <v>11</v>
      </c>
      <c r="H307" s="4">
        <v>36071.879999999997</v>
      </c>
      <c r="S307" s="4" t="str">
        <v>ORD0258</v>
      </c>
      <c r="T307" s="4" t="str">
        <v>Monitor</v>
      </c>
      <c r="U307" s="4" t="str">
        <v>Peripherals</v>
      </c>
      <c r="V307" s="4" t="str">
        <v>South</v>
      </c>
      <c r="W307" s="4" t="str">
        <v>Feb-2025</v>
      </c>
      <c r="X307" s="4">
        <v>66200</v>
      </c>
      <c r="Y307" s="4">
        <v>15</v>
      </c>
      <c r="Z307" s="4">
        <v>40921.07</v>
      </c>
    </row>
    <row r="308" spans="1:26" x14ac:dyDescent="0.3">
      <c r="A308" s="4" t="str">
        <v>ORD0404</v>
      </c>
      <c r="B308" s="4" t="str">
        <v>Tablet</v>
      </c>
      <c r="C308" s="4" t="str">
        <v>Electronics</v>
      </c>
      <c r="D308" s="4" t="str">
        <v>West</v>
      </c>
      <c r="E308" s="4" t="str">
        <v>Jan-2025</v>
      </c>
      <c r="F308" s="4">
        <v>116468</v>
      </c>
      <c r="G308" s="4">
        <v>6</v>
      </c>
      <c r="H308" s="4">
        <v>77251.67</v>
      </c>
      <c r="S308" s="4" t="str">
        <v>ORD0383</v>
      </c>
      <c r="T308" s="4" t="str">
        <v>Keyboard</v>
      </c>
      <c r="U308" s="4" t="str">
        <v>Accessories</v>
      </c>
      <c r="V308" s="4" t="str">
        <v>East</v>
      </c>
      <c r="W308" s="4" t="str">
        <v>Sep-2025</v>
      </c>
      <c r="X308" s="4">
        <v>66095</v>
      </c>
      <c r="Y308" s="4">
        <v>15</v>
      </c>
      <c r="Z308" s="4">
        <v>43844.21</v>
      </c>
    </row>
    <row r="309" spans="1:26" x14ac:dyDescent="0.3">
      <c r="A309" s="4" t="str">
        <v>ORD0405</v>
      </c>
      <c r="B309" s="4" t="str">
        <v>Laptop</v>
      </c>
      <c r="C309" s="4" t="str">
        <v>Electronics</v>
      </c>
      <c r="D309" s="4" t="str">
        <v>North</v>
      </c>
      <c r="E309" s="4" t="str">
        <v>Oct-2025</v>
      </c>
      <c r="F309" s="4">
        <v>53864</v>
      </c>
      <c r="G309" s="4">
        <v>12</v>
      </c>
      <c r="H309" s="4">
        <v>40309.61</v>
      </c>
      <c r="S309" s="4" t="str">
        <v>ORD0085</v>
      </c>
      <c r="T309" s="4" t="str">
        <v>Phone</v>
      </c>
      <c r="U309" s="4" t="str">
        <v>Electronics</v>
      </c>
      <c r="V309" s="4" t="str">
        <v>North</v>
      </c>
      <c r="W309" s="4" t="str">
        <v>Jun-2025</v>
      </c>
      <c r="X309" s="4">
        <v>65801</v>
      </c>
      <c r="Y309" s="4">
        <v>11</v>
      </c>
      <c r="Z309" s="4">
        <v>49185.18</v>
      </c>
    </row>
    <row r="310" spans="1:26" x14ac:dyDescent="0.3">
      <c r="A310" s="4" t="str">
        <v>ORD0406</v>
      </c>
      <c r="B310" s="4" t="str">
        <v>Headphones</v>
      </c>
      <c r="C310" s="4" t="str">
        <v>Accessories</v>
      </c>
      <c r="D310" s="4" t="str">
        <v>South</v>
      </c>
      <c r="E310" s="4" t="str">
        <v>May-2025</v>
      </c>
      <c r="F310" s="4">
        <v>137915</v>
      </c>
      <c r="G310" s="4">
        <v>9</v>
      </c>
      <c r="H310" s="4">
        <v>101371.04</v>
      </c>
      <c r="S310" s="4" t="str">
        <v>ORD0210</v>
      </c>
      <c r="T310" s="4" t="str">
        <v>Tablet</v>
      </c>
      <c r="U310" s="4" t="str">
        <v>Electronics</v>
      </c>
      <c r="V310" s="4" t="str">
        <v>South</v>
      </c>
      <c r="W310" s="4" t="str">
        <v>May-2025</v>
      </c>
      <c r="X310" s="4">
        <v>65719</v>
      </c>
      <c r="Y310" s="4">
        <v>7</v>
      </c>
      <c r="Z310" s="4">
        <v>45936</v>
      </c>
    </row>
    <row r="311" spans="1:26" x14ac:dyDescent="0.3">
      <c r="A311" s="4" t="str">
        <v>ORD0407</v>
      </c>
      <c r="B311" s="4" t="str">
        <v>Headphones</v>
      </c>
      <c r="C311" s="4" t="str">
        <v>Accessories</v>
      </c>
      <c r="D311" s="4" t="str">
        <v>East</v>
      </c>
      <c r="E311" s="4" t="str">
        <v>Jan-2025</v>
      </c>
      <c r="F311" s="4">
        <v>54436</v>
      </c>
      <c r="G311" s="4">
        <v>1</v>
      </c>
      <c r="H311" s="4">
        <v>37444.26</v>
      </c>
      <c r="S311" s="4" t="str">
        <v>ORD0342</v>
      </c>
      <c r="T311" s="4" t="str">
        <v>Phone</v>
      </c>
      <c r="U311" s="4" t="str">
        <v>Electronics</v>
      </c>
      <c r="V311" s="4" t="str">
        <v>South</v>
      </c>
      <c r="W311" s="4" t="str">
        <v>May-2025</v>
      </c>
      <c r="X311" s="4">
        <v>65679</v>
      </c>
      <c r="Y311" s="4">
        <v>13</v>
      </c>
      <c r="Z311" s="4">
        <v>40953.35</v>
      </c>
    </row>
    <row r="312" spans="1:26" x14ac:dyDescent="0.3">
      <c r="A312" s="4" t="str">
        <v>ORD0408</v>
      </c>
      <c r="B312" s="4" t="str">
        <v>Phone</v>
      </c>
      <c r="C312" s="4" t="str">
        <v>Electronics</v>
      </c>
      <c r="D312" s="4" t="str">
        <v>West</v>
      </c>
      <c r="E312" s="4" t="str">
        <v>Mar-2025</v>
      </c>
      <c r="F312" s="4">
        <v>130948</v>
      </c>
      <c r="G312" s="4">
        <v>1</v>
      </c>
      <c r="H312" s="4">
        <v>96100.62</v>
      </c>
      <c r="S312" s="4" t="str">
        <v>ORD0480</v>
      </c>
      <c r="T312" s="4" t="str">
        <v>Printer</v>
      </c>
      <c r="U312" s="4" t="str">
        <v>Peripherals</v>
      </c>
      <c r="V312" s="4" t="str">
        <v>West</v>
      </c>
      <c r="W312" s="4" t="str">
        <v>Oct-2025</v>
      </c>
      <c r="X312" s="4">
        <v>65462</v>
      </c>
      <c r="Y312" s="4">
        <v>2</v>
      </c>
      <c r="Z312" s="4">
        <v>46245.35</v>
      </c>
    </row>
    <row r="313" spans="1:26" x14ac:dyDescent="0.3">
      <c r="A313" s="4" t="str">
        <v>ORD0410</v>
      </c>
      <c r="B313" s="4" t="str">
        <v>Keyboard</v>
      </c>
      <c r="C313" s="4" t="str">
        <v>Accessories</v>
      </c>
      <c r="D313" s="4" t="str">
        <v>South</v>
      </c>
      <c r="E313" s="4" t="str">
        <v>Apr-2025</v>
      </c>
      <c r="F313" s="4">
        <v>55933</v>
      </c>
      <c r="G313" s="4">
        <v>6</v>
      </c>
      <c r="H313" s="4">
        <v>36808.9</v>
      </c>
      <c r="S313" s="4" t="str">
        <v>ORD0012</v>
      </c>
      <c r="T313" s="4" t="str">
        <v>Printer</v>
      </c>
      <c r="U313" s="4" t="str">
        <v>Peripherals</v>
      </c>
      <c r="V313" s="4" t="str">
        <v>West</v>
      </c>
      <c r="W313" s="4" t="str">
        <v>Oct-2025</v>
      </c>
      <c r="X313" s="4">
        <v>65213</v>
      </c>
      <c r="Y313" s="4">
        <v>7</v>
      </c>
      <c r="Z313" s="4">
        <v>39930.04</v>
      </c>
    </row>
    <row r="314" spans="1:26" x14ac:dyDescent="0.3">
      <c r="A314" s="4" t="str">
        <v>ORD0411</v>
      </c>
      <c r="B314" s="4" t="str">
        <v>Printer</v>
      </c>
      <c r="C314" s="4" t="str">
        <v>Peripherals</v>
      </c>
      <c r="D314" s="4" t="str">
        <v>East</v>
      </c>
      <c r="E314" s="4" t="str">
        <v>Dec-2025</v>
      </c>
      <c r="F314" s="4">
        <v>59949</v>
      </c>
      <c r="G314" s="4">
        <v>7</v>
      </c>
      <c r="H314" s="4">
        <v>39301.980000000003</v>
      </c>
      <c r="S314" s="4" t="str">
        <v>ORD0452</v>
      </c>
      <c r="T314" s="4" t="str">
        <v>Tablet</v>
      </c>
      <c r="U314" s="4" t="str">
        <v>Electronics</v>
      </c>
      <c r="V314" s="4" t="str">
        <v>West</v>
      </c>
      <c r="W314" s="4" t="str">
        <v>Jul-2025</v>
      </c>
      <c r="X314" s="4">
        <v>64971</v>
      </c>
      <c r="Y314" s="4">
        <v>6</v>
      </c>
      <c r="Z314" s="4">
        <v>44078.04</v>
      </c>
    </row>
    <row r="315" spans="1:26" x14ac:dyDescent="0.3">
      <c r="A315" s="4" t="str">
        <v>ORD0413</v>
      </c>
      <c r="B315" s="4" t="str">
        <v>Keyboard</v>
      </c>
      <c r="C315" s="4" t="str">
        <v>Accessories</v>
      </c>
      <c r="D315" s="4" t="str">
        <v>North</v>
      </c>
      <c r="E315" s="4" t="str">
        <v>Feb-2025</v>
      </c>
      <c r="F315" s="4">
        <v>117047</v>
      </c>
      <c r="G315" s="4">
        <v>6</v>
      </c>
      <c r="H315" s="4">
        <v>86726.47</v>
      </c>
      <c r="S315" s="4" t="str">
        <v>ORD0129</v>
      </c>
      <c r="T315" s="4" t="str">
        <v>Printer</v>
      </c>
      <c r="U315" s="4" t="str">
        <v>Peripherals</v>
      </c>
      <c r="V315" s="4" t="str">
        <v>North</v>
      </c>
      <c r="W315" s="4" t="str">
        <v>Jul-2025</v>
      </c>
      <c r="X315" s="4">
        <v>64216</v>
      </c>
      <c r="Y315" s="4">
        <v>15</v>
      </c>
      <c r="Z315" s="4">
        <v>43766.36</v>
      </c>
    </row>
    <row r="316" spans="1:26" x14ac:dyDescent="0.3">
      <c r="A316" s="4" t="str">
        <v>ORD0414</v>
      </c>
      <c r="B316" s="4" t="str">
        <v>Laptop</v>
      </c>
      <c r="C316" s="4" t="str">
        <v>Electronics</v>
      </c>
      <c r="D316" s="4" t="str">
        <v>South</v>
      </c>
      <c r="E316" s="4" t="str">
        <v>Feb-2025</v>
      </c>
      <c r="F316" s="4">
        <v>56488</v>
      </c>
      <c r="G316" s="4">
        <v>15</v>
      </c>
      <c r="H316" s="4">
        <v>34580.17</v>
      </c>
      <c r="S316" s="4" t="str">
        <v>ORD0109</v>
      </c>
      <c r="T316" s="4" t="str">
        <v>Tablet</v>
      </c>
      <c r="U316" s="4" t="str">
        <v>Electronics</v>
      </c>
      <c r="V316" s="4" t="str">
        <v>North</v>
      </c>
      <c r="W316" s="4" t="str">
        <v>Jun-2025</v>
      </c>
      <c r="X316" s="4">
        <v>63691</v>
      </c>
      <c r="Y316" s="4">
        <v>13</v>
      </c>
      <c r="Z316" s="4">
        <v>46236.72</v>
      </c>
    </row>
    <row r="317" spans="1:26" x14ac:dyDescent="0.3">
      <c r="A317" s="4" t="str">
        <v>ORD0415</v>
      </c>
      <c r="B317" s="4" t="str">
        <v>Phone</v>
      </c>
      <c r="C317" s="4" t="str">
        <v>Electronics</v>
      </c>
      <c r="D317" s="4" t="str">
        <v>East</v>
      </c>
      <c r="E317" s="4" t="str">
        <v>Sep-2025</v>
      </c>
      <c r="F317" s="4">
        <v>83372</v>
      </c>
      <c r="G317" s="4">
        <v>15</v>
      </c>
      <c r="H317" s="4">
        <v>53844.57</v>
      </c>
      <c r="S317" s="4" t="str">
        <v>ORD0475</v>
      </c>
      <c r="T317" s="4" t="str">
        <v>Headphones</v>
      </c>
      <c r="U317" s="4" t="str">
        <v>Accessories</v>
      </c>
      <c r="V317" s="4" t="str">
        <v>East</v>
      </c>
      <c r="W317" s="4" t="str">
        <v>Jun-2025</v>
      </c>
      <c r="X317" s="4">
        <v>63659</v>
      </c>
      <c r="Y317" s="4">
        <v>1</v>
      </c>
      <c r="Z317" s="4">
        <v>41458.46</v>
      </c>
    </row>
    <row r="318" spans="1:26" x14ac:dyDescent="0.3">
      <c r="A318" s="4" t="str">
        <v>ORD0416</v>
      </c>
      <c r="B318" s="4" t="str">
        <v>Printer</v>
      </c>
      <c r="C318" s="4" t="str">
        <v>Peripherals</v>
      </c>
      <c r="D318" s="4" t="str">
        <v>West</v>
      </c>
      <c r="E318" s="4" t="str">
        <v>Jun-2025</v>
      </c>
      <c r="F318" s="4">
        <v>137813</v>
      </c>
      <c r="G318" s="4">
        <v>13</v>
      </c>
      <c r="H318" s="4">
        <v>84242.98</v>
      </c>
      <c r="S318" s="4" t="str">
        <v>ORD0327</v>
      </c>
      <c r="T318" s="4" t="str">
        <v>Monitor</v>
      </c>
      <c r="U318" s="4" t="str">
        <v>Peripherals</v>
      </c>
      <c r="V318" s="4" t="str">
        <v>East</v>
      </c>
      <c r="W318" s="4" t="str">
        <v>Jan-2025</v>
      </c>
      <c r="X318" s="4">
        <v>63554</v>
      </c>
      <c r="Y318" s="4">
        <v>7</v>
      </c>
      <c r="Z318" s="4">
        <v>47494.95</v>
      </c>
    </row>
    <row r="319" spans="1:26" x14ac:dyDescent="0.3">
      <c r="A319" s="4" t="str">
        <v>ORD0417</v>
      </c>
      <c r="B319" s="4" t="str">
        <v>Laptop</v>
      </c>
      <c r="C319" s="4" t="str">
        <v>Electronics</v>
      </c>
      <c r="D319" s="4" t="str">
        <v>North</v>
      </c>
      <c r="E319" s="4" t="str">
        <v>Aug-2025</v>
      </c>
      <c r="F319" s="4">
        <v>132333</v>
      </c>
      <c r="G319" s="4">
        <v>7</v>
      </c>
      <c r="H319" s="4">
        <v>83863.02</v>
      </c>
      <c r="S319" s="4" t="str">
        <v>ORD0064</v>
      </c>
      <c r="T319" s="4" t="str">
        <v>Printer</v>
      </c>
      <c r="U319" s="4" t="str">
        <v>Peripherals</v>
      </c>
      <c r="V319" s="4" t="str">
        <v>West</v>
      </c>
      <c r="W319" s="4" t="str">
        <v>Aug-2025</v>
      </c>
      <c r="X319" s="4">
        <v>63354</v>
      </c>
      <c r="Y319" s="4">
        <v>9</v>
      </c>
      <c r="Z319" s="4">
        <v>44156.99</v>
      </c>
    </row>
    <row r="320" spans="1:26" x14ac:dyDescent="0.3">
      <c r="A320" s="4" t="str">
        <v>ORD0418</v>
      </c>
      <c r="B320" s="4" t="str">
        <v>Mouse</v>
      </c>
      <c r="C320" s="4" t="str">
        <v>Accessories</v>
      </c>
      <c r="D320" s="4" t="str">
        <v>South</v>
      </c>
      <c r="E320" s="4" t="str">
        <v>Apr-2025</v>
      </c>
      <c r="F320" s="4">
        <v>99874</v>
      </c>
      <c r="G320" s="4">
        <v>8</v>
      </c>
      <c r="H320" s="4">
        <v>63101.95</v>
      </c>
      <c r="S320" s="4" t="str">
        <v>ORD0196</v>
      </c>
      <c r="T320" s="4" t="str">
        <v>Tablet</v>
      </c>
      <c r="U320" s="4" t="str">
        <v>Electronics</v>
      </c>
      <c r="V320" s="4" t="str">
        <v>West</v>
      </c>
      <c r="W320" s="4" t="str">
        <v>Sep-2025</v>
      </c>
      <c r="X320" s="4">
        <v>63053</v>
      </c>
      <c r="Y320" s="4">
        <v>9</v>
      </c>
      <c r="Z320" s="4">
        <v>40991.050000000003</v>
      </c>
    </row>
    <row r="321" spans="1:26" x14ac:dyDescent="0.3">
      <c r="A321" s="4" t="str">
        <v>ORD0419</v>
      </c>
      <c r="B321" s="4" t="str">
        <v>Tablet</v>
      </c>
      <c r="C321" s="4" t="str">
        <v>Electronics</v>
      </c>
      <c r="D321" s="4" t="str">
        <v>East</v>
      </c>
      <c r="E321" s="4" t="str">
        <v>Aug-2025</v>
      </c>
      <c r="F321" s="4">
        <v>117293</v>
      </c>
      <c r="G321" s="4">
        <v>14</v>
      </c>
      <c r="H321" s="4">
        <v>71645.179999999993</v>
      </c>
      <c r="S321" s="4" t="str">
        <v>ORD0026</v>
      </c>
      <c r="T321" s="4" t="str">
        <v>Printer</v>
      </c>
      <c r="U321" s="4" t="str">
        <v>Peripherals</v>
      </c>
      <c r="V321" s="4" t="str">
        <v>South</v>
      </c>
      <c r="W321" s="4" t="str">
        <v>Sep-2025</v>
      </c>
      <c r="X321" s="4">
        <v>62967</v>
      </c>
      <c r="Y321" s="4">
        <v>13</v>
      </c>
      <c r="Z321" s="4">
        <v>40836.449999999997</v>
      </c>
    </row>
    <row r="322" spans="1:26" x14ac:dyDescent="0.3">
      <c r="A322" s="4" t="str">
        <v>ORD0421</v>
      </c>
      <c r="B322" s="4" t="str">
        <v>Headphones</v>
      </c>
      <c r="C322" s="4" t="str">
        <v>Accessories</v>
      </c>
      <c r="D322" s="4" t="str">
        <v>North</v>
      </c>
      <c r="E322" s="4" t="str">
        <v>Jul-2025</v>
      </c>
      <c r="F322" s="4">
        <v>106248</v>
      </c>
      <c r="G322" s="4">
        <v>2</v>
      </c>
      <c r="H322" s="4">
        <v>64411.25</v>
      </c>
      <c r="S322" s="4" t="str">
        <v>ORD0154</v>
      </c>
      <c r="T322" s="4" t="str">
        <v>Monitor</v>
      </c>
      <c r="U322" s="4" t="str">
        <v>Peripherals</v>
      </c>
      <c r="V322" s="4" t="str">
        <v>South</v>
      </c>
      <c r="W322" s="4" t="str">
        <v>Jan-2025</v>
      </c>
      <c r="X322" s="4">
        <v>62411</v>
      </c>
      <c r="Y322" s="4">
        <v>15</v>
      </c>
      <c r="Z322" s="4">
        <v>42791.6</v>
      </c>
    </row>
    <row r="323" spans="1:26" x14ac:dyDescent="0.3">
      <c r="A323" s="4" t="str">
        <v>ORD0423</v>
      </c>
      <c r="B323" s="4" t="str">
        <v>Tablet</v>
      </c>
      <c r="C323" s="4" t="str">
        <v>Electronics</v>
      </c>
      <c r="D323" s="4" t="str">
        <v>East</v>
      </c>
      <c r="E323" s="4" t="str">
        <v>Sep-2025</v>
      </c>
      <c r="F323" s="4">
        <v>117866</v>
      </c>
      <c r="G323" s="4">
        <v>2</v>
      </c>
      <c r="H323" s="4">
        <v>83977.77</v>
      </c>
      <c r="S323" s="4" t="str">
        <v>ORD0118</v>
      </c>
      <c r="T323" s="4" t="str">
        <v>Tablet</v>
      </c>
      <c r="U323" s="4" t="str">
        <v>Electronics</v>
      </c>
      <c r="V323" s="4" t="str">
        <v>South</v>
      </c>
      <c r="W323" s="4" t="str">
        <v>May-2025</v>
      </c>
      <c r="X323" s="4">
        <v>62315</v>
      </c>
      <c r="Y323" s="4">
        <v>11</v>
      </c>
      <c r="Z323" s="4">
        <v>43779.45</v>
      </c>
    </row>
    <row r="324" spans="1:26" x14ac:dyDescent="0.3">
      <c r="A324" s="4" t="str">
        <v>ORD0425</v>
      </c>
      <c r="B324" s="4" t="str">
        <v>Keyboard</v>
      </c>
      <c r="C324" s="4" t="str">
        <v>Accessories</v>
      </c>
      <c r="D324" s="4" t="str">
        <v>North</v>
      </c>
      <c r="E324" s="4" t="str">
        <v>Oct-2025</v>
      </c>
      <c r="F324" s="4">
        <v>93692</v>
      </c>
      <c r="G324" s="4">
        <v>4</v>
      </c>
      <c r="H324" s="4">
        <v>67637.16</v>
      </c>
      <c r="S324" s="4" t="str">
        <v>ORD0150</v>
      </c>
      <c r="T324" s="4" t="str">
        <v>Tablet</v>
      </c>
      <c r="U324" s="4" t="str">
        <v>Electronics</v>
      </c>
      <c r="V324" s="4" t="str">
        <v>South</v>
      </c>
      <c r="W324" s="4" t="str">
        <v>Feb-2025</v>
      </c>
      <c r="X324" s="4">
        <v>62305</v>
      </c>
      <c r="Y324" s="4">
        <v>1</v>
      </c>
      <c r="Z324" s="4">
        <v>44588.23</v>
      </c>
    </row>
    <row r="325" spans="1:26" x14ac:dyDescent="0.3">
      <c r="A325" s="4" t="str">
        <v>ORD0426</v>
      </c>
      <c r="B325" s="4" t="str">
        <v>Phone</v>
      </c>
      <c r="C325" s="4" t="str">
        <v>Electronics</v>
      </c>
      <c r="D325" s="4" t="str">
        <v>South</v>
      </c>
      <c r="E325" s="4" t="str">
        <v>Feb-2025</v>
      </c>
      <c r="F325" s="4">
        <v>145448</v>
      </c>
      <c r="G325" s="4">
        <v>12</v>
      </c>
      <c r="H325" s="4">
        <v>104169.91</v>
      </c>
      <c r="S325" s="4" t="str">
        <v>ORD0141</v>
      </c>
      <c r="T325" s="4" t="str">
        <v>Monitor</v>
      </c>
      <c r="U325" s="4" t="str">
        <v>Peripherals</v>
      </c>
      <c r="V325" s="4" t="str">
        <v>North</v>
      </c>
      <c r="W325" s="4" t="str">
        <v>Dec-2025</v>
      </c>
      <c r="X325" s="4">
        <v>61981</v>
      </c>
      <c r="Y325" s="4">
        <v>4</v>
      </c>
      <c r="Z325" s="4">
        <v>45563.35</v>
      </c>
    </row>
    <row r="326" spans="1:26" x14ac:dyDescent="0.3">
      <c r="A326" s="4" t="str">
        <v>ORD0427</v>
      </c>
      <c r="B326" s="4" t="str">
        <v>Laptop</v>
      </c>
      <c r="C326" s="4" t="str">
        <v>Electronics</v>
      </c>
      <c r="D326" s="4" t="str">
        <v>East</v>
      </c>
      <c r="E326" s="4" t="str">
        <v>Aug-2025</v>
      </c>
      <c r="F326" s="4">
        <v>50033</v>
      </c>
      <c r="G326" s="4">
        <v>2</v>
      </c>
      <c r="H326" s="4">
        <v>33603.64</v>
      </c>
      <c r="S326" s="4" t="str">
        <v>ORD0469</v>
      </c>
      <c r="T326" s="4" t="str">
        <v>Phone</v>
      </c>
      <c r="U326" s="4" t="str">
        <v>Electronics</v>
      </c>
      <c r="V326" s="4" t="str">
        <v>North</v>
      </c>
      <c r="W326" s="4" t="str">
        <v>Mar-2025</v>
      </c>
      <c r="X326" s="4">
        <v>61944</v>
      </c>
      <c r="Y326" s="4">
        <v>15</v>
      </c>
      <c r="Z326" s="4">
        <v>37270.11</v>
      </c>
    </row>
    <row r="327" spans="1:26" x14ac:dyDescent="0.3">
      <c r="A327" s="4" t="str">
        <v>ORD0429</v>
      </c>
      <c r="B327" s="4" t="str">
        <v>Headphones</v>
      </c>
      <c r="C327" s="4" t="str">
        <v>Accessories</v>
      </c>
      <c r="D327" s="4" t="str">
        <v>North</v>
      </c>
      <c r="E327" s="4" t="str">
        <v>Aug-2025</v>
      </c>
      <c r="F327" s="4">
        <v>85244</v>
      </c>
      <c r="G327" s="4">
        <v>14</v>
      </c>
      <c r="H327" s="4">
        <v>62852.98</v>
      </c>
      <c r="S327" s="4" t="str">
        <v>ORD0162</v>
      </c>
      <c r="T327" s="4" t="str">
        <v>Keyboard</v>
      </c>
      <c r="U327" s="4" t="str">
        <v>Accessories</v>
      </c>
      <c r="V327" s="4" t="str">
        <v>South</v>
      </c>
      <c r="W327" s="4" t="str">
        <v>Jan-2025</v>
      </c>
      <c r="X327" s="4">
        <v>61906</v>
      </c>
      <c r="Y327" s="4">
        <v>14</v>
      </c>
      <c r="Z327" s="4">
        <v>39447.67</v>
      </c>
    </row>
    <row r="328" spans="1:26" x14ac:dyDescent="0.3">
      <c r="A328" s="4" t="str">
        <v>ORD0430</v>
      </c>
      <c r="B328" s="4" t="str">
        <v>Printer</v>
      </c>
      <c r="C328" s="4" t="str">
        <v>Peripherals</v>
      </c>
      <c r="D328" s="4" t="str">
        <v>South</v>
      </c>
      <c r="E328" s="4" t="str">
        <v>Oct-2025</v>
      </c>
      <c r="F328" s="4">
        <v>118409</v>
      </c>
      <c r="G328" s="4">
        <v>12</v>
      </c>
      <c r="H328" s="4">
        <v>73231.259999999995</v>
      </c>
      <c r="S328" s="4" t="str">
        <v>ORD0182</v>
      </c>
      <c r="T328" s="4" t="str">
        <v>Mouse</v>
      </c>
      <c r="U328" s="4" t="str">
        <v>Accessories</v>
      </c>
      <c r="V328" s="4" t="str">
        <v>South</v>
      </c>
      <c r="W328" s="4" t="str">
        <v>Jan-2025</v>
      </c>
      <c r="X328" s="4">
        <v>61615</v>
      </c>
      <c r="Y328" s="4">
        <v>15</v>
      </c>
      <c r="Z328" s="4">
        <v>42016.76</v>
      </c>
    </row>
    <row r="329" spans="1:26" x14ac:dyDescent="0.3">
      <c r="A329" s="4" t="str">
        <v>ORD0431</v>
      </c>
      <c r="B329" s="4" t="str">
        <v>Keyboard</v>
      </c>
      <c r="C329" s="4" t="str">
        <v>Accessories</v>
      </c>
      <c r="D329" s="4" t="str">
        <v>East</v>
      </c>
      <c r="E329" s="4" t="str">
        <v>Jun-2025</v>
      </c>
      <c r="F329" s="4">
        <v>147220</v>
      </c>
      <c r="G329" s="4">
        <v>8</v>
      </c>
      <c r="H329" s="4">
        <v>106995.28</v>
      </c>
      <c r="S329" s="4" t="str">
        <v>ORD0181</v>
      </c>
      <c r="T329" s="4" t="str">
        <v>Headphones</v>
      </c>
      <c r="U329" s="4" t="str">
        <v>Accessories</v>
      </c>
      <c r="V329" s="4" t="str">
        <v>North</v>
      </c>
      <c r="W329" s="4" t="str">
        <v>Feb-2025</v>
      </c>
      <c r="X329" s="4">
        <v>61369</v>
      </c>
      <c r="Y329" s="4">
        <v>4</v>
      </c>
      <c r="Z329" s="4">
        <v>41219.24</v>
      </c>
    </row>
    <row r="330" spans="1:26" x14ac:dyDescent="0.3">
      <c r="A330" s="4" t="str">
        <v>ORD0433</v>
      </c>
      <c r="B330" s="4" t="str">
        <v>Phone</v>
      </c>
      <c r="C330" s="4" t="str">
        <v>Electronics</v>
      </c>
      <c r="D330" s="4" t="str">
        <v>North</v>
      </c>
      <c r="E330" s="4" t="str">
        <v>Aug-2025</v>
      </c>
      <c r="F330" s="4">
        <v>148898</v>
      </c>
      <c r="G330" s="4">
        <v>15</v>
      </c>
      <c r="H330" s="4">
        <v>99464.81</v>
      </c>
      <c r="S330" s="4" t="str">
        <v>ORD0365</v>
      </c>
      <c r="T330" s="4" t="str">
        <v>Mouse</v>
      </c>
      <c r="U330" s="4" t="str">
        <v>Accessories</v>
      </c>
      <c r="V330" s="4" t="str">
        <v>North</v>
      </c>
      <c r="W330" s="4" t="str">
        <v>Aug-2025</v>
      </c>
      <c r="X330" s="4">
        <v>60903</v>
      </c>
      <c r="Y330" s="4">
        <v>15</v>
      </c>
      <c r="Z330" s="4">
        <v>37327.839999999997</v>
      </c>
    </row>
    <row r="331" spans="1:26" x14ac:dyDescent="0.3">
      <c r="A331" s="4" t="str">
        <v>ORD0434</v>
      </c>
      <c r="B331" s="4" t="str">
        <v>Keyboard</v>
      </c>
      <c r="C331" s="4" t="str">
        <v>Accessories</v>
      </c>
      <c r="D331" s="4" t="str">
        <v>South</v>
      </c>
      <c r="E331" s="4" t="str">
        <v>Jun-2025</v>
      </c>
      <c r="F331" s="4">
        <v>66338</v>
      </c>
      <c r="G331" s="4">
        <v>4</v>
      </c>
      <c r="H331" s="4">
        <v>43803.35</v>
      </c>
      <c r="S331" s="4" t="str">
        <v>ORD0242</v>
      </c>
      <c r="T331" s="4" t="str">
        <v>Phone</v>
      </c>
      <c r="U331" s="4" t="str">
        <v>Electronics</v>
      </c>
      <c r="V331" s="4" t="str">
        <v>South</v>
      </c>
      <c r="W331" s="4" t="str">
        <v>Jul-2025</v>
      </c>
      <c r="X331" s="4">
        <v>60884</v>
      </c>
      <c r="Y331" s="4">
        <v>12</v>
      </c>
      <c r="Z331" s="4">
        <v>44462.07</v>
      </c>
    </row>
    <row r="332" spans="1:26" x14ac:dyDescent="0.3">
      <c r="A332" s="4" t="str">
        <v>ORD0435</v>
      </c>
      <c r="B332" s="4" t="str">
        <v>Mouse</v>
      </c>
      <c r="C332" s="4" t="str">
        <v>Accessories</v>
      </c>
      <c r="D332" s="4" t="str">
        <v>East</v>
      </c>
      <c r="E332" s="4" t="str">
        <v>Sep-2025</v>
      </c>
      <c r="F332" s="4">
        <v>94331</v>
      </c>
      <c r="G332" s="4">
        <v>5</v>
      </c>
      <c r="H332" s="4">
        <v>67245.09</v>
      </c>
      <c r="S332" s="4" t="str">
        <v>ORD0257</v>
      </c>
      <c r="T332" s="4" t="str">
        <v>Phone</v>
      </c>
      <c r="U332" s="4" t="str">
        <v>Electronics</v>
      </c>
      <c r="V332" s="4" t="str">
        <v>North</v>
      </c>
      <c r="W332" s="4" t="str">
        <v>Apr-2025</v>
      </c>
      <c r="X332" s="4">
        <v>60732</v>
      </c>
      <c r="Y332" s="4">
        <v>6</v>
      </c>
      <c r="Z332" s="4">
        <v>40329.800000000003</v>
      </c>
    </row>
    <row r="333" spans="1:26" x14ac:dyDescent="0.3">
      <c r="A333" s="4" t="str">
        <v>ORD0436</v>
      </c>
      <c r="B333" s="4" t="str">
        <v>Printer</v>
      </c>
      <c r="C333" s="4" t="str">
        <v>Peripherals</v>
      </c>
      <c r="D333" s="4" t="str">
        <v>West</v>
      </c>
      <c r="E333" s="4" t="str">
        <v>Oct-2025</v>
      </c>
      <c r="F333" s="4">
        <v>94340</v>
      </c>
      <c r="G333" s="4">
        <v>12</v>
      </c>
      <c r="H333" s="4">
        <v>70078.8</v>
      </c>
      <c r="S333" s="4" t="str">
        <v>ORD0134</v>
      </c>
      <c r="T333" s="4" t="str">
        <v>Printer</v>
      </c>
      <c r="U333" s="4" t="str">
        <v>Peripherals</v>
      </c>
      <c r="V333" s="4" t="str">
        <v>South</v>
      </c>
      <c r="W333" s="4" t="str">
        <v>Dec-2025</v>
      </c>
      <c r="X333" s="4">
        <v>60373</v>
      </c>
      <c r="Y333" s="4">
        <v>15</v>
      </c>
      <c r="Z333" s="4">
        <v>43646.07</v>
      </c>
    </row>
    <row r="334" spans="1:26" x14ac:dyDescent="0.3">
      <c r="A334" s="4" t="str">
        <v>ORD0437</v>
      </c>
      <c r="B334" s="4" t="str">
        <v>Phone</v>
      </c>
      <c r="C334" s="4" t="str">
        <v>Electronics</v>
      </c>
      <c r="D334" s="4" t="str">
        <v>North</v>
      </c>
      <c r="E334" s="4" t="str">
        <v>Jul-2025</v>
      </c>
      <c r="F334" s="4">
        <v>106748</v>
      </c>
      <c r="G334" s="4">
        <v>12</v>
      </c>
      <c r="H334" s="4">
        <v>67145.06</v>
      </c>
      <c r="S334" s="4" t="str">
        <v>ORD0487</v>
      </c>
      <c r="T334" s="4" t="str">
        <v>Keyboard</v>
      </c>
      <c r="U334" s="4" t="str">
        <v>Accessories</v>
      </c>
      <c r="V334" s="4" t="str">
        <v>East</v>
      </c>
      <c r="W334" s="4" t="str">
        <v>Mar-2025</v>
      </c>
      <c r="X334" s="4">
        <v>59982</v>
      </c>
      <c r="Y334" s="4">
        <v>12</v>
      </c>
      <c r="Z334" s="4">
        <v>41374.400000000001</v>
      </c>
    </row>
    <row r="335" spans="1:26" x14ac:dyDescent="0.3">
      <c r="A335" s="4" t="str">
        <v>ORD0438</v>
      </c>
      <c r="B335" s="4" t="str">
        <v>Phone</v>
      </c>
      <c r="C335" s="4" t="str">
        <v>Electronics</v>
      </c>
      <c r="D335" s="4" t="str">
        <v>South</v>
      </c>
      <c r="E335" s="4" t="str">
        <v>Jun-2025</v>
      </c>
      <c r="F335" s="4">
        <v>90023</v>
      </c>
      <c r="G335" s="4">
        <v>14</v>
      </c>
      <c r="H335" s="4">
        <v>63555.46</v>
      </c>
      <c r="S335" s="4" t="str">
        <v>ORD0411</v>
      </c>
      <c r="T335" s="4" t="str">
        <v>Printer</v>
      </c>
      <c r="U335" s="4" t="str">
        <v>Peripherals</v>
      </c>
      <c r="V335" s="4" t="str">
        <v>East</v>
      </c>
      <c r="W335" s="4" t="str">
        <v>Dec-2025</v>
      </c>
      <c r="X335" s="4">
        <v>59949</v>
      </c>
      <c r="Y335" s="4">
        <v>7</v>
      </c>
      <c r="Z335" s="4">
        <v>39301.980000000003</v>
      </c>
    </row>
    <row r="336" spans="1:26" x14ac:dyDescent="0.3">
      <c r="A336" s="4" t="str">
        <v>ORD0439</v>
      </c>
      <c r="B336" s="4" t="str">
        <v>Keyboard</v>
      </c>
      <c r="C336" s="4" t="str">
        <v>Accessories</v>
      </c>
      <c r="D336" s="4" t="str">
        <v>East</v>
      </c>
      <c r="E336" s="4" t="str">
        <v>Jan-2025</v>
      </c>
      <c r="F336" s="4">
        <v>70150</v>
      </c>
      <c r="G336" s="4">
        <v>10</v>
      </c>
      <c r="H336" s="4">
        <v>51905.54</v>
      </c>
      <c r="S336" s="4" t="str">
        <v>ORD0229</v>
      </c>
      <c r="T336" s="4" t="str">
        <v>Phone</v>
      </c>
      <c r="U336" s="4" t="str">
        <v>Electronics</v>
      </c>
      <c r="V336" s="4" t="str">
        <v>North</v>
      </c>
      <c r="W336" s="4" t="str">
        <v>Sep-2025</v>
      </c>
      <c r="X336" s="4">
        <v>59942</v>
      </c>
      <c r="Y336" s="4">
        <v>1</v>
      </c>
      <c r="Z336" s="4">
        <v>40570.18</v>
      </c>
    </row>
    <row r="337" spans="1:26" x14ac:dyDescent="0.3">
      <c r="A337" s="4" t="str">
        <v>ORD0441</v>
      </c>
      <c r="B337" s="4" t="str">
        <v>Mouse</v>
      </c>
      <c r="C337" s="4" t="str">
        <v>Accessories</v>
      </c>
      <c r="D337" s="4" t="str">
        <v>North</v>
      </c>
      <c r="E337" s="4" t="str">
        <v>May-2025</v>
      </c>
      <c r="F337" s="4">
        <v>57458</v>
      </c>
      <c r="G337" s="4">
        <v>5</v>
      </c>
      <c r="H337" s="4">
        <v>41262.36</v>
      </c>
      <c r="S337" s="4" t="str">
        <v>ORD0233</v>
      </c>
      <c r="T337" s="4" t="str">
        <v>Laptop</v>
      </c>
      <c r="U337" s="4" t="str">
        <v>Electronics</v>
      </c>
      <c r="V337" s="4" t="str">
        <v>North</v>
      </c>
      <c r="W337" s="4" t="str">
        <v>Sep-2025</v>
      </c>
      <c r="X337" s="4">
        <v>59665</v>
      </c>
      <c r="Y337" s="4">
        <v>5</v>
      </c>
      <c r="Z337" s="4">
        <v>37502.22</v>
      </c>
    </row>
    <row r="338" spans="1:26" x14ac:dyDescent="0.3">
      <c r="A338" s="4" t="str">
        <v>ORD0444</v>
      </c>
      <c r="B338" s="4" t="str">
        <v>Printer</v>
      </c>
      <c r="C338" s="4" t="str">
        <v>Peripherals</v>
      </c>
      <c r="D338" s="4" t="str">
        <v>West</v>
      </c>
      <c r="E338" s="4" t="str">
        <v>Jun-2025</v>
      </c>
      <c r="F338" s="4">
        <v>121145</v>
      </c>
      <c r="G338" s="4">
        <v>3</v>
      </c>
      <c r="H338" s="4">
        <v>85730.82</v>
      </c>
      <c r="S338" s="4" t="str">
        <v>ORD0072</v>
      </c>
      <c r="T338" s="4" t="str">
        <v>Tablet</v>
      </c>
      <c r="U338" s="4" t="str">
        <v>Electronics</v>
      </c>
      <c r="V338" s="4" t="str">
        <v>West</v>
      </c>
      <c r="W338" s="4" t="str">
        <v>Feb-2025</v>
      </c>
      <c r="X338" s="4">
        <v>59492</v>
      </c>
      <c r="Y338" s="4">
        <v>3</v>
      </c>
      <c r="Z338" s="4">
        <v>41221.699999999997</v>
      </c>
    </row>
    <row r="339" spans="1:26" x14ac:dyDescent="0.3">
      <c r="A339" s="4" t="str">
        <v>ORD0445</v>
      </c>
      <c r="B339" s="4" t="str">
        <v>Monitor</v>
      </c>
      <c r="C339" s="4" t="str">
        <v>Peripherals</v>
      </c>
      <c r="D339" s="4" t="str">
        <v>North</v>
      </c>
      <c r="E339" s="4" t="str">
        <v>Jul-2025</v>
      </c>
      <c r="F339" s="4">
        <v>97198</v>
      </c>
      <c r="G339" s="4">
        <v>7</v>
      </c>
      <c r="H339" s="4">
        <v>58969.2</v>
      </c>
      <c r="S339" s="4" t="str">
        <v>ORD0460</v>
      </c>
      <c r="T339" s="4" t="str">
        <v>Monitor</v>
      </c>
      <c r="U339" s="4" t="str">
        <v>Peripherals</v>
      </c>
      <c r="V339" s="4" t="str">
        <v>West</v>
      </c>
      <c r="W339" s="4" t="str">
        <v>Nov-2025</v>
      </c>
      <c r="X339" s="4">
        <v>59454</v>
      </c>
      <c r="Y339" s="4">
        <v>3</v>
      </c>
      <c r="Z339" s="4">
        <v>43393.18</v>
      </c>
    </row>
    <row r="340" spans="1:26" x14ac:dyDescent="0.3">
      <c r="A340" s="4" t="str">
        <v>ORD0446</v>
      </c>
      <c r="B340" s="4" t="str">
        <v>Headphones</v>
      </c>
      <c r="C340" s="4" t="str">
        <v>Accessories</v>
      </c>
      <c r="D340" s="4" t="str">
        <v>South</v>
      </c>
      <c r="E340" s="4" t="str">
        <v>Apr-2025</v>
      </c>
      <c r="F340" s="4">
        <v>52304</v>
      </c>
      <c r="G340" s="4">
        <v>1</v>
      </c>
      <c r="H340" s="4">
        <v>38301.4</v>
      </c>
      <c r="S340" s="4" t="str">
        <v>ORD0201</v>
      </c>
      <c r="T340" s="4" t="str">
        <v>Keyboard</v>
      </c>
      <c r="U340" s="4" t="str">
        <v>Accessories</v>
      </c>
      <c r="V340" s="4" t="str">
        <v>North</v>
      </c>
      <c r="W340" s="4" t="str">
        <v>Jun-2025</v>
      </c>
      <c r="X340" s="4">
        <v>59159</v>
      </c>
      <c r="Y340" s="4">
        <v>14</v>
      </c>
      <c r="Z340" s="4">
        <v>39934.51</v>
      </c>
    </row>
    <row r="341" spans="1:26" x14ac:dyDescent="0.3">
      <c r="A341" s="4" t="str">
        <v>ORD0447</v>
      </c>
      <c r="B341" s="4" t="str">
        <v>Mouse</v>
      </c>
      <c r="C341" s="4" t="str">
        <v>Accessories</v>
      </c>
      <c r="D341" s="4" t="str">
        <v>East</v>
      </c>
      <c r="E341" s="4" t="str">
        <v>Nov-2025</v>
      </c>
      <c r="F341" s="4">
        <v>76521</v>
      </c>
      <c r="G341" s="4">
        <v>11</v>
      </c>
      <c r="H341" s="4">
        <v>52235.15</v>
      </c>
      <c r="S341" s="4" t="str">
        <v>ORD0304</v>
      </c>
      <c r="T341" s="4" t="str">
        <v>Printer</v>
      </c>
      <c r="U341" s="4" t="str">
        <v>Peripherals</v>
      </c>
      <c r="V341" s="4" t="str">
        <v>West</v>
      </c>
      <c r="W341" s="4" t="str">
        <v>Sep-2025</v>
      </c>
      <c r="X341" s="4">
        <v>59073</v>
      </c>
      <c r="Y341" s="4">
        <v>9</v>
      </c>
      <c r="Z341" s="4">
        <v>38344.69</v>
      </c>
    </row>
    <row r="342" spans="1:26" x14ac:dyDescent="0.3">
      <c r="A342" s="4" t="str">
        <v>ORD0448</v>
      </c>
      <c r="B342" s="4" t="str">
        <v>Keyboard</v>
      </c>
      <c r="C342" s="4" t="str">
        <v>Accessories</v>
      </c>
      <c r="D342" s="4" t="str">
        <v>West</v>
      </c>
      <c r="E342" s="4" t="str">
        <v>Jul-2025</v>
      </c>
      <c r="F342" s="4">
        <v>138701</v>
      </c>
      <c r="G342" s="4">
        <v>10</v>
      </c>
      <c r="H342" s="4">
        <v>101116.75</v>
      </c>
      <c r="S342" s="4" t="str">
        <v>ORD0133</v>
      </c>
      <c r="T342" s="4" t="str">
        <v>Headphones</v>
      </c>
      <c r="U342" s="4" t="str">
        <v>Accessories</v>
      </c>
      <c r="V342" s="4" t="str">
        <v>North</v>
      </c>
      <c r="W342" s="4" t="str">
        <v>Jul-2025</v>
      </c>
      <c r="X342" s="4">
        <v>58143</v>
      </c>
      <c r="Y342" s="4">
        <v>1</v>
      </c>
      <c r="Z342" s="4">
        <v>36705.300000000003</v>
      </c>
    </row>
    <row r="343" spans="1:26" x14ac:dyDescent="0.3">
      <c r="A343" s="4" t="str">
        <v>ORD0449</v>
      </c>
      <c r="B343" s="4" t="str">
        <v>Phone</v>
      </c>
      <c r="C343" s="4" t="str">
        <v>Electronics</v>
      </c>
      <c r="D343" s="4" t="str">
        <v>North</v>
      </c>
      <c r="E343" s="4" t="str">
        <v>Jul-2025</v>
      </c>
      <c r="F343" s="4">
        <v>69654</v>
      </c>
      <c r="G343" s="4">
        <v>12</v>
      </c>
      <c r="H343" s="4">
        <v>51718.63</v>
      </c>
      <c r="S343" s="4" t="str">
        <v>ORD0049</v>
      </c>
      <c r="T343" s="4" t="str">
        <v>Mouse</v>
      </c>
      <c r="U343" s="4" t="str">
        <v>Accessories</v>
      </c>
      <c r="V343" s="4" t="str">
        <v>North</v>
      </c>
      <c r="W343" s="4" t="str">
        <v>Oct-2025</v>
      </c>
      <c r="X343" s="4">
        <v>58069</v>
      </c>
      <c r="Y343" s="4">
        <v>14</v>
      </c>
      <c r="Z343" s="4">
        <v>42374.77</v>
      </c>
    </row>
    <row r="344" spans="1:26" x14ac:dyDescent="0.3">
      <c r="A344" s="4" t="str">
        <v>ORD0450</v>
      </c>
      <c r="B344" s="4" t="str">
        <v>Printer</v>
      </c>
      <c r="C344" s="4" t="str">
        <v>Peripherals</v>
      </c>
      <c r="D344" s="4" t="str">
        <v>South</v>
      </c>
      <c r="E344" s="4" t="str">
        <v>May-2025</v>
      </c>
      <c r="F344" s="4">
        <v>110852</v>
      </c>
      <c r="G344" s="4">
        <v>15</v>
      </c>
      <c r="H344" s="4">
        <v>77709.929999999993</v>
      </c>
      <c r="S344" s="4" t="str">
        <v>ORD0483</v>
      </c>
      <c r="T344" s="4" t="str">
        <v>Tablet</v>
      </c>
      <c r="U344" s="4" t="str">
        <v>Electronics</v>
      </c>
      <c r="V344" s="4" t="str">
        <v>East</v>
      </c>
      <c r="W344" s="4" t="str">
        <v>Aug-2025</v>
      </c>
      <c r="X344" s="4">
        <v>57603</v>
      </c>
      <c r="Y344" s="4">
        <v>6</v>
      </c>
      <c r="Z344" s="4">
        <v>41712.33</v>
      </c>
    </row>
    <row r="345" spans="1:26" x14ac:dyDescent="0.3">
      <c r="A345" s="4" t="str">
        <v>ORD0452</v>
      </c>
      <c r="B345" s="4" t="str">
        <v>Tablet</v>
      </c>
      <c r="C345" s="4" t="str">
        <v>Electronics</v>
      </c>
      <c r="D345" s="4" t="str">
        <v>West</v>
      </c>
      <c r="E345" s="4" t="str">
        <v>Jul-2025</v>
      </c>
      <c r="F345" s="4">
        <v>64971</v>
      </c>
      <c r="G345" s="4">
        <v>6</v>
      </c>
      <c r="H345" s="4">
        <v>44078.04</v>
      </c>
      <c r="S345" s="4" t="str">
        <v>ORD0441</v>
      </c>
      <c r="T345" s="4" t="str">
        <v>Mouse</v>
      </c>
      <c r="U345" s="4" t="str">
        <v>Accessories</v>
      </c>
      <c r="V345" s="4" t="str">
        <v>North</v>
      </c>
      <c r="W345" s="4" t="str">
        <v>May-2025</v>
      </c>
      <c r="X345" s="4">
        <v>57458</v>
      </c>
      <c r="Y345" s="4">
        <v>5</v>
      </c>
      <c r="Z345" s="4">
        <v>41262.36</v>
      </c>
    </row>
    <row r="346" spans="1:26" x14ac:dyDescent="0.3">
      <c r="A346" s="4" t="str">
        <v>ORD0454</v>
      </c>
      <c r="B346" s="4" t="str">
        <v>Tablet</v>
      </c>
      <c r="C346" s="4" t="str">
        <v>Electronics</v>
      </c>
      <c r="D346" s="4" t="str">
        <v>South</v>
      </c>
      <c r="E346" s="4" t="str">
        <v>Oct-2025</v>
      </c>
      <c r="F346" s="4">
        <v>136646</v>
      </c>
      <c r="G346" s="4">
        <v>8</v>
      </c>
      <c r="H346" s="4">
        <v>88756.17</v>
      </c>
      <c r="S346" s="4" t="str">
        <v>ORD0358</v>
      </c>
      <c r="T346" s="4" t="str">
        <v>Laptop</v>
      </c>
      <c r="U346" s="4" t="str">
        <v>Electronics</v>
      </c>
      <c r="V346" s="4" t="str">
        <v>South</v>
      </c>
      <c r="W346" s="4" t="str">
        <v>May-2025</v>
      </c>
      <c r="X346" s="4">
        <v>57318</v>
      </c>
      <c r="Y346" s="4">
        <v>4</v>
      </c>
      <c r="Z346" s="4">
        <v>35074.65</v>
      </c>
    </row>
    <row r="347" spans="1:26" x14ac:dyDescent="0.3">
      <c r="A347" s="4" t="str">
        <v>ORD0456</v>
      </c>
      <c r="B347" s="4" t="str">
        <v>Phone</v>
      </c>
      <c r="C347" s="4" t="str">
        <v>Electronics</v>
      </c>
      <c r="D347" s="4" t="str">
        <v>West</v>
      </c>
      <c r="E347" s="4" t="str">
        <v>Aug-2025</v>
      </c>
      <c r="F347" s="4">
        <v>123085</v>
      </c>
      <c r="G347" s="4">
        <v>14</v>
      </c>
      <c r="H347" s="4">
        <v>88964.38</v>
      </c>
      <c r="S347" s="4" t="str">
        <v>ORD0178</v>
      </c>
      <c r="T347" s="4" t="str">
        <v>Phone</v>
      </c>
      <c r="U347" s="4" t="str">
        <v>Electronics</v>
      </c>
      <c r="V347" s="4" t="str">
        <v>South</v>
      </c>
      <c r="W347" s="4" t="str">
        <v>Oct-2025</v>
      </c>
      <c r="X347" s="4">
        <v>56685</v>
      </c>
      <c r="Y347" s="4">
        <v>2</v>
      </c>
      <c r="Z347" s="4">
        <v>37750.74</v>
      </c>
    </row>
    <row r="348" spans="1:26" x14ac:dyDescent="0.3">
      <c r="A348" s="4" t="str">
        <v>ORD0458</v>
      </c>
      <c r="B348" s="4" t="str">
        <v>Headphones</v>
      </c>
      <c r="C348" s="4" t="str">
        <v>Accessories</v>
      </c>
      <c r="D348" s="4" t="str">
        <v>South</v>
      </c>
      <c r="E348" s="4" t="str">
        <v>Apr-2025</v>
      </c>
      <c r="F348" s="4">
        <v>140908</v>
      </c>
      <c r="G348" s="4">
        <v>9</v>
      </c>
      <c r="H348" s="4">
        <v>91849.41</v>
      </c>
      <c r="S348" s="4" t="str">
        <v>ORD0328</v>
      </c>
      <c r="T348" s="4" t="str">
        <v>Tablet</v>
      </c>
      <c r="U348" s="4" t="str">
        <v>Electronics</v>
      </c>
      <c r="V348" s="4" t="str">
        <v>West</v>
      </c>
      <c r="W348" s="4" t="str">
        <v>Apr-2025</v>
      </c>
      <c r="X348" s="4">
        <v>56670</v>
      </c>
      <c r="Y348" s="4">
        <v>3</v>
      </c>
      <c r="Z348" s="4">
        <v>34731.21</v>
      </c>
    </row>
    <row r="349" spans="1:26" x14ac:dyDescent="0.3">
      <c r="A349" s="4" t="str">
        <v>ORD0459</v>
      </c>
      <c r="B349" s="4" t="str">
        <v>Phone</v>
      </c>
      <c r="C349" s="4" t="str">
        <v>Electronics</v>
      </c>
      <c r="D349" s="4" t="str">
        <v>East</v>
      </c>
      <c r="E349" s="4" t="str">
        <v>Nov-2025</v>
      </c>
      <c r="F349" s="4">
        <v>94773</v>
      </c>
      <c r="G349" s="4">
        <v>1</v>
      </c>
      <c r="H349" s="4">
        <v>66962.89</v>
      </c>
      <c r="S349" s="4" t="str">
        <v>ORD0340</v>
      </c>
      <c r="T349" s="4" t="str">
        <v>Keyboard</v>
      </c>
      <c r="U349" s="4" t="str">
        <v>Accessories</v>
      </c>
      <c r="V349" s="4" t="str">
        <v>West</v>
      </c>
      <c r="W349" s="4" t="str">
        <v>Jan-2025</v>
      </c>
      <c r="X349" s="4">
        <v>56604</v>
      </c>
      <c r="Y349" s="4">
        <v>4</v>
      </c>
      <c r="Z349" s="4">
        <v>39392.75</v>
      </c>
    </row>
    <row r="350" spans="1:26" x14ac:dyDescent="0.3">
      <c r="A350" s="4" t="str">
        <v>ORD0460</v>
      </c>
      <c r="B350" s="4" t="str">
        <v>Monitor</v>
      </c>
      <c r="C350" s="4" t="str">
        <v>Peripherals</v>
      </c>
      <c r="D350" s="4" t="str">
        <v>West</v>
      </c>
      <c r="E350" s="4" t="str">
        <v>Nov-2025</v>
      </c>
      <c r="F350" s="4">
        <v>59454</v>
      </c>
      <c r="G350" s="4">
        <v>3</v>
      </c>
      <c r="H350" s="4">
        <v>43393.18</v>
      </c>
      <c r="S350" s="4" t="str">
        <v>ORD0414</v>
      </c>
      <c r="T350" s="4" t="str">
        <v>Laptop</v>
      </c>
      <c r="U350" s="4" t="str">
        <v>Electronics</v>
      </c>
      <c r="V350" s="4" t="str">
        <v>South</v>
      </c>
      <c r="W350" s="4" t="str">
        <v>Feb-2025</v>
      </c>
      <c r="X350" s="4">
        <v>56488</v>
      </c>
      <c r="Y350" s="4">
        <v>15</v>
      </c>
      <c r="Z350" s="4">
        <v>34580.17</v>
      </c>
    </row>
    <row r="351" spans="1:26" x14ac:dyDescent="0.3">
      <c r="A351" s="4" t="str">
        <v>ORD0461</v>
      </c>
      <c r="B351" s="4" t="str">
        <v>Mouse</v>
      </c>
      <c r="C351" s="4" t="str">
        <v>Accessories</v>
      </c>
      <c r="D351" s="4" t="str">
        <v>North</v>
      </c>
      <c r="E351" s="4" t="str">
        <v>Sep-2025</v>
      </c>
      <c r="F351" s="4">
        <v>102321</v>
      </c>
      <c r="G351" s="4">
        <v>11</v>
      </c>
      <c r="H351" s="4">
        <v>63274.97</v>
      </c>
      <c r="S351" s="4" t="str">
        <v>ORD0193</v>
      </c>
      <c r="T351" s="4" t="str">
        <v>Laptop</v>
      </c>
      <c r="U351" s="4" t="str">
        <v>Electronics</v>
      </c>
      <c r="V351" s="4" t="str">
        <v>North</v>
      </c>
      <c r="W351" s="4" t="str">
        <v>Feb-2025</v>
      </c>
      <c r="X351" s="4">
        <v>56395</v>
      </c>
      <c r="Y351" s="4">
        <v>11</v>
      </c>
      <c r="Z351" s="4">
        <v>34371.18</v>
      </c>
    </row>
    <row r="352" spans="1:26" x14ac:dyDescent="0.3">
      <c r="A352" s="4" t="str">
        <v>ORD0463</v>
      </c>
      <c r="B352" s="4" t="str">
        <v>Headphones</v>
      </c>
      <c r="C352" s="4" t="str">
        <v>Accessories</v>
      </c>
      <c r="D352" s="4" t="str">
        <v>East</v>
      </c>
      <c r="E352" s="4" t="str">
        <v>Jul-2025</v>
      </c>
      <c r="F352" s="4">
        <v>130931</v>
      </c>
      <c r="G352" s="4">
        <v>3</v>
      </c>
      <c r="H352" s="4">
        <v>98182.55</v>
      </c>
      <c r="S352" s="4" t="str">
        <v>ORD0316</v>
      </c>
      <c r="T352" s="4" t="str">
        <v>Keyboard</v>
      </c>
      <c r="U352" s="4" t="str">
        <v>Accessories</v>
      </c>
      <c r="V352" s="4" t="str">
        <v>West</v>
      </c>
      <c r="W352" s="4" t="str">
        <v>May-2025</v>
      </c>
      <c r="X352" s="4">
        <v>56262</v>
      </c>
      <c r="Y352" s="4">
        <v>1</v>
      </c>
      <c r="Z352" s="4">
        <v>37840.46</v>
      </c>
    </row>
    <row r="353" spans="1:26" x14ac:dyDescent="0.3">
      <c r="A353" s="4" t="str">
        <v>ORD0466</v>
      </c>
      <c r="B353" s="4" t="str">
        <v>Tablet</v>
      </c>
      <c r="C353" s="4" t="str">
        <v>Electronics</v>
      </c>
      <c r="D353" s="4" t="str">
        <v>South</v>
      </c>
      <c r="E353" s="4" t="str">
        <v>Nov-2025</v>
      </c>
      <c r="F353" s="4">
        <v>140234</v>
      </c>
      <c r="G353" s="4">
        <v>4</v>
      </c>
      <c r="H353" s="4">
        <v>89904.72</v>
      </c>
      <c r="S353" s="4" t="str">
        <v>ORD0357</v>
      </c>
      <c r="T353" s="4" t="str">
        <v>Keyboard</v>
      </c>
      <c r="U353" s="4" t="str">
        <v>Accessories</v>
      </c>
      <c r="V353" s="4" t="str">
        <v>North</v>
      </c>
      <c r="W353" s="4" t="str">
        <v>Nov-2025</v>
      </c>
      <c r="X353" s="4">
        <v>56121</v>
      </c>
      <c r="Y353" s="4">
        <v>15</v>
      </c>
      <c r="Z353" s="4">
        <v>39723.78</v>
      </c>
    </row>
    <row r="354" spans="1:26" x14ac:dyDescent="0.3">
      <c r="A354" s="4" t="str">
        <v>ORD0467</v>
      </c>
      <c r="B354" s="4" t="str">
        <v>Keyboard</v>
      </c>
      <c r="C354" s="4" t="str">
        <v>Accessories</v>
      </c>
      <c r="D354" s="4" t="str">
        <v>East</v>
      </c>
      <c r="E354" s="4" t="str">
        <v>May-2025</v>
      </c>
      <c r="F354" s="4">
        <v>52439</v>
      </c>
      <c r="G354" s="4">
        <v>4</v>
      </c>
      <c r="H354" s="4">
        <v>33166.17</v>
      </c>
      <c r="S354" s="4" t="str">
        <v>ORD0410</v>
      </c>
      <c r="T354" s="4" t="str">
        <v>Keyboard</v>
      </c>
      <c r="U354" s="4" t="str">
        <v>Accessories</v>
      </c>
      <c r="V354" s="4" t="str">
        <v>South</v>
      </c>
      <c r="W354" s="4" t="str">
        <v>Apr-2025</v>
      </c>
      <c r="X354" s="4">
        <v>55933</v>
      </c>
      <c r="Y354" s="4">
        <v>6</v>
      </c>
      <c r="Z354" s="4">
        <v>36808.9</v>
      </c>
    </row>
    <row r="355" spans="1:26" x14ac:dyDescent="0.3">
      <c r="A355" s="4" t="str">
        <v>ORD0468</v>
      </c>
      <c r="B355" s="4" t="str">
        <v>Phone</v>
      </c>
      <c r="C355" s="4" t="str">
        <v>Electronics</v>
      </c>
      <c r="D355" s="4" t="str">
        <v>West</v>
      </c>
      <c r="E355" s="4" t="str">
        <v>Nov-2025</v>
      </c>
      <c r="F355" s="4">
        <v>112276</v>
      </c>
      <c r="G355" s="4">
        <v>14</v>
      </c>
      <c r="H355" s="4">
        <v>77225.289999999994</v>
      </c>
      <c r="S355" s="4" t="str">
        <v>ORD0402</v>
      </c>
      <c r="T355" s="4" t="str">
        <v>Phone</v>
      </c>
      <c r="U355" s="4" t="str">
        <v>Electronics</v>
      </c>
      <c r="V355" s="4" t="str">
        <v>South</v>
      </c>
      <c r="W355" s="4" t="str">
        <v>Feb-2025</v>
      </c>
      <c r="X355" s="4">
        <v>55900</v>
      </c>
      <c r="Y355" s="4">
        <v>11</v>
      </c>
      <c r="Z355" s="4">
        <v>36071.879999999997</v>
      </c>
    </row>
    <row r="356" spans="1:26" x14ac:dyDescent="0.3">
      <c r="A356" s="4" t="str">
        <v>ORD0469</v>
      </c>
      <c r="B356" s="4" t="str">
        <v>Phone</v>
      </c>
      <c r="C356" s="4" t="str">
        <v>Electronics</v>
      </c>
      <c r="D356" s="4" t="str">
        <v>North</v>
      </c>
      <c r="E356" s="4" t="str">
        <v>Mar-2025</v>
      </c>
      <c r="F356" s="4">
        <v>61944</v>
      </c>
      <c r="G356" s="4">
        <v>15</v>
      </c>
      <c r="H356" s="4">
        <v>37270.11</v>
      </c>
      <c r="S356" s="4" t="str">
        <v>ORD0228</v>
      </c>
      <c r="T356" s="4" t="str">
        <v>Laptop</v>
      </c>
      <c r="U356" s="4" t="str">
        <v>Electronics</v>
      </c>
      <c r="V356" s="4" t="str">
        <v>West</v>
      </c>
      <c r="W356" s="4" t="str">
        <v>Feb-2025</v>
      </c>
      <c r="X356" s="4">
        <v>55859</v>
      </c>
      <c r="Y356" s="4">
        <v>1</v>
      </c>
      <c r="Z356" s="4">
        <v>40431.35</v>
      </c>
    </row>
    <row r="357" spans="1:26" x14ac:dyDescent="0.3">
      <c r="A357" s="4" t="str">
        <v>ORD0470</v>
      </c>
      <c r="B357" s="4" t="str">
        <v>Keyboard</v>
      </c>
      <c r="C357" s="4" t="str">
        <v>Accessories</v>
      </c>
      <c r="D357" s="4" t="str">
        <v>South</v>
      </c>
      <c r="E357" s="4" t="str">
        <v>Sep-2025</v>
      </c>
      <c r="F357" s="4">
        <v>134555</v>
      </c>
      <c r="G357" s="4">
        <v>9</v>
      </c>
      <c r="H357" s="4">
        <v>96783.87</v>
      </c>
      <c r="S357" s="4" t="str">
        <v>ORD0396</v>
      </c>
      <c r="T357" s="4" t="str">
        <v>Monitor</v>
      </c>
      <c r="U357" s="4" t="str">
        <v>Peripherals</v>
      </c>
      <c r="V357" s="4" t="str">
        <v>West</v>
      </c>
      <c r="W357" s="4" t="str">
        <v>Feb-2025</v>
      </c>
      <c r="X357" s="4">
        <v>55557</v>
      </c>
      <c r="Y357" s="4">
        <v>2</v>
      </c>
      <c r="Z357" s="4">
        <v>34782.1</v>
      </c>
    </row>
    <row r="358" spans="1:26" x14ac:dyDescent="0.3">
      <c r="A358" s="4" t="str">
        <v>ORD0471</v>
      </c>
      <c r="B358" s="4" t="str">
        <v>Printer</v>
      </c>
      <c r="C358" s="4" t="str">
        <v>Peripherals</v>
      </c>
      <c r="D358" s="4" t="str">
        <v>East</v>
      </c>
      <c r="E358" s="4" t="str">
        <v>Dec-2025</v>
      </c>
      <c r="F358" s="4">
        <v>71567</v>
      </c>
      <c r="G358" s="4">
        <v>13</v>
      </c>
      <c r="H358" s="4">
        <v>45494</v>
      </c>
      <c r="S358" s="4" t="str">
        <v>ORD0400</v>
      </c>
      <c r="T358" s="4" t="str">
        <v>Headphones</v>
      </c>
      <c r="U358" s="4" t="str">
        <v>Accessories</v>
      </c>
      <c r="V358" s="4" t="str">
        <v>West</v>
      </c>
      <c r="W358" s="4" t="str">
        <v>Nov-2025</v>
      </c>
      <c r="X358" s="4">
        <v>55481</v>
      </c>
      <c r="Y358" s="4">
        <v>10</v>
      </c>
      <c r="Z358" s="4">
        <v>39592.9</v>
      </c>
    </row>
    <row r="359" spans="1:26" x14ac:dyDescent="0.3">
      <c r="A359" s="4" t="str">
        <v>ORD0473</v>
      </c>
      <c r="B359" s="4" t="str">
        <v>Mouse</v>
      </c>
      <c r="C359" s="4" t="str">
        <v>Accessories</v>
      </c>
      <c r="D359" s="4" t="str">
        <v>North</v>
      </c>
      <c r="E359" s="4" t="str">
        <v>Jun-2025</v>
      </c>
      <c r="F359" s="4">
        <v>53331</v>
      </c>
      <c r="G359" s="4">
        <v>1</v>
      </c>
      <c r="H359" s="4">
        <v>37969.160000000003</v>
      </c>
      <c r="S359" s="4" t="str">
        <v>ORD0202</v>
      </c>
      <c r="T359" s="4" t="str">
        <v>Phone</v>
      </c>
      <c r="U359" s="4" t="str">
        <v>Electronics</v>
      </c>
      <c r="V359" s="4" t="str">
        <v>South</v>
      </c>
      <c r="W359" s="4" t="str">
        <v>Apr-2025</v>
      </c>
      <c r="X359" s="4">
        <v>55054</v>
      </c>
      <c r="Y359" s="4">
        <v>11</v>
      </c>
      <c r="Z359" s="4">
        <v>40228.68</v>
      </c>
    </row>
    <row r="360" spans="1:26" x14ac:dyDescent="0.3">
      <c r="A360" s="4" t="str">
        <v>ORD0474</v>
      </c>
      <c r="B360" s="4" t="str">
        <v>Keyboard</v>
      </c>
      <c r="C360" s="4" t="str">
        <v>Accessories</v>
      </c>
      <c r="D360" s="4" t="str">
        <v>South</v>
      </c>
      <c r="E360" s="4" t="str">
        <v>May-2025</v>
      </c>
      <c r="F360" s="4">
        <v>123569</v>
      </c>
      <c r="G360" s="4">
        <v>14</v>
      </c>
      <c r="H360" s="4">
        <v>75035.14</v>
      </c>
      <c r="S360" s="4" t="str">
        <v>ORD0004</v>
      </c>
      <c r="T360" s="4" t="str">
        <v>Printer</v>
      </c>
      <c r="U360" s="4" t="str">
        <v>Peripherals</v>
      </c>
      <c r="V360" s="4" t="str">
        <v>West</v>
      </c>
      <c r="W360" s="4" t="str">
        <v>Dec-2025</v>
      </c>
      <c r="X360" s="4">
        <v>54975</v>
      </c>
      <c r="Y360" s="4">
        <v>9</v>
      </c>
      <c r="Z360" s="4">
        <v>40814.03</v>
      </c>
    </row>
    <row r="361" spans="1:26" x14ac:dyDescent="0.3">
      <c r="A361" s="4" t="str">
        <v>ORD0475</v>
      </c>
      <c r="B361" s="4" t="str">
        <v>Headphones</v>
      </c>
      <c r="C361" s="4" t="str">
        <v>Accessories</v>
      </c>
      <c r="D361" s="4" t="str">
        <v>East</v>
      </c>
      <c r="E361" s="4" t="str">
        <v>Jun-2025</v>
      </c>
      <c r="F361" s="4">
        <v>63659</v>
      </c>
      <c r="G361" s="4">
        <v>1</v>
      </c>
      <c r="H361" s="4">
        <v>41458.46</v>
      </c>
      <c r="S361" s="4" t="str">
        <v>ORD0050</v>
      </c>
      <c r="T361" s="4" t="str">
        <v>Phone</v>
      </c>
      <c r="U361" s="4" t="str">
        <v>Electronics</v>
      </c>
      <c r="V361" s="4" t="str">
        <v>South</v>
      </c>
      <c r="W361" s="4" t="str">
        <v>Dec-2025</v>
      </c>
      <c r="X361" s="4">
        <v>54464</v>
      </c>
      <c r="Y361" s="4">
        <v>3</v>
      </c>
      <c r="Z361" s="4">
        <v>38191.75</v>
      </c>
    </row>
    <row r="362" spans="1:26" x14ac:dyDescent="0.3">
      <c r="A362" s="4" t="str">
        <v>ORD0478</v>
      </c>
      <c r="B362" s="4" t="str">
        <v>Tablet</v>
      </c>
      <c r="C362" s="4" t="str">
        <v>Electronics</v>
      </c>
      <c r="D362" s="4" t="str">
        <v>South</v>
      </c>
      <c r="E362" s="4" t="str">
        <v>Jul-2025</v>
      </c>
      <c r="F362" s="4">
        <v>70356</v>
      </c>
      <c r="G362" s="4">
        <v>1</v>
      </c>
      <c r="H362" s="4">
        <v>49877.32</v>
      </c>
      <c r="S362" s="4" t="str">
        <v>ORD0407</v>
      </c>
      <c r="T362" s="4" t="str">
        <v>Headphones</v>
      </c>
      <c r="U362" s="4" t="str">
        <v>Accessories</v>
      </c>
      <c r="V362" s="4" t="str">
        <v>East</v>
      </c>
      <c r="W362" s="4" t="str">
        <v>Jan-2025</v>
      </c>
      <c r="X362" s="4">
        <v>54436</v>
      </c>
      <c r="Y362" s="4">
        <v>1</v>
      </c>
      <c r="Z362" s="4">
        <v>37444.26</v>
      </c>
    </row>
    <row r="363" spans="1:26" x14ac:dyDescent="0.3">
      <c r="A363" s="4" t="str">
        <v>ORD0479</v>
      </c>
      <c r="B363" s="4" t="str">
        <v>Phone</v>
      </c>
      <c r="C363" s="4" t="str">
        <v>Electronics</v>
      </c>
      <c r="D363" s="4" t="str">
        <v>East</v>
      </c>
      <c r="E363" s="4" t="str">
        <v>Aug-2025</v>
      </c>
      <c r="F363" s="4">
        <v>137488</v>
      </c>
      <c r="G363" s="4">
        <v>12</v>
      </c>
      <c r="H363" s="4">
        <v>93479.21</v>
      </c>
      <c r="S363" s="4" t="str">
        <v>ORD0024</v>
      </c>
      <c r="T363" s="4" t="str">
        <v>Printer</v>
      </c>
      <c r="U363" s="4" t="str">
        <v>Peripherals</v>
      </c>
      <c r="V363" s="4" t="str">
        <v>West</v>
      </c>
      <c r="W363" s="4" t="str">
        <v>May-2025</v>
      </c>
      <c r="X363" s="4">
        <v>54289</v>
      </c>
      <c r="Y363" s="4">
        <v>13</v>
      </c>
      <c r="Z363" s="4">
        <v>34531.08</v>
      </c>
    </row>
    <row r="364" spans="1:26" x14ac:dyDescent="0.3">
      <c r="A364" s="4" t="str">
        <v>ORD0480</v>
      </c>
      <c r="B364" s="4" t="str">
        <v>Printer</v>
      </c>
      <c r="C364" s="4" t="str">
        <v>Peripherals</v>
      </c>
      <c r="D364" s="4" t="str">
        <v>West</v>
      </c>
      <c r="E364" s="4" t="str">
        <v>Oct-2025</v>
      </c>
      <c r="F364" s="4">
        <v>65462</v>
      </c>
      <c r="G364" s="4">
        <v>2</v>
      </c>
      <c r="H364" s="4">
        <v>46245.35</v>
      </c>
      <c r="S364" s="4" t="str">
        <v>ORD0405</v>
      </c>
      <c r="T364" s="4" t="str">
        <v>Laptop</v>
      </c>
      <c r="U364" s="4" t="str">
        <v>Electronics</v>
      </c>
      <c r="V364" s="4" t="str">
        <v>North</v>
      </c>
      <c r="W364" s="4" t="str">
        <v>Oct-2025</v>
      </c>
      <c r="X364" s="4">
        <v>53864</v>
      </c>
      <c r="Y364" s="4">
        <v>12</v>
      </c>
      <c r="Z364" s="4">
        <v>40309.61</v>
      </c>
    </row>
    <row r="365" spans="1:26" x14ac:dyDescent="0.3">
      <c r="A365" s="4" t="str">
        <v>ORD0481</v>
      </c>
      <c r="B365" s="4" t="str">
        <v>Headphones</v>
      </c>
      <c r="C365" s="4" t="str">
        <v>Accessories</v>
      </c>
      <c r="D365" s="4" t="str">
        <v>North</v>
      </c>
      <c r="E365" s="4" t="str">
        <v>Mar-2025</v>
      </c>
      <c r="F365" s="4">
        <v>144537</v>
      </c>
      <c r="G365" s="4">
        <v>5</v>
      </c>
      <c r="H365" s="4">
        <v>95859.9</v>
      </c>
      <c r="S365" s="4" t="str">
        <v>ORD0001</v>
      </c>
      <c r="T365" s="4" t="str">
        <v>Headphones</v>
      </c>
      <c r="U365" s="4" t="str">
        <v>Accessories</v>
      </c>
      <c r="V365" s="4" t="str">
        <v>North</v>
      </c>
      <c r="W365" s="4" t="str">
        <v>Mar-2025</v>
      </c>
      <c r="X365" s="4">
        <v>53800</v>
      </c>
      <c r="Y365" s="4">
        <v>7</v>
      </c>
      <c r="Z365" s="4">
        <v>33237.120000000003</v>
      </c>
    </row>
    <row r="366" spans="1:26" x14ac:dyDescent="0.3">
      <c r="A366" s="4" t="str">
        <v>ORD0482</v>
      </c>
      <c r="B366" s="4" t="str">
        <v>Tablet</v>
      </c>
      <c r="C366" s="4" t="str">
        <v>Electronics</v>
      </c>
      <c r="D366" s="4" t="str">
        <v>South</v>
      </c>
      <c r="E366" s="4" t="str">
        <v>Sep-2025</v>
      </c>
      <c r="F366" s="4">
        <v>109840</v>
      </c>
      <c r="G366" s="4">
        <v>12</v>
      </c>
      <c r="H366" s="4">
        <v>79745.149999999994</v>
      </c>
      <c r="S366" s="4" t="str">
        <v>ORD0332</v>
      </c>
      <c r="T366" s="4" t="str">
        <v>Mouse</v>
      </c>
      <c r="U366" s="4" t="str">
        <v>Accessories</v>
      </c>
      <c r="V366" s="4" t="str">
        <v>West</v>
      </c>
      <c r="W366" s="4" t="str">
        <v>Dec-2025</v>
      </c>
      <c r="X366" s="4">
        <v>53399</v>
      </c>
      <c r="Y366" s="4">
        <v>8</v>
      </c>
      <c r="Z366" s="4">
        <v>33956.080000000002</v>
      </c>
    </row>
    <row r="367" spans="1:26" x14ac:dyDescent="0.3">
      <c r="A367" s="4" t="str">
        <v>ORD0483</v>
      </c>
      <c r="B367" s="4" t="str">
        <v>Tablet</v>
      </c>
      <c r="C367" s="4" t="str">
        <v>Electronics</v>
      </c>
      <c r="D367" s="4" t="str">
        <v>East</v>
      </c>
      <c r="E367" s="4" t="str">
        <v>Aug-2025</v>
      </c>
      <c r="F367" s="4">
        <v>57603</v>
      </c>
      <c r="G367" s="4">
        <v>6</v>
      </c>
      <c r="H367" s="4">
        <v>41712.33</v>
      </c>
      <c r="S367" s="4" t="str">
        <v>ORD0473</v>
      </c>
      <c r="T367" s="4" t="str">
        <v>Mouse</v>
      </c>
      <c r="U367" s="4" t="str">
        <v>Accessories</v>
      </c>
      <c r="V367" s="4" t="str">
        <v>North</v>
      </c>
      <c r="W367" s="4" t="str">
        <v>Jun-2025</v>
      </c>
      <c r="X367" s="4">
        <v>53331</v>
      </c>
      <c r="Y367" s="4">
        <v>1</v>
      </c>
      <c r="Z367" s="4">
        <v>37969.160000000003</v>
      </c>
    </row>
    <row r="368" spans="1:26" x14ac:dyDescent="0.3">
      <c r="A368" s="4" t="str">
        <v>ORD0484</v>
      </c>
      <c r="B368" s="4" t="str">
        <v>Printer</v>
      </c>
      <c r="C368" s="4" t="str">
        <v>Peripherals</v>
      </c>
      <c r="D368" s="4" t="str">
        <v>West</v>
      </c>
      <c r="E368" s="4" t="str">
        <v>Jul-2025</v>
      </c>
      <c r="F368" s="4">
        <v>140229</v>
      </c>
      <c r="G368" s="4">
        <v>4</v>
      </c>
      <c r="H368" s="4">
        <v>87504.29</v>
      </c>
      <c r="S368" s="4" t="str">
        <v>ORD0089</v>
      </c>
      <c r="T368" s="4" t="str">
        <v>Printer</v>
      </c>
      <c r="U368" s="4" t="str">
        <v>Peripherals</v>
      </c>
      <c r="V368" s="4" t="str">
        <v>North</v>
      </c>
      <c r="W368" s="4" t="str">
        <v>Nov-2025</v>
      </c>
      <c r="X368" s="4">
        <v>52973</v>
      </c>
      <c r="Y368" s="4">
        <v>2</v>
      </c>
      <c r="Z368" s="4">
        <v>37179.870000000003</v>
      </c>
    </row>
    <row r="369" spans="1:26" x14ac:dyDescent="0.3">
      <c r="A369" s="4" t="str">
        <v>ORD0487</v>
      </c>
      <c r="B369" s="4" t="str">
        <v>Keyboard</v>
      </c>
      <c r="C369" s="4" t="str">
        <v>Accessories</v>
      </c>
      <c r="D369" s="4" t="str">
        <v>East</v>
      </c>
      <c r="E369" s="4" t="str">
        <v>Mar-2025</v>
      </c>
      <c r="F369" s="4">
        <v>59982</v>
      </c>
      <c r="G369" s="4">
        <v>12</v>
      </c>
      <c r="H369" s="4">
        <v>41374.400000000001</v>
      </c>
      <c r="S369" s="4" t="str">
        <v>ORD0467</v>
      </c>
      <c r="T369" s="4" t="str">
        <v>Keyboard</v>
      </c>
      <c r="U369" s="4" t="str">
        <v>Accessories</v>
      </c>
      <c r="V369" s="4" t="str">
        <v>East</v>
      </c>
      <c r="W369" s="4" t="str">
        <v>May-2025</v>
      </c>
      <c r="X369" s="4">
        <v>52439</v>
      </c>
      <c r="Y369" s="4">
        <v>4</v>
      </c>
      <c r="Z369" s="4">
        <v>33166.17</v>
      </c>
    </row>
    <row r="370" spans="1:26" x14ac:dyDescent="0.3">
      <c r="A370" s="4" t="str">
        <v>ORD0488</v>
      </c>
      <c r="B370" s="4" t="str">
        <v>Tablet</v>
      </c>
      <c r="C370" s="4" t="str">
        <v>Electronics</v>
      </c>
      <c r="D370" s="4" t="str">
        <v>West</v>
      </c>
      <c r="E370" s="4" t="str">
        <v>Oct-2025</v>
      </c>
      <c r="F370" s="4">
        <v>117425</v>
      </c>
      <c r="G370" s="4">
        <v>5</v>
      </c>
      <c r="H370" s="4">
        <v>80955.8</v>
      </c>
      <c r="S370" s="4" t="str">
        <v>ORD0446</v>
      </c>
      <c r="T370" s="4" t="str">
        <v>Headphones</v>
      </c>
      <c r="U370" s="4" t="str">
        <v>Accessories</v>
      </c>
      <c r="V370" s="4" t="str">
        <v>South</v>
      </c>
      <c r="W370" s="4" t="str">
        <v>Apr-2025</v>
      </c>
      <c r="X370" s="4">
        <v>52304</v>
      </c>
      <c r="Y370" s="4">
        <v>1</v>
      </c>
      <c r="Z370" s="4">
        <v>38301.4</v>
      </c>
    </row>
    <row r="371" spans="1:26" x14ac:dyDescent="0.3">
      <c r="A371" s="4" t="str">
        <v>ORD0489</v>
      </c>
      <c r="B371" s="4" t="str">
        <v>Laptop</v>
      </c>
      <c r="C371" s="4" t="str">
        <v>Electronics</v>
      </c>
      <c r="D371" s="4" t="str">
        <v>North</v>
      </c>
      <c r="E371" s="4" t="str">
        <v>Sep-2025</v>
      </c>
      <c r="F371" s="4">
        <v>106980</v>
      </c>
      <c r="G371" s="4">
        <v>14</v>
      </c>
      <c r="H371" s="4">
        <v>67349.740000000005</v>
      </c>
      <c r="S371" s="4" t="str">
        <v>ORD0163</v>
      </c>
      <c r="T371" s="4" t="str">
        <v>Laptop</v>
      </c>
      <c r="U371" s="4" t="str">
        <v>Electronics</v>
      </c>
      <c r="V371" s="4" t="str">
        <v>East</v>
      </c>
      <c r="W371" s="4" t="str">
        <v>Jun-2025</v>
      </c>
      <c r="X371" s="4">
        <v>52062</v>
      </c>
      <c r="Y371" s="4">
        <v>9</v>
      </c>
      <c r="Z371" s="4">
        <v>34691.57</v>
      </c>
    </row>
    <row r="372" spans="1:26" x14ac:dyDescent="0.3">
      <c r="A372" s="4" t="str">
        <v>ORD0490</v>
      </c>
      <c r="B372" s="4" t="str">
        <v>Mouse</v>
      </c>
      <c r="C372" s="4" t="str">
        <v>Accessories</v>
      </c>
      <c r="D372" s="4" t="str">
        <v>South</v>
      </c>
      <c r="E372" s="4" t="str">
        <v>Jan-2025</v>
      </c>
      <c r="F372" s="4">
        <v>88741</v>
      </c>
      <c r="G372" s="4">
        <v>6</v>
      </c>
      <c r="H372" s="4">
        <v>56916.47</v>
      </c>
      <c r="S372" s="4" t="str">
        <v>ORD0160</v>
      </c>
      <c r="T372" s="4" t="str">
        <v>Printer</v>
      </c>
      <c r="U372" s="4" t="str">
        <v>Peripherals</v>
      </c>
      <c r="V372" s="4" t="str">
        <v>West</v>
      </c>
      <c r="W372" s="4" t="str">
        <v>Nov-2025</v>
      </c>
      <c r="X372" s="4">
        <v>51917</v>
      </c>
      <c r="Y372" s="4">
        <v>10</v>
      </c>
      <c r="Z372" s="4">
        <v>31738.76</v>
      </c>
    </row>
    <row r="373" spans="1:26" x14ac:dyDescent="0.3">
      <c r="A373" s="4" t="str">
        <v>ORD0491</v>
      </c>
      <c r="B373" s="4" t="str">
        <v>Monitor</v>
      </c>
      <c r="C373" s="4" t="str">
        <v>Peripherals</v>
      </c>
      <c r="D373" s="4" t="str">
        <v>East</v>
      </c>
      <c r="E373" s="4" t="str">
        <v>May-2025</v>
      </c>
      <c r="F373" s="4">
        <v>91034</v>
      </c>
      <c r="G373" s="4">
        <v>8</v>
      </c>
      <c r="H373" s="4">
        <v>56516.66</v>
      </c>
      <c r="S373" s="4" t="str">
        <v>ORD0031</v>
      </c>
      <c r="T373" s="4" t="str">
        <v>Tablet</v>
      </c>
      <c r="U373" s="4" t="str">
        <v>Electronics</v>
      </c>
      <c r="V373" s="4" t="str">
        <v>East</v>
      </c>
      <c r="W373" s="4" t="str">
        <v>May-2025</v>
      </c>
      <c r="X373" s="4">
        <v>51803</v>
      </c>
      <c r="Y373" s="4">
        <v>2</v>
      </c>
      <c r="Z373" s="4">
        <v>36091.49</v>
      </c>
    </row>
    <row r="374" spans="1:26" x14ac:dyDescent="0.3">
      <c r="A374" s="4" t="str">
        <v>ORD0497</v>
      </c>
      <c r="B374" s="4" t="str">
        <v>Laptop</v>
      </c>
      <c r="C374" s="4" t="str">
        <v>Electronics</v>
      </c>
      <c r="D374" s="4" t="str">
        <v>North</v>
      </c>
      <c r="E374" s="4" t="str">
        <v>Aug-2025</v>
      </c>
      <c r="F374" s="4">
        <v>118058</v>
      </c>
      <c r="G374" s="4">
        <v>12</v>
      </c>
      <c r="H374" s="4">
        <v>86655.58</v>
      </c>
      <c r="S374" s="4" t="str">
        <v>ORD0249</v>
      </c>
      <c r="T374" s="4" t="str">
        <v>Headphones</v>
      </c>
      <c r="U374" s="4" t="str">
        <v>Accessories</v>
      </c>
      <c r="V374" s="4" t="str">
        <v>North</v>
      </c>
      <c r="W374" s="4" t="str">
        <v>Jul-2025</v>
      </c>
      <c r="X374" s="4">
        <v>50267</v>
      </c>
      <c r="Y374" s="4">
        <v>15</v>
      </c>
      <c r="Z374" s="4">
        <v>30775.22</v>
      </c>
    </row>
    <row r="375" spans="1:26" x14ac:dyDescent="0.3">
      <c r="A375" s="4" t="str">
        <v>ORD0498</v>
      </c>
      <c r="B375" s="4" t="str">
        <v>Tablet</v>
      </c>
      <c r="C375" s="4" t="str">
        <v>Electronics</v>
      </c>
      <c r="D375" s="4" t="str">
        <v>South</v>
      </c>
      <c r="E375" s="4" t="str">
        <v>Mar-2025</v>
      </c>
      <c r="F375" s="4">
        <v>142910</v>
      </c>
      <c r="G375" s="4">
        <v>15</v>
      </c>
      <c r="H375" s="4">
        <v>106372.09</v>
      </c>
      <c r="S375" s="4" t="str">
        <v>ORD0260</v>
      </c>
      <c r="T375" s="4" t="str">
        <v>Phone</v>
      </c>
      <c r="U375" s="4" t="str">
        <v>Electronics</v>
      </c>
      <c r="V375" s="4" t="str">
        <v>West</v>
      </c>
      <c r="W375" s="4" t="str">
        <v>Apr-2025</v>
      </c>
      <c r="X375" s="4">
        <v>50236</v>
      </c>
      <c r="Y375" s="4">
        <v>14</v>
      </c>
      <c r="Z375" s="4">
        <v>37575.339999999997</v>
      </c>
    </row>
    <row r="376" spans="1:26" x14ac:dyDescent="0.3">
      <c r="A376" s="4" t="str">
        <v>ORD0499</v>
      </c>
      <c r="B376" s="4" t="str">
        <v>Headphones</v>
      </c>
      <c r="C376" s="4" t="str">
        <v>Accessories</v>
      </c>
      <c r="D376" s="4" t="str">
        <v>East</v>
      </c>
      <c r="E376" s="4" t="str">
        <v>Nov-2025</v>
      </c>
      <c r="F376" s="4">
        <v>110325</v>
      </c>
      <c r="G376" s="4">
        <v>8</v>
      </c>
      <c r="H376" s="4">
        <v>79615.73</v>
      </c>
      <c r="S376" s="4" t="str">
        <v>ORD0385</v>
      </c>
      <c r="T376" s="4" t="str">
        <v>Monitor</v>
      </c>
      <c r="U376" s="4" t="str">
        <v>Peripherals</v>
      </c>
      <c r="V376" s="4" t="str">
        <v>North</v>
      </c>
      <c r="W376" s="4" t="str">
        <v>Aug-2025</v>
      </c>
      <c r="X376" s="4">
        <v>50204</v>
      </c>
      <c r="Y376" s="4">
        <v>4</v>
      </c>
      <c r="Z376" s="4">
        <v>32873.230000000003</v>
      </c>
    </row>
    <row r="377" spans="1:26" x14ac:dyDescent="0.3">
      <c r="A377" s="4" t="str">
        <v>ORD0500</v>
      </c>
      <c r="B377" s="4" t="str">
        <v>Phone</v>
      </c>
      <c r="C377" s="4" t="str">
        <v>Electronics</v>
      </c>
      <c r="D377" s="4" t="str">
        <v>West</v>
      </c>
      <c r="E377" s="4" t="str">
        <v>Jan-2025</v>
      </c>
      <c r="F377" s="4">
        <v>130327</v>
      </c>
      <c r="G377" s="4">
        <v>15</v>
      </c>
      <c r="H377" s="4">
        <v>91928.02</v>
      </c>
      <c r="S377" s="4" t="str">
        <v>ORD0427</v>
      </c>
      <c r="T377" s="4" t="str">
        <v>Laptop</v>
      </c>
      <c r="U377" s="4" t="str">
        <v>Electronics</v>
      </c>
      <c r="V377" s="4" t="str">
        <v>East</v>
      </c>
      <c r="W377" s="4" t="str">
        <v>Aug-2025</v>
      </c>
      <c r="X377" s="4">
        <v>50033</v>
      </c>
      <c r="Y377" s="4">
        <v>2</v>
      </c>
      <c r="Z377" s="4">
        <v>33603.64</v>
      </c>
    </row>
    <row r="378" spans="1:26" x14ac:dyDescent="0.3">
      <c r="S378" s="4" t="str">
        <v>ORD0296</v>
      </c>
      <c r="T378" s="4" t="str">
        <v>Keyboard</v>
      </c>
      <c r="U378" s="4" t="str">
        <v>Accessories</v>
      </c>
      <c r="V378" s="4" t="str">
        <v>West</v>
      </c>
      <c r="W378" s="4" t="str">
        <v>Mar-2025</v>
      </c>
      <c r="X378" s="4">
        <v>50003</v>
      </c>
      <c r="Y378" s="4">
        <v>14</v>
      </c>
      <c r="Z378" s="4">
        <v>37068.519999999997</v>
      </c>
    </row>
    <row r="379" spans="1:26" x14ac:dyDescent="0.3">
      <c r="S379" s="4" t="str">
        <v>ORD0055</v>
      </c>
      <c r="T379" s="4" t="str">
        <v>Mouse</v>
      </c>
      <c r="U379" s="4" t="str">
        <v>Accessories</v>
      </c>
      <c r="V379" s="4" t="str">
        <v>East</v>
      </c>
      <c r="W379" s="4" t="str">
        <v>Dec-2025</v>
      </c>
      <c r="X379" s="4">
        <v>49038</v>
      </c>
      <c r="Y379" s="4">
        <v>1</v>
      </c>
      <c r="Z379" s="4">
        <v>32147.8</v>
      </c>
    </row>
    <row r="380" spans="1:26" x14ac:dyDescent="0.3">
      <c r="S380" s="4" t="str">
        <v>ORD0027</v>
      </c>
      <c r="T380" s="4" t="str">
        <v>Laptop</v>
      </c>
      <c r="U380" s="4" t="str">
        <v>Electronics</v>
      </c>
      <c r="V380" s="4" t="str">
        <v>East</v>
      </c>
      <c r="W380" s="4" t="str">
        <v>Apr-2025</v>
      </c>
      <c r="X380" s="4">
        <v>48982</v>
      </c>
      <c r="Y380" s="4">
        <v>3</v>
      </c>
      <c r="Z380" s="4">
        <v>35166.29</v>
      </c>
    </row>
    <row r="381" spans="1:26" x14ac:dyDescent="0.3">
      <c r="S381" s="4" t="str">
        <v>ORD0125</v>
      </c>
      <c r="T381" s="4" t="str">
        <v>Mouse</v>
      </c>
      <c r="U381" s="4" t="str">
        <v>Accessories</v>
      </c>
      <c r="V381" s="4" t="str">
        <v>North</v>
      </c>
      <c r="W381" s="4" t="str">
        <v>Nov-2025</v>
      </c>
      <c r="X381" s="4">
        <v>48946</v>
      </c>
      <c r="Y381" s="4">
        <v>6</v>
      </c>
      <c r="Z381" s="4">
        <v>33741.24</v>
      </c>
    </row>
    <row r="382" spans="1:26" x14ac:dyDescent="0.3">
      <c r="S382" s="4" t="str">
        <v>ORD0252</v>
      </c>
      <c r="T382" s="4" t="str">
        <v>Monitor</v>
      </c>
      <c r="U382" s="4" t="str">
        <v>Peripherals</v>
      </c>
      <c r="V382" s="4" t="str">
        <v>West</v>
      </c>
      <c r="W382" s="4" t="str">
        <v>Sep-2025</v>
      </c>
      <c r="X382" s="4">
        <v>48410</v>
      </c>
      <c r="Y382" s="4">
        <v>1</v>
      </c>
      <c r="Z382" s="4">
        <v>31131.51</v>
      </c>
    </row>
    <row r="383" spans="1:26" x14ac:dyDescent="0.3">
      <c r="S383" s="4" t="str">
        <v>ORD0197</v>
      </c>
      <c r="T383" s="4" t="str">
        <v>Monitor</v>
      </c>
      <c r="U383" s="4" t="str">
        <v>Peripherals</v>
      </c>
      <c r="V383" s="4" t="str">
        <v>North</v>
      </c>
      <c r="W383" s="4" t="str">
        <v>May-2025</v>
      </c>
      <c r="X383" s="4">
        <v>48308</v>
      </c>
      <c r="Y383" s="4">
        <v>4</v>
      </c>
      <c r="Z383" s="4">
        <v>29623.68</v>
      </c>
    </row>
    <row r="384" spans="1:26" x14ac:dyDescent="0.3">
      <c r="S384" s="4" t="str">
        <v>ORD0495</v>
      </c>
      <c r="T384" s="4" t="str">
        <v>Keyboard</v>
      </c>
      <c r="U384" s="4" t="str">
        <v>Accessories</v>
      </c>
      <c r="V384" s="4" t="str">
        <v>East</v>
      </c>
      <c r="W384" s="4" t="str">
        <v>Oct-2025</v>
      </c>
      <c r="X384" s="4">
        <v>47246</v>
      </c>
      <c r="Y384" s="4">
        <v>8</v>
      </c>
      <c r="Z384" s="4">
        <v>31467.52</v>
      </c>
    </row>
    <row r="385" spans="19:26" x14ac:dyDescent="0.3">
      <c r="S385" s="4" t="str">
        <v>ORD0209</v>
      </c>
      <c r="T385" s="4" t="str">
        <v>Mouse</v>
      </c>
      <c r="U385" s="4" t="str">
        <v>Accessories</v>
      </c>
      <c r="V385" s="4" t="str">
        <v>North</v>
      </c>
      <c r="W385" s="4" t="str">
        <v>Aug-2025</v>
      </c>
      <c r="X385" s="4">
        <v>47190</v>
      </c>
      <c r="Y385" s="4">
        <v>5</v>
      </c>
      <c r="Z385" s="4">
        <v>34951.050000000003</v>
      </c>
    </row>
    <row r="386" spans="19:26" x14ac:dyDescent="0.3">
      <c r="S386" s="4" t="str">
        <v>ORD0254</v>
      </c>
      <c r="T386" s="4" t="str">
        <v>Mouse</v>
      </c>
      <c r="U386" s="4" t="str">
        <v>Accessories</v>
      </c>
      <c r="V386" s="4" t="str">
        <v>South</v>
      </c>
      <c r="W386" s="4" t="str">
        <v>Nov-2025</v>
      </c>
      <c r="X386" s="4">
        <v>46949</v>
      </c>
      <c r="Y386" s="4">
        <v>4</v>
      </c>
      <c r="Z386" s="4">
        <v>28606.74</v>
      </c>
    </row>
    <row r="387" spans="19:26" x14ac:dyDescent="0.3">
      <c r="S387" s="4" t="str">
        <v>ORD0099</v>
      </c>
      <c r="T387" s="4" t="str">
        <v>Monitor</v>
      </c>
      <c r="U387" s="4" t="str">
        <v>Peripherals</v>
      </c>
      <c r="V387" s="4" t="str">
        <v>East</v>
      </c>
      <c r="W387" s="4" t="str">
        <v>May-2025</v>
      </c>
      <c r="X387" s="4">
        <v>46680</v>
      </c>
      <c r="Y387" s="4">
        <v>3</v>
      </c>
      <c r="Z387" s="4">
        <v>32209.279999999999</v>
      </c>
    </row>
    <row r="388" spans="19:26" x14ac:dyDescent="0.3">
      <c r="S388" s="4" t="str">
        <v>ORD0370</v>
      </c>
      <c r="T388" s="4" t="str">
        <v>Tablet</v>
      </c>
      <c r="U388" s="4" t="str">
        <v>Electronics</v>
      </c>
      <c r="V388" s="4" t="str">
        <v>South</v>
      </c>
      <c r="W388" s="4" t="str">
        <v>May-2025</v>
      </c>
      <c r="X388" s="4">
        <v>46403</v>
      </c>
      <c r="Y388" s="4">
        <v>14</v>
      </c>
      <c r="Z388" s="4">
        <v>30149.72</v>
      </c>
    </row>
    <row r="389" spans="19:26" x14ac:dyDescent="0.3">
      <c r="S389" s="4" t="str">
        <v>ORD0234</v>
      </c>
      <c r="T389" s="4" t="str">
        <v>Phone</v>
      </c>
      <c r="U389" s="4" t="str">
        <v>Electronics</v>
      </c>
      <c r="V389" s="4" t="str">
        <v>South</v>
      </c>
      <c r="W389" s="4" t="str">
        <v>Oct-2025</v>
      </c>
      <c r="X389" s="4">
        <v>46089</v>
      </c>
      <c r="Y389" s="4">
        <v>2</v>
      </c>
      <c r="Z389" s="4">
        <v>30242.48</v>
      </c>
    </row>
    <row r="390" spans="19:26" x14ac:dyDescent="0.3">
      <c r="S390" s="4" t="str">
        <v>ORD0364</v>
      </c>
      <c r="T390" s="4" t="str">
        <v>Keyboard</v>
      </c>
      <c r="U390" s="4" t="str">
        <v>Accessories</v>
      </c>
      <c r="V390" s="4" t="str">
        <v>West</v>
      </c>
      <c r="W390" s="4" t="str">
        <v>May-2025</v>
      </c>
      <c r="X390" s="4">
        <v>45236</v>
      </c>
      <c r="Y390" s="4">
        <v>9</v>
      </c>
      <c r="Z390" s="4">
        <v>33153.440000000002</v>
      </c>
    </row>
    <row r="391" spans="19:26" x14ac:dyDescent="0.3">
      <c r="S391" s="4" t="str">
        <v>ORD0108</v>
      </c>
      <c r="T391" s="4" t="str">
        <v>Monitor</v>
      </c>
      <c r="U391" s="4" t="str">
        <v>Peripherals</v>
      </c>
      <c r="V391" s="4" t="str">
        <v>West</v>
      </c>
      <c r="W391" s="4" t="str">
        <v>Feb-2025</v>
      </c>
      <c r="X391" s="4">
        <v>43436</v>
      </c>
      <c r="Y391" s="4">
        <v>12</v>
      </c>
      <c r="Z391" s="4">
        <v>29254.67</v>
      </c>
    </row>
    <row r="392" spans="19:26" x14ac:dyDescent="0.3">
      <c r="S392" s="4" t="str">
        <v>ORD0132</v>
      </c>
      <c r="T392" s="4" t="str">
        <v>Printer</v>
      </c>
      <c r="U392" s="4" t="str">
        <v>Peripherals</v>
      </c>
      <c r="V392" s="4" t="str">
        <v>West</v>
      </c>
      <c r="W392" s="4" t="str">
        <v>Jan-2025</v>
      </c>
      <c r="X392" s="4">
        <v>43387</v>
      </c>
      <c r="Y392" s="4">
        <v>5</v>
      </c>
      <c r="Z392" s="4">
        <v>31716.7</v>
      </c>
    </row>
    <row r="393" spans="19:26" x14ac:dyDescent="0.3">
      <c r="S393" s="4" t="str">
        <v>ORD0443</v>
      </c>
      <c r="T393" s="4" t="str">
        <v>Keyboard</v>
      </c>
      <c r="U393" s="4" t="str">
        <v>Accessories</v>
      </c>
      <c r="V393" s="4" t="str">
        <v>East</v>
      </c>
      <c r="W393" s="4" t="str">
        <v>Dec-2025</v>
      </c>
      <c r="X393" s="4">
        <v>43345</v>
      </c>
      <c r="Y393" s="4">
        <v>12</v>
      </c>
      <c r="Z393" s="4">
        <v>29369.439999999999</v>
      </c>
    </row>
    <row r="394" spans="19:26" x14ac:dyDescent="0.3">
      <c r="S394" s="4" t="str">
        <v>ORD0208</v>
      </c>
      <c r="T394" s="4" t="str">
        <v>Tablet</v>
      </c>
      <c r="U394" s="4" t="str">
        <v>Electronics</v>
      </c>
      <c r="V394" s="4" t="str">
        <v>West</v>
      </c>
      <c r="W394" s="4" t="str">
        <v>Jan-2025</v>
      </c>
      <c r="X394" s="4">
        <v>42719</v>
      </c>
      <c r="Y394" s="4">
        <v>4</v>
      </c>
      <c r="Z394" s="4">
        <v>27362.47</v>
      </c>
    </row>
    <row r="395" spans="19:26" x14ac:dyDescent="0.3">
      <c r="S395" s="4" t="str">
        <v>ORD0401</v>
      </c>
      <c r="T395" s="4" t="str">
        <v>Tablet</v>
      </c>
      <c r="U395" s="4" t="str">
        <v>Electronics</v>
      </c>
      <c r="V395" s="4" t="str">
        <v>North</v>
      </c>
      <c r="W395" s="4" t="str">
        <v>Jul-2025</v>
      </c>
      <c r="X395" s="4">
        <v>42506</v>
      </c>
      <c r="Y395" s="4">
        <v>9</v>
      </c>
      <c r="Z395" s="4">
        <v>30457.86</v>
      </c>
    </row>
    <row r="396" spans="19:26" x14ac:dyDescent="0.3">
      <c r="S396" s="4" t="str">
        <v>ORD0213</v>
      </c>
      <c r="T396" s="4" t="str">
        <v>Monitor</v>
      </c>
      <c r="U396" s="4" t="str">
        <v>Peripherals</v>
      </c>
      <c r="V396" s="4" t="str">
        <v>North</v>
      </c>
      <c r="W396" s="4" t="str">
        <v>Aug-2025</v>
      </c>
      <c r="X396" s="4">
        <v>42269</v>
      </c>
      <c r="Y396" s="4">
        <v>7</v>
      </c>
      <c r="Z396" s="4">
        <v>27472.42</v>
      </c>
    </row>
    <row r="397" spans="19:26" x14ac:dyDescent="0.3">
      <c r="S397" s="4" t="str">
        <v>ORD0200</v>
      </c>
      <c r="T397" s="4" t="str">
        <v>Tablet</v>
      </c>
      <c r="U397" s="4" t="str">
        <v>Electronics</v>
      </c>
      <c r="V397" s="4" t="str">
        <v>West</v>
      </c>
      <c r="W397" s="4" t="str">
        <v>Dec-2025</v>
      </c>
      <c r="X397" s="4">
        <v>41475</v>
      </c>
      <c r="Y397" s="4">
        <v>4</v>
      </c>
      <c r="Z397" s="4">
        <v>26104.33</v>
      </c>
    </row>
    <row r="398" spans="19:26" x14ac:dyDescent="0.3">
      <c r="S398" s="4" t="str">
        <v>ORD0145</v>
      </c>
      <c r="T398" s="4" t="str">
        <v>Keyboard</v>
      </c>
      <c r="U398" s="4" t="str">
        <v>Accessories</v>
      </c>
      <c r="V398" s="4" t="str">
        <v>North</v>
      </c>
      <c r="W398" s="4" t="str">
        <v>Nov-2025</v>
      </c>
      <c r="X398" s="4">
        <v>41158</v>
      </c>
      <c r="Y398" s="4">
        <v>9</v>
      </c>
      <c r="Z398" s="4">
        <v>30846.36</v>
      </c>
    </row>
    <row r="399" spans="19:26" x14ac:dyDescent="0.3">
      <c r="S399" s="4" t="str">
        <v>ORD0183</v>
      </c>
      <c r="T399" s="4" t="str">
        <v>Printer</v>
      </c>
      <c r="U399" s="4" t="str">
        <v>Peripherals</v>
      </c>
      <c r="V399" s="4" t="str">
        <v>East</v>
      </c>
      <c r="W399" s="4" t="str">
        <v>Aug-2025</v>
      </c>
      <c r="X399" s="4">
        <v>40739</v>
      </c>
      <c r="Y399" s="4">
        <v>14</v>
      </c>
      <c r="Z399" s="4">
        <v>27421.13</v>
      </c>
    </row>
    <row r="400" spans="19:26" x14ac:dyDescent="0.3">
      <c r="S400" s="4" t="str">
        <v>ORD0462</v>
      </c>
      <c r="T400" s="4" t="str">
        <v>Monitor</v>
      </c>
      <c r="U400" s="4" t="str">
        <v>Peripherals</v>
      </c>
      <c r="V400" s="4" t="str">
        <v>South</v>
      </c>
      <c r="W400" s="4" t="str">
        <v>Jul-2025</v>
      </c>
      <c r="X400" s="4">
        <v>40424</v>
      </c>
      <c r="Y400" s="4">
        <v>15</v>
      </c>
      <c r="Z400" s="4">
        <v>28201.43</v>
      </c>
    </row>
    <row r="401" spans="19:26" x14ac:dyDescent="0.3">
      <c r="S401" s="4" t="str">
        <v>ORD0211</v>
      </c>
      <c r="T401" s="4" t="str">
        <v>Headphones</v>
      </c>
      <c r="U401" s="4" t="str">
        <v>Accessories</v>
      </c>
      <c r="V401" s="4" t="str">
        <v>East</v>
      </c>
      <c r="W401" s="4" t="str">
        <v>Sep-2025</v>
      </c>
      <c r="X401" s="4">
        <v>40316</v>
      </c>
      <c r="Y401" s="4">
        <v>10</v>
      </c>
      <c r="Z401" s="4">
        <v>28710.01</v>
      </c>
    </row>
    <row r="402" spans="19:26" x14ac:dyDescent="0.3">
      <c r="S402" s="4" t="str">
        <v>ORD0161</v>
      </c>
      <c r="T402" s="4" t="str">
        <v>Printer</v>
      </c>
      <c r="U402" s="4" t="str">
        <v>Peripherals</v>
      </c>
      <c r="V402" s="4" t="str">
        <v>North</v>
      </c>
      <c r="W402" s="4" t="str">
        <v>Jun-2025</v>
      </c>
      <c r="X402" s="4">
        <v>39874</v>
      </c>
      <c r="Y402" s="4">
        <v>11</v>
      </c>
      <c r="Z402" s="4">
        <v>29119.360000000001</v>
      </c>
    </row>
    <row r="403" spans="19:26" x14ac:dyDescent="0.3">
      <c r="S403" s="4" t="str">
        <v>ORD0107</v>
      </c>
      <c r="T403" s="4" t="str">
        <v>Keyboard</v>
      </c>
      <c r="U403" s="4" t="str">
        <v>Accessories</v>
      </c>
      <c r="V403" s="4" t="str">
        <v>East</v>
      </c>
      <c r="W403" s="4" t="str">
        <v>Dec-2025</v>
      </c>
      <c r="X403" s="4">
        <v>38271</v>
      </c>
      <c r="Y403" s="4">
        <v>15</v>
      </c>
      <c r="Z403" s="4">
        <v>24242.32</v>
      </c>
    </row>
    <row r="404" spans="19:26" x14ac:dyDescent="0.3">
      <c r="S404" s="4" t="str">
        <v>ORD0146</v>
      </c>
      <c r="T404" s="4" t="str">
        <v>Laptop</v>
      </c>
      <c r="U404" s="4" t="str">
        <v>Electronics</v>
      </c>
      <c r="V404" s="4" t="str">
        <v>South</v>
      </c>
      <c r="W404" s="4" t="str">
        <v>Jul-2025</v>
      </c>
      <c r="X404" s="4">
        <v>38107</v>
      </c>
      <c r="Y404" s="4">
        <v>13</v>
      </c>
      <c r="Z404" s="4">
        <v>27367.3</v>
      </c>
    </row>
    <row r="405" spans="19:26" x14ac:dyDescent="0.3">
      <c r="S405" s="4" t="str">
        <v>ORD0176</v>
      </c>
      <c r="T405" s="4" t="str">
        <v>Laptop</v>
      </c>
      <c r="U405" s="4" t="str">
        <v>Electronics</v>
      </c>
      <c r="V405" s="4" t="str">
        <v>West</v>
      </c>
      <c r="W405" s="4" t="str">
        <v>Nov-2025</v>
      </c>
      <c r="X405" s="4">
        <v>37443</v>
      </c>
      <c r="Y405" s="4">
        <v>13</v>
      </c>
      <c r="Z405" s="4">
        <v>25817.03</v>
      </c>
    </row>
    <row r="406" spans="19:26" x14ac:dyDescent="0.3">
      <c r="S406" s="4" t="str">
        <v>ORD0496</v>
      </c>
      <c r="T406" s="4" t="str">
        <v>Monitor</v>
      </c>
      <c r="U406" s="4" t="str">
        <v>Peripherals</v>
      </c>
      <c r="V406" s="4" t="str">
        <v>West</v>
      </c>
      <c r="W406" s="4" t="str">
        <v>May-2025</v>
      </c>
      <c r="X406" s="4">
        <v>37031</v>
      </c>
      <c r="Y406" s="4">
        <v>6</v>
      </c>
      <c r="Z406" s="4">
        <v>25456.16</v>
      </c>
    </row>
    <row r="407" spans="19:26" x14ac:dyDescent="0.3">
      <c r="S407" s="4" t="str">
        <v>ORD0130</v>
      </c>
      <c r="T407" s="4" t="str">
        <v>Keyboard</v>
      </c>
      <c r="U407" s="4" t="str">
        <v>Accessories</v>
      </c>
      <c r="V407" s="4" t="str">
        <v>South</v>
      </c>
      <c r="W407" s="4" t="str">
        <v>Dec-2025</v>
      </c>
      <c r="X407" s="4">
        <v>36615</v>
      </c>
      <c r="Y407" s="4">
        <v>9</v>
      </c>
      <c r="Z407" s="4">
        <v>27188.74</v>
      </c>
    </row>
    <row r="408" spans="19:26" x14ac:dyDescent="0.3">
      <c r="S408" s="4" t="str">
        <v>ORD0121</v>
      </c>
      <c r="T408" s="4" t="str">
        <v>Printer</v>
      </c>
      <c r="U408" s="4" t="str">
        <v>Peripherals</v>
      </c>
      <c r="V408" s="4" t="str">
        <v>North</v>
      </c>
      <c r="W408" s="4" t="str">
        <v>Mar-2025</v>
      </c>
      <c r="X408" s="4">
        <v>36586</v>
      </c>
      <c r="Y408" s="4">
        <v>2</v>
      </c>
      <c r="Z408" s="4">
        <v>25647.75</v>
      </c>
    </row>
    <row r="409" spans="19:26" x14ac:dyDescent="0.3">
      <c r="S409" s="4" t="str">
        <v>ORD0205</v>
      </c>
      <c r="T409" s="4" t="str">
        <v>Laptop</v>
      </c>
      <c r="U409" s="4" t="str">
        <v>Electronics</v>
      </c>
      <c r="V409" s="4" t="str">
        <v>North</v>
      </c>
      <c r="W409" s="4" t="str">
        <v>Nov-2025</v>
      </c>
      <c r="X409" s="4">
        <v>36498</v>
      </c>
      <c r="Y409" s="4">
        <v>2</v>
      </c>
      <c r="Z409" s="4">
        <v>25419.63</v>
      </c>
    </row>
    <row r="410" spans="19:26" x14ac:dyDescent="0.3">
      <c r="S410" s="4" t="str">
        <v>ORD0465</v>
      </c>
      <c r="T410" s="4" t="str">
        <v>Headphones</v>
      </c>
      <c r="U410" s="4" t="str">
        <v>Accessories</v>
      </c>
      <c r="V410" s="4" t="str">
        <v>North</v>
      </c>
      <c r="W410" s="4" t="str">
        <v>Jul-2025</v>
      </c>
      <c r="X410" s="4">
        <v>35871</v>
      </c>
      <c r="Y410" s="4">
        <v>12</v>
      </c>
      <c r="Z410" s="4">
        <v>23310.07</v>
      </c>
    </row>
    <row r="411" spans="19:26" x14ac:dyDescent="0.3">
      <c r="S411" s="4" t="str">
        <v>ORD0379</v>
      </c>
      <c r="T411" s="4" t="str">
        <v>Printer</v>
      </c>
      <c r="U411" s="4" t="str">
        <v>Peripherals</v>
      </c>
      <c r="V411" s="4" t="str">
        <v>East</v>
      </c>
      <c r="W411" s="4" t="str">
        <v>Jun-2025</v>
      </c>
      <c r="X411" s="4">
        <v>35837</v>
      </c>
      <c r="Y411" s="4">
        <v>5</v>
      </c>
      <c r="Z411" s="4">
        <v>26683.63</v>
      </c>
    </row>
    <row r="412" spans="19:26" x14ac:dyDescent="0.3">
      <c r="S412" s="4" t="str">
        <v>ORD0493</v>
      </c>
      <c r="T412" s="4" t="str">
        <v>Phone</v>
      </c>
      <c r="U412" s="4" t="str">
        <v>Electronics</v>
      </c>
      <c r="V412" s="4" t="str">
        <v>North</v>
      </c>
      <c r="W412" s="4" t="str">
        <v>Jul-2025</v>
      </c>
      <c r="X412" s="4">
        <v>35708</v>
      </c>
      <c r="Y412" s="4">
        <v>2</v>
      </c>
      <c r="Z412" s="4">
        <v>26298.15</v>
      </c>
    </row>
    <row r="413" spans="19:26" x14ac:dyDescent="0.3">
      <c r="S413" s="4" t="str">
        <v>ORD0477</v>
      </c>
      <c r="T413" s="4" t="str">
        <v>Tablet</v>
      </c>
      <c r="U413" s="4" t="str">
        <v>Electronics</v>
      </c>
      <c r="V413" s="4" t="str">
        <v>North</v>
      </c>
      <c r="W413" s="4" t="str">
        <v>Jul-2025</v>
      </c>
      <c r="X413" s="4">
        <v>35258</v>
      </c>
      <c r="Y413" s="4">
        <v>4</v>
      </c>
      <c r="Z413" s="4">
        <v>24279.37</v>
      </c>
    </row>
    <row r="414" spans="19:26" x14ac:dyDescent="0.3">
      <c r="S414" s="4" t="str">
        <v>ORD0334</v>
      </c>
      <c r="T414" s="4" t="str">
        <v>Tablet</v>
      </c>
      <c r="U414" s="4" t="str">
        <v>Electronics</v>
      </c>
      <c r="V414" s="4" t="str">
        <v>South</v>
      </c>
      <c r="W414" s="4" t="str">
        <v>Dec-2025</v>
      </c>
      <c r="X414" s="4">
        <v>35138</v>
      </c>
      <c r="Y414" s="4">
        <v>15</v>
      </c>
      <c r="Z414" s="4">
        <v>23716.93</v>
      </c>
    </row>
    <row r="415" spans="19:26" x14ac:dyDescent="0.3">
      <c r="S415" s="4" t="str">
        <v>ORD0276</v>
      </c>
      <c r="T415" s="4" t="str">
        <v>Keyboard</v>
      </c>
      <c r="U415" s="4" t="str">
        <v>Accessories</v>
      </c>
      <c r="V415" s="4" t="str">
        <v>West</v>
      </c>
      <c r="W415" s="4" t="str">
        <v>Nov-2025</v>
      </c>
      <c r="X415" s="4">
        <v>34610</v>
      </c>
      <c r="Y415" s="4">
        <v>3</v>
      </c>
      <c r="Z415" s="4">
        <v>24890.799999999999</v>
      </c>
    </row>
    <row r="416" spans="19:26" x14ac:dyDescent="0.3">
      <c r="S416" s="4" t="str">
        <v>ORD0206</v>
      </c>
      <c r="T416" s="4" t="str">
        <v>Laptop</v>
      </c>
      <c r="U416" s="4" t="str">
        <v>Electronics</v>
      </c>
      <c r="V416" s="4" t="str">
        <v>South</v>
      </c>
      <c r="W416" s="4" t="str">
        <v>Mar-2025</v>
      </c>
      <c r="X416" s="4">
        <v>34022</v>
      </c>
      <c r="Y416" s="4">
        <v>4</v>
      </c>
      <c r="Z416" s="4">
        <v>21009.67</v>
      </c>
    </row>
    <row r="417" spans="19:26" x14ac:dyDescent="0.3">
      <c r="S417" s="4" t="str">
        <v>ORD0120</v>
      </c>
      <c r="T417" s="4" t="str">
        <v>Printer</v>
      </c>
      <c r="U417" s="4" t="str">
        <v>Peripherals</v>
      </c>
      <c r="V417" s="4" t="str">
        <v>West</v>
      </c>
      <c r="W417" s="4" t="str">
        <v>Jan-2025</v>
      </c>
      <c r="X417" s="4">
        <v>33847</v>
      </c>
      <c r="Y417" s="4">
        <v>13</v>
      </c>
      <c r="Z417" s="4">
        <v>25212.54</v>
      </c>
    </row>
    <row r="418" spans="19:26" x14ac:dyDescent="0.3">
      <c r="S418" s="4" t="str">
        <v>ORD0440</v>
      </c>
      <c r="T418" s="4" t="str">
        <v>Phone</v>
      </c>
      <c r="U418" s="4" t="str">
        <v>Electronics</v>
      </c>
      <c r="V418" s="4" t="str">
        <v>West</v>
      </c>
      <c r="W418" s="4" t="str">
        <v>Feb-2025</v>
      </c>
      <c r="X418" s="4">
        <v>33695</v>
      </c>
      <c r="Y418" s="4">
        <v>2</v>
      </c>
      <c r="Z418" s="4">
        <v>20529.439999999999</v>
      </c>
    </row>
    <row r="419" spans="19:26" x14ac:dyDescent="0.3">
      <c r="S419" s="4" t="str">
        <v>ORD0110</v>
      </c>
      <c r="T419" s="4" t="str">
        <v>Mouse</v>
      </c>
      <c r="U419" s="4" t="str">
        <v>Accessories</v>
      </c>
      <c r="V419" s="4" t="str">
        <v>South</v>
      </c>
      <c r="W419" s="4" t="str">
        <v>Dec-2025</v>
      </c>
      <c r="X419" s="4">
        <v>33361</v>
      </c>
      <c r="Y419" s="4">
        <v>5</v>
      </c>
      <c r="Z419" s="4">
        <v>20965.34</v>
      </c>
    </row>
    <row r="420" spans="19:26" x14ac:dyDescent="0.3">
      <c r="S420" s="4" t="str">
        <v>ORD0428</v>
      </c>
      <c r="T420" s="4" t="str">
        <v>Keyboard</v>
      </c>
      <c r="U420" s="4" t="str">
        <v>Accessories</v>
      </c>
      <c r="V420" s="4" t="str">
        <v>West</v>
      </c>
      <c r="W420" s="4" t="str">
        <v>Apr-2025</v>
      </c>
      <c r="X420" s="4">
        <v>32563</v>
      </c>
      <c r="Y420" s="4">
        <v>9</v>
      </c>
      <c r="Z420" s="4">
        <v>20991.78</v>
      </c>
    </row>
    <row r="421" spans="19:26" x14ac:dyDescent="0.3">
      <c r="S421" s="4" t="str">
        <v>ORD0392</v>
      </c>
      <c r="T421" s="4" t="str">
        <v>Keyboard</v>
      </c>
      <c r="U421" s="4" t="str">
        <v>Accessories</v>
      </c>
      <c r="V421" s="4" t="str">
        <v>West</v>
      </c>
      <c r="W421" s="4" t="str">
        <v>Aug-2025</v>
      </c>
      <c r="X421" s="4">
        <v>31592</v>
      </c>
      <c r="Y421" s="4">
        <v>12</v>
      </c>
      <c r="Z421" s="4">
        <v>19216.560000000001</v>
      </c>
    </row>
    <row r="422" spans="19:26" x14ac:dyDescent="0.3">
      <c r="S422" s="4" t="str">
        <v>ORD0147</v>
      </c>
      <c r="T422" s="4" t="str">
        <v>Phone</v>
      </c>
      <c r="U422" s="4" t="str">
        <v>Electronics</v>
      </c>
      <c r="V422" s="4" t="str">
        <v>East</v>
      </c>
      <c r="W422" s="4" t="str">
        <v>Aug-2025</v>
      </c>
      <c r="X422" s="4">
        <v>31409</v>
      </c>
      <c r="Y422" s="4">
        <v>6</v>
      </c>
      <c r="Z422" s="4">
        <v>21935.759999999998</v>
      </c>
    </row>
    <row r="423" spans="19:26" x14ac:dyDescent="0.3">
      <c r="S423" s="4" t="str">
        <v>ORD0173</v>
      </c>
      <c r="T423" s="4" t="str">
        <v>Mouse</v>
      </c>
      <c r="U423" s="4" t="str">
        <v>Accessories</v>
      </c>
      <c r="V423" s="4" t="str">
        <v>North</v>
      </c>
      <c r="W423" s="4" t="str">
        <v>Nov-2025</v>
      </c>
      <c r="X423" s="4">
        <v>30969</v>
      </c>
      <c r="Y423" s="4">
        <v>3</v>
      </c>
      <c r="Z423" s="4">
        <v>21989.8</v>
      </c>
    </row>
    <row r="424" spans="19:26" x14ac:dyDescent="0.3">
      <c r="S424" s="4" t="str">
        <v>ORD0198</v>
      </c>
      <c r="T424" s="4" t="str">
        <v>Headphones</v>
      </c>
      <c r="U424" s="4" t="str">
        <v>Accessories</v>
      </c>
      <c r="V424" s="4" t="str">
        <v>South</v>
      </c>
      <c r="W424" s="4" t="str">
        <v>Nov-2025</v>
      </c>
      <c r="X424" s="4">
        <v>30727</v>
      </c>
      <c r="Y424" s="4">
        <v>2</v>
      </c>
      <c r="Z424" s="4">
        <v>22889.29</v>
      </c>
    </row>
    <row r="425" spans="19:26" x14ac:dyDescent="0.3">
      <c r="S425" s="4" t="str">
        <v>ORD0225</v>
      </c>
      <c r="T425" s="4" t="str">
        <v>Laptop</v>
      </c>
      <c r="U425" s="4" t="str">
        <v>Electronics</v>
      </c>
      <c r="V425" s="4" t="str">
        <v>North</v>
      </c>
      <c r="W425" s="4" t="str">
        <v>Aug-2025</v>
      </c>
      <c r="X425" s="4">
        <v>30535</v>
      </c>
      <c r="Y425" s="4">
        <v>5</v>
      </c>
      <c r="Z425" s="4">
        <v>19602.12</v>
      </c>
    </row>
    <row r="426" spans="19:26" x14ac:dyDescent="0.3">
      <c r="S426" s="4" t="str">
        <v>ORD0331</v>
      </c>
      <c r="T426" s="4" t="str">
        <v>Laptop</v>
      </c>
      <c r="U426" s="4" t="str">
        <v>Electronics</v>
      </c>
      <c r="V426" s="4" t="str">
        <v>East</v>
      </c>
      <c r="W426" s="4" t="str">
        <v>Dec-2025</v>
      </c>
      <c r="X426" s="4">
        <v>30346</v>
      </c>
      <c r="Y426" s="4">
        <v>11</v>
      </c>
      <c r="Z426" s="4">
        <v>21910.83</v>
      </c>
    </row>
    <row r="427" spans="19:26" x14ac:dyDescent="0.3">
      <c r="S427" s="4" t="str">
        <v>ORD0492</v>
      </c>
      <c r="T427" s="4" t="str">
        <v>Tablet</v>
      </c>
      <c r="U427" s="4" t="str">
        <v>Electronics</v>
      </c>
      <c r="V427" s="4" t="str">
        <v>West</v>
      </c>
      <c r="W427" s="4" t="str">
        <v>Mar-2025</v>
      </c>
      <c r="X427" s="4">
        <v>29764</v>
      </c>
      <c r="Y427" s="4">
        <v>11</v>
      </c>
      <c r="Z427" s="4">
        <v>21549.21</v>
      </c>
    </row>
    <row r="428" spans="19:26" x14ac:dyDescent="0.3">
      <c r="S428" s="4" t="str">
        <v>ORD0094</v>
      </c>
      <c r="T428" s="4" t="str">
        <v>Keyboard</v>
      </c>
      <c r="U428" s="4" t="str">
        <v>Accessories</v>
      </c>
      <c r="V428" s="4" t="str">
        <v>South</v>
      </c>
      <c r="W428" s="4" t="str">
        <v>Apr-2025</v>
      </c>
      <c r="X428" s="4">
        <v>29529</v>
      </c>
      <c r="Y428" s="4">
        <v>2</v>
      </c>
      <c r="Z428" s="4">
        <v>20109.23</v>
      </c>
    </row>
    <row r="429" spans="19:26" x14ac:dyDescent="0.3">
      <c r="S429" s="4" t="str">
        <v>ORD0359</v>
      </c>
      <c r="T429" s="4" t="str">
        <v>Keyboard</v>
      </c>
      <c r="U429" s="4" t="str">
        <v>Accessories</v>
      </c>
      <c r="V429" s="4" t="str">
        <v>East</v>
      </c>
      <c r="W429" s="4" t="str">
        <v>Feb-2025</v>
      </c>
      <c r="X429" s="4">
        <v>29386</v>
      </c>
      <c r="Y429" s="4">
        <v>12</v>
      </c>
      <c r="Z429" s="4">
        <v>17753.099999999999</v>
      </c>
    </row>
    <row r="430" spans="19:26" x14ac:dyDescent="0.3">
      <c r="S430" s="4" t="str">
        <v>ORD0106</v>
      </c>
      <c r="T430" s="4" t="str">
        <v>Mouse</v>
      </c>
      <c r="U430" s="4" t="str">
        <v>Accessories</v>
      </c>
      <c r="V430" s="4" t="str">
        <v>South</v>
      </c>
      <c r="W430" s="4" t="str">
        <v>Nov-2025</v>
      </c>
      <c r="X430" s="4">
        <v>28462</v>
      </c>
      <c r="Y430" s="4">
        <v>1</v>
      </c>
      <c r="Z430" s="4">
        <v>17369.34</v>
      </c>
    </row>
    <row r="431" spans="19:26" x14ac:dyDescent="0.3">
      <c r="S431" s="4" t="str">
        <v>ORD0045</v>
      </c>
      <c r="T431" s="4" t="str">
        <v>Printer</v>
      </c>
      <c r="U431" s="4" t="str">
        <v>Peripherals</v>
      </c>
      <c r="V431" s="4" t="str">
        <v>North</v>
      </c>
      <c r="W431" s="4" t="str">
        <v>May-2025</v>
      </c>
      <c r="X431" s="4">
        <v>28370</v>
      </c>
      <c r="Y431" s="4">
        <v>11</v>
      </c>
      <c r="Z431" s="4">
        <v>21034.87</v>
      </c>
    </row>
    <row r="432" spans="19:26" x14ac:dyDescent="0.3">
      <c r="S432" s="4" t="str">
        <v>ORD0250</v>
      </c>
      <c r="T432" s="4" t="str">
        <v>Laptop</v>
      </c>
      <c r="U432" s="4" t="str">
        <v>Electronics</v>
      </c>
      <c r="V432" s="4" t="str">
        <v>South</v>
      </c>
      <c r="W432" s="4" t="str">
        <v>Feb-2025</v>
      </c>
      <c r="X432" s="4">
        <v>28214</v>
      </c>
      <c r="Y432" s="4">
        <v>4</v>
      </c>
      <c r="Z432" s="4">
        <v>20137.93</v>
      </c>
    </row>
    <row r="433" spans="19:26" x14ac:dyDescent="0.3">
      <c r="S433" s="4" t="str">
        <v>ORD0286</v>
      </c>
      <c r="T433" s="4" t="str">
        <v>Mouse</v>
      </c>
      <c r="U433" s="4" t="str">
        <v>Accessories</v>
      </c>
      <c r="V433" s="4" t="str">
        <v>South</v>
      </c>
      <c r="W433" s="4" t="str">
        <v>Oct-2025</v>
      </c>
      <c r="X433" s="4">
        <v>28110</v>
      </c>
      <c r="Y433" s="4">
        <v>2</v>
      </c>
      <c r="Z433" s="4">
        <v>17671.740000000002</v>
      </c>
    </row>
    <row r="434" spans="19:26" x14ac:dyDescent="0.3">
      <c r="S434" s="4" t="str">
        <v>ORD0264</v>
      </c>
      <c r="T434" s="4" t="str">
        <v>Tablet</v>
      </c>
      <c r="U434" s="4" t="str">
        <v>Electronics</v>
      </c>
      <c r="V434" s="4" t="str">
        <v>West</v>
      </c>
      <c r="W434" s="4" t="str">
        <v>Jan-2025</v>
      </c>
      <c r="X434" s="4">
        <v>27693</v>
      </c>
      <c r="Y434" s="4">
        <v>5</v>
      </c>
      <c r="Z434" s="4">
        <v>19404.98</v>
      </c>
    </row>
    <row r="435" spans="19:26" x14ac:dyDescent="0.3">
      <c r="S435" s="4" t="str">
        <v>ORD0424</v>
      </c>
      <c r="T435" s="4" t="str">
        <v>Mouse</v>
      </c>
      <c r="U435" s="4" t="str">
        <v>Accessories</v>
      </c>
      <c r="V435" s="4" t="str">
        <v>West</v>
      </c>
      <c r="W435" s="4" t="str">
        <v>Nov-2025</v>
      </c>
      <c r="X435" s="4">
        <v>27348</v>
      </c>
      <c r="Y435" s="4">
        <v>13</v>
      </c>
      <c r="Z435" s="4">
        <v>17639.400000000001</v>
      </c>
    </row>
    <row r="436" spans="19:26" x14ac:dyDescent="0.3">
      <c r="S436" s="4" t="str">
        <v>ORD0361</v>
      </c>
      <c r="T436" s="4" t="str">
        <v>Phone</v>
      </c>
      <c r="U436" s="4" t="str">
        <v>Electronics</v>
      </c>
      <c r="V436" s="4" t="str">
        <v>North</v>
      </c>
      <c r="W436" s="4" t="str">
        <v>Jun-2025</v>
      </c>
      <c r="X436" s="4">
        <v>27217</v>
      </c>
      <c r="Y436" s="4">
        <v>8</v>
      </c>
      <c r="Z436" s="4">
        <v>19828.77</v>
      </c>
    </row>
    <row r="437" spans="19:26" x14ac:dyDescent="0.3">
      <c r="S437" s="4" t="str">
        <v>ORD0291</v>
      </c>
      <c r="T437" s="4" t="str">
        <v>Keyboard</v>
      </c>
      <c r="U437" s="4" t="str">
        <v>Accessories</v>
      </c>
      <c r="V437" s="4" t="str">
        <v>East</v>
      </c>
      <c r="W437" s="4" t="str">
        <v>Feb-2025</v>
      </c>
      <c r="X437" s="4">
        <v>26252</v>
      </c>
      <c r="Y437" s="4">
        <v>1</v>
      </c>
      <c r="Z437" s="4">
        <v>16113.12</v>
      </c>
    </row>
    <row r="438" spans="19:26" x14ac:dyDescent="0.3">
      <c r="S438" s="4" t="str">
        <v>ORD0311</v>
      </c>
      <c r="T438" s="4" t="str">
        <v>Mouse</v>
      </c>
      <c r="U438" s="4" t="str">
        <v>Accessories</v>
      </c>
      <c r="V438" s="4" t="str">
        <v>East</v>
      </c>
      <c r="W438" s="4" t="str">
        <v>Dec-2025</v>
      </c>
      <c r="X438" s="4">
        <v>25924</v>
      </c>
      <c r="Y438" s="4">
        <v>3</v>
      </c>
      <c r="Z438" s="4">
        <v>18650.47</v>
      </c>
    </row>
    <row r="439" spans="19:26" x14ac:dyDescent="0.3">
      <c r="S439" s="4" t="str">
        <v>ORD0271</v>
      </c>
      <c r="T439" s="4" t="str">
        <v>Headphones</v>
      </c>
      <c r="U439" s="4" t="str">
        <v>Accessories</v>
      </c>
      <c r="V439" s="4" t="str">
        <v>East</v>
      </c>
      <c r="W439" s="4" t="str">
        <v>Mar-2025</v>
      </c>
      <c r="X439" s="4">
        <v>25855</v>
      </c>
      <c r="Y439" s="4">
        <v>7</v>
      </c>
      <c r="Z439" s="4">
        <v>17060.05</v>
      </c>
    </row>
    <row r="440" spans="19:26" x14ac:dyDescent="0.3">
      <c r="S440" s="4" t="str">
        <v>ORD0455</v>
      </c>
      <c r="T440" s="4" t="str">
        <v>Keyboard</v>
      </c>
      <c r="U440" s="4" t="str">
        <v>Accessories</v>
      </c>
      <c r="V440" s="4" t="str">
        <v>East</v>
      </c>
      <c r="W440" s="4" t="str">
        <v>Apr-2025</v>
      </c>
      <c r="X440" s="4">
        <v>25577</v>
      </c>
      <c r="Y440" s="4">
        <v>4</v>
      </c>
      <c r="Z440" s="4">
        <v>15899.58</v>
      </c>
    </row>
    <row r="441" spans="19:26" x14ac:dyDescent="0.3">
      <c r="S441" s="4" t="str">
        <v>ORD0036</v>
      </c>
      <c r="T441" s="4" t="str">
        <v>Laptop</v>
      </c>
      <c r="U441" s="4" t="str">
        <v>Electronics</v>
      </c>
      <c r="V441" s="4" t="str">
        <v>West</v>
      </c>
      <c r="W441" s="4" t="str">
        <v>May-2025</v>
      </c>
      <c r="X441" s="4">
        <v>24791</v>
      </c>
      <c r="Y441" s="4">
        <v>4</v>
      </c>
      <c r="Z441" s="4">
        <v>16441.09</v>
      </c>
    </row>
    <row r="442" spans="19:26" x14ac:dyDescent="0.3">
      <c r="S442" s="4" t="str">
        <v>ORD0224</v>
      </c>
      <c r="T442" s="4" t="str">
        <v>Phone</v>
      </c>
      <c r="U442" s="4" t="str">
        <v>Electronics</v>
      </c>
      <c r="V442" s="4" t="str">
        <v>West</v>
      </c>
      <c r="W442" s="4" t="str">
        <v>Oct-2025</v>
      </c>
      <c r="X442" s="4">
        <v>24540</v>
      </c>
      <c r="Y442" s="4">
        <v>5</v>
      </c>
      <c r="Z442" s="4">
        <v>16038.72</v>
      </c>
    </row>
    <row r="443" spans="19:26" x14ac:dyDescent="0.3">
      <c r="S443" s="4" t="str">
        <v>ORD0255</v>
      </c>
      <c r="T443" s="4" t="str">
        <v>Headphones</v>
      </c>
      <c r="U443" s="4" t="str">
        <v>Accessories</v>
      </c>
      <c r="V443" s="4" t="str">
        <v>East</v>
      </c>
      <c r="W443" s="4" t="str">
        <v>Dec-2025</v>
      </c>
      <c r="X443" s="4">
        <v>23861</v>
      </c>
      <c r="Y443" s="4">
        <v>1</v>
      </c>
      <c r="Z443" s="4">
        <v>17764.07</v>
      </c>
    </row>
    <row r="444" spans="19:26" x14ac:dyDescent="0.3">
      <c r="S444" s="4" t="str">
        <v>ORD0494</v>
      </c>
      <c r="T444" s="4" t="str">
        <v>Tablet</v>
      </c>
      <c r="U444" s="4" t="str">
        <v>Electronics</v>
      </c>
      <c r="V444" s="4" t="str">
        <v>South</v>
      </c>
      <c r="W444" s="4" t="str">
        <v>Jan-2025</v>
      </c>
      <c r="X444" s="4">
        <v>22946</v>
      </c>
      <c r="Y444" s="4">
        <v>9</v>
      </c>
      <c r="Z444" s="4">
        <v>15692.66</v>
      </c>
    </row>
    <row r="445" spans="19:26" x14ac:dyDescent="0.3">
      <c r="S445" s="4" t="str">
        <v>ORD0246</v>
      </c>
      <c r="T445" s="4" t="str">
        <v>Headphones</v>
      </c>
      <c r="U445" s="4" t="str">
        <v>Accessories</v>
      </c>
      <c r="V445" s="4" t="str">
        <v>South</v>
      </c>
      <c r="W445" s="4" t="str">
        <v>Jun-2025</v>
      </c>
      <c r="X445" s="4">
        <v>22908</v>
      </c>
      <c r="Y445" s="4">
        <v>4</v>
      </c>
      <c r="Z445" s="4">
        <v>16984.580000000002</v>
      </c>
    </row>
    <row r="446" spans="19:26" x14ac:dyDescent="0.3">
      <c r="S446" s="4" t="str">
        <v>ORD0169</v>
      </c>
      <c r="T446" s="4" t="str">
        <v>Keyboard</v>
      </c>
      <c r="U446" s="4" t="str">
        <v>Accessories</v>
      </c>
      <c r="V446" s="4" t="str">
        <v>North</v>
      </c>
      <c r="W446" s="4" t="str">
        <v>May-2025</v>
      </c>
      <c r="X446" s="4">
        <v>22274</v>
      </c>
      <c r="Y446" s="4">
        <v>15</v>
      </c>
      <c r="Z446" s="4">
        <v>15042.42</v>
      </c>
    </row>
    <row r="447" spans="19:26" x14ac:dyDescent="0.3">
      <c r="S447" s="4" t="str">
        <v>ORD0420</v>
      </c>
      <c r="T447" s="4" t="str">
        <v>Laptop</v>
      </c>
      <c r="U447" s="4" t="str">
        <v>Electronics</v>
      </c>
      <c r="V447" s="4" t="str">
        <v>West</v>
      </c>
      <c r="W447" s="4" t="str">
        <v>Nov-2025</v>
      </c>
      <c r="X447" s="4">
        <v>22207</v>
      </c>
      <c r="Y447" s="4">
        <v>1</v>
      </c>
      <c r="Z447" s="4">
        <v>15431.7</v>
      </c>
    </row>
    <row r="448" spans="19:26" x14ac:dyDescent="0.3">
      <c r="S448" s="4" t="str">
        <v>ORD0312</v>
      </c>
      <c r="T448" s="4" t="str">
        <v>Printer</v>
      </c>
      <c r="U448" s="4" t="str">
        <v>Peripherals</v>
      </c>
      <c r="V448" s="4" t="str">
        <v>West</v>
      </c>
      <c r="W448" s="4" t="str">
        <v>Apr-2025</v>
      </c>
      <c r="X448" s="4">
        <v>22007</v>
      </c>
      <c r="Y448" s="4">
        <v>6</v>
      </c>
      <c r="Z448" s="4">
        <v>14441.51</v>
      </c>
    </row>
    <row r="449" spans="19:26" x14ac:dyDescent="0.3">
      <c r="S449" s="4" t="str">
        <v>ORD0009</v>
      </c>
      <c r="T449" s="4" t="str">
        <v>Mouse</v>
      </c>
      <c r="U449" s="4" t="str">
        <v>Accessories</v>
      </c>
      <c r="V449" s="4" t="str">
        <v>North</v>
      </c>
      <c r="W449" s="4" t="str">
        <v>Jul-2025</v>
      </c>
      <c r="X449" s="4">
        <v>21324</v>
      </c>
      <c r="Y449" s="4">
        <v>13</v>
      </c>
      <c r="Z449" s="4">
        <v>12904.79</v>
      </c>
    </row>
    <row r="450" spans="19:26" x14ac:dyDescent="0.3">
      <c r="S450" s="4" t="str">
        <v>ORD0464</v>
      </c>
      <c r="T450" s="4" t="str">
        <v>Monitor</v>
      </c>
      <c r="U450" s="4" t="str">
        <v>Peripherals</v>
      </c>
      <c r="V450" s="4" t="str">
        <v>West</v>
      </c>
      <c r="W450" s="4" t="str">
        <v>May-2025</v>
      </c>
      <c r="X450" s="4">
        <v>21044</v>
      </c>
      <c r="Y450" s="4">
        <v>11</v>
      </c>
      <c r="Z450" s="4">
        <v>14655.4</v>
      </c>
    </row>
    <row r="451" spans="19:26" x14ac:dyDescent="0.3">
      <c r="S451" s="4" t="str">
        <v>ORD0457</v>
      </c>
      <c r="T451" s="4" t="str">
        <v>Headphones</v>
      </c>
      <c r="U451" s="4" t="str">
        <v>Accessories</v>
      </c>
      <c r="V451" s="4" t="str">
        <v>North</v>
      </c>
      <c r="W451" s="4" t="str">
        <v>Jul-2025</v>
      </c>
      <c r="X451" s="4">
        <v>20354</v>
      </c>
      <c r="Y451" s="4">
        <v>7</v>
      </c>
      <c r="Z451" s="4">
        <v>14619.46</v>
      </c>
    </row>
    <row r="452" spans="19:26" x14ac:dyDescent="0.3">
      <c r="S452" s="4" t="str">
        <v>ORD0486</v>
      </c>
      <c r="T452" s="4" t="str">
        <v>Phone</v>
      </c>
      <c r="U452" s="4" t="str">
        <v>Electronics</v>
      </c>
      <c r="V452" s="4" t="str">
        <v>South</v>
      </c>
      <c r="W452" s="4" t="str">
        <v>Jun-2025</v>
      </c>
      <c r="X452" s="4">
        <v>20214</v>
      </c>
      <c r="Y452" s="4">
        <v>7</v>
      </c>
      <c r="Z452" s="4">
        <v>14771.92</v>
      </c>
    </row>
    <row r="453" spans="19:26" x14ac:dyDescent="0.3">
      <c r="S453" s="4" t="str">
        <v>ORD0115</v>
      </c>
      <c r="T453" s="4" t="str">
        <v>Headphones</v>
      </c>
      <c r="U453" s="4" t="str">
        <v>Accessories</v>
      </c>
      <c r="V453" s="4" t="str">
        <v>East</v>
      </c>
      <c r="W453" s="4" t="str">
        <v>Mar-2025</v>
      </c>
      <c r="X453" s="4">
        <v>20015</v>
      </c>
      <c r="Y453" s="4">
        <v>1</v>
      </c>
      <c r="Z453" s="4">
        <v>12599.05</v>
      </c>
    </row>
    <row r="454" spans="19:26" x14ac:dyDescent="0.3">
      <c r="S454" s="4" t="str">
        <v>ORD0187</v>
      </c>
      <c r="T454" s="4" t="str">
        <v>Headphones</v>
      </c>
      <c r="U454" s="4" t="str">
        <v>Accessories</v>
      </c>
      <c r="V454" s="4" t="str">
        <v>East</v>
      </c>
      <c r="W454" s="4" t="str">
        <v>Nov-2025</v>
      </c>
      <c r="X454" s="4">
        <v>19416</v>
      </c>
      <c r="Y454" s="4">
        <v>13</v>
      </c>
      <c r="Z454" s="4">
        <v>13122.62</v>
      </c>
    </row>
    <row r="455" spans="19:26" x14ac:dyDescent="0.3">
      <c r="S455" s="4" t="str">
        <v>ORD0339</v>
      </c>
      <c r="T455" s="4" t="str">
        <v>Keyboard</v>
      </c>
      <c r="U455" s="4" t="str">
        <v>Accessories</v>
      </c>
      <c r="V455" s="4" t="str">
        <v>East</v>
      </c>
      <c r="W455" s="4" t="str">
        <v>Jan-2025</v>
      </c>
      <c r="X455" s="4">
        <v>18999</v>
      </c>
      <c r="Y455" s="4">
        <v>15</v>
      </c>
      <c r="Z455" s="4">
        <v>13198.27</v>
      </c>
    </row>
    <row r="456" spans="19:26" x14ac:dyDescent="0.3">
      <c r="S456" s="4" t="str">
        <v>ORD0190</v>
      </c>
      <c r="T456" s="4" t="str">
        <v>Mouse</v>
      </c>
      <c r="U456" s="4" t="str">
        <v>Accessories</v>
      </c>
      <c r="V456" s="4" t="str">
        <v>South</v>
      </c>
      <c r="W456" s="4" t="str">
        <v>Jun-2025</v>
      </c>
      <c r="X456" s="4">
        <v>18877</v>
      </c>
      <c r="Y456" s="4">
        <v>11</v>
      </c>
      <c r="Z456" s="4">
        <v>11498.58</v>
      </c>
    </row>
    <row r="457" spans="19:26" x14ac:dyDescent="0.3">
      <c r="S457" s="4" t="str">
        <v>ORD0360</v>
      </c>
      <c r="T457" s="4" t="str">
        <v>Laptop</v>
      </c>
      <c r="U457" s="4" t="str">
        <v>Electronics</v>
      </c>
      <c r="V457" s="4" t="str">
        <v>West</v>
      </c>
      <c r="W457" s="4" t="str">
        <v>Jul-2025</v>
      </c>
      <c r="X457" s="4">
        <v>18749</v>
      </c>
      <c r="Y457" s="4">
        <v>11</v>
      </c>
      <c r="Z457" s="4">
        <v>12323.89</v>
      </c>
    </row>
    <row r="458" spans="19:26" x14ac:dyDescent="0.3">
      <c r="S458" s="4" t="str">
        <v>ORD0236</v>
      </c>
      <c r="T458" s="4" t="str">
        <v>Phone</v>
      </c>
      <c r="U458" s="4" t="str">
        <v>Electronics</v>
      </c>
      <c r="V458" s="4" t="str">
        <v>West</v>
      </c>
      <c r="W458" s="4" t="str">
        <v>Mar-2025</v>
      </c>
      <c r="X458" s="4">
        <v>17939</v>
      </c>
      <c r="Y458" s="4">
        <v>6</v>
      </c>
      <c r="Z458" s="4">
        <v>13021.22</v>
      </c>
    </row>
    <row r="459" spans="19:26" x14ac:dyDescent="0.3">
      <c r="S459" s="4" t="str">
        <v>ORD0380</v>
      </c>
      <c r="T459" s="4" t="str">
        <v>Keyboard</v>
      </c>
      <c r="U459" s="4" t="str">
        <v>Accessories</v>
      </c>
      <c r="V459" s="4" t="str">
        <v>West</v>
      </c>
      <c r="W459" s="4" t="str">
        <v>Jun-2025</v>
      </c>
      <c r="X459" s="4">
        <v>17484</v>
      </c>
      <c r="Y459" s="4">
        <v>9</v>
      </c>
      <c r="Z459" s="4">
        <v>12346.93</v>
      </c>
    </row>
    <row r="460" spans="19:26" x14ac:dyDescent="0.3">
      <c r="S460" s="4" t="str">
        <v>ORD0069</v>
      </c>
      <c r="T460" s="4" t="str">
        <v>Laptop</v>
      </c>
      <c r="U460" s="4" t="str">
        <v>Electronics</v>
      </c>
      <c r="V460" s="4" t="str">
        <v>North</v>
      </c>
      <c r="W460" s="4" t="str">
        <v>Sep-2025</v>
      </c>
      <c r="X460" s="4">
        <v>17367</v>
      </c>
      <c r="Y460" s="4">
        <v>11</v>
      </c>
      <c r="Z460" s="4">
        <v>11191.18</v>
      </c>
    </row>
    <row r="461" spans="19:26" x14ac:dyDescent="0.3">
      <c r="S461" s="4" t="str">
        <v>ORD0238</v>
      </c>
      <c r="T461" s="4" t="str">
        <v>Laptop</v>
      </c>
      <c r="U461" s="4" t="str">
        <v>Electronics</v>
      </c>
      <c r="V461" s="4" t="str">
        <v>South</v>
      </c>
      <c r="W461" s="4" t="str">
        <v>Apr-2025</v>
      </c>
      <c r="X461" s="4">
        <v>17143</v>
      </c>
      <c r="Y461" s="4">
        <v>9</v>
      </c>
      <c r="Z461" s="4">
        <v>10362.73</v>
      </c>
    </row>
    <row r="462" spans="19:26" x14ac:dyDescent="0.3">
      <c r="S462" s="4" t="str">
        <v>ORD0013</v>
      </c>
      <c r="T462" s="4" t="str">
        <v>Printer</v>
      </c>
      <c r="U462" s="4" t="str">
        <v>Peripherals</v>
      </c>
      <c r="V462" s="4" t="str">
        <v>North</v>
      </c>
      <c r="W462" s="4" t="str">
        <v>Oct-2025</v>
      </c>
      <c r="X462" s="4">
        <v>16900</v>
      </c>
      <c r="Y462" s="4">
        <v>5</v>
      </c>
      <c r="Z462" s="4">
        <v>11429.58</v>
      </c>
    </row>
    <row r="463" spans="19:26" x14ac:dyDescent="0.3">
      <c r="S463" s="4" t="str">
        <v>ORD0412</v>
      </c>
      <c r="T463" s="4" t="str">
        <v>Printer</v>
      </c>
      <c r="U463" s="4" t="str">
        <v>Peripherals</v>
      </c>
      <c r="V463" s="4" t="str">
        <v>West</v>
      </c>
      <c r="W463" s="4" t="str">
        <v>Dec-2025</v>
      </c>
      <c r="X463" s="4">
        <v>16624</v>
      </c>
      <c r="Y463" s="4">
        <v>9</v>
      </c>
      <c r="Z463" s="4">
        <v>10055.08</v>
      </c>
    </row>
    <row r="464" spans="19:26" x14ac:dyDescent="0.3">
      <c r="S464" s="4" t="str">
        <v>ORD0451</v>
      </c>
      <c r="T464" s="4" t="str">
        <v>Keyboard</v>
      </c>
      <c r="U464" s="4" t="str">
        <v>Accessories</v>
      </c>
      <c r="V464" s="4" t="str">
        <v>East</v>
      </c>
      <c r="W464" s="4" t="str">
        <v>Jan-2025</v>
      </c>
      <c r="X464" s="4">
        <v>16599</v>
      </c>
      <c r="Y464" s="4">
        <v>3</v>
      </c>
      <c r="Z464" s="4">
        <v>10776.78</v>
      </c>
    </row>
    <row r="465" spans="19:26" x14ac:dyDescent="0.3">
      <c r="S465" s="4" t="str">
        <v>ORD0476</v>
      </c>
      <c r="T465" s="4" t="str">
        <v>Phone</v>
      </c>
      <c r="U465" s="4" t="str">
        <v>Electronics</v>
      </c>
      <c r="V465" s="4" t="str">
        <v>West</v>
      </c>
      <c r="W465" s="4" t="str">
        <v>Jun-2025</v>
      </c>
      <c r="X465" s="4">
        <v>16434</v>
      </c>
      <c r="Y465" s="4">
        <v>9</v>
      </c>
      <c r="Z465" s="4">
        <v>11679.1</v>
      </c>
    </row>
    <row r="466" spans="19:26" x14ac:dyDescent="0.3">
      <c r="S466" s="4" t="str">
        <v>ORD0453</v>
      </c>
      <c r="T466" s="4" t="str">
        <v>Keyboard</v>
      </c>
      <c r="U466" s="4" t="str">
        <v>Accessories</v>
      </c>
      <c r="V466" s="4" t="str">
        <v>North</v>
      </c>
      <c r="W466" s="4" t="str">
        <v>Jul-2025</v>
      </c>
      <c r="X466" s="4">
        <v>16384</v>
      </c>
      <c r="Y466" s="4">
        <v>1</v>
      </c>
      <c r="Z466" s="4">
        <v>10138.709999999999</v>
      </c>
    </row>
    <row r="467" spans="19:26" x14ac:dyDescent="0.3">
      <c r="S467" s="4" t="str">
        <v>ORD0097</v>
      </c>
      <c r="T467" s="4" t="str">
        <v>Tablet</v>
      </c>
      <c r="U467" s="4" t="str">
        <v>Electronics</v>
      </c>
      <c r="V467" s="4" t="str">
        <v>North</v>
      </c>
      <c r="W467" s="4" t="str">
        <v>Jan-2025</v>
      </c>
      <c r="X467" s="4">
        <v>16353</v>
      </c>
      <c r="Y467" s="4">
        <v>10</v>
      </c>
      <c r="Z467" s="4">
        <v>11805.26</v>
      </c>
    </row>
    <row r="468" spans="19:26" x14ac:dyDescent="0.3">
      <c r="S468" s="4" t="str">
        <v>ORD0409</v>
      </c>
      <c r="T468" s="4" t="str">
        <v>Mouse</v>
      </c>
      <c r="U468" s="4" t="str">
        <v>Accessories</v>
      </c>
      <c r="V468" s="4" t="str">
        <v>North</v>
      </c>
      <c r="W468" s="4" t="str">
        <v>Dec-2025</v>
      </c>
      <c r="X468" s="4">
        <v>16185</v>
      </c>
      <c r="Y468" s="4">
        <v>6</v>
      </c>
      <c r="Z468" s="4">
        <v>10596.62</v>
      </c>
    </row>
    <row r="469" spans="19:26" x14ac:dyDescent="0.3">
      <c r="S469" s="4" t="str">
        <v>ORD0136</v>
      </c>
      <c r="T469" s="4" t="str">
        <v>Mouse</v>
      </c>
      <c r="U469" s="4" t="str">
        <v>Accessories</v>
      </c>
      <c r="V469" s="4" t="str">
        <v>West</v>
      </c>
      <c r="W469" s="4" t="str">
        <v>Oct-2025</v>
      </c>
      <c r="X469" s="4">
        <v>15422</v>
      </c>
      <c r="Y469" s="4">
        <v>15</v>
      </c>
      <c r="Z469" s="4">
        <v>9605.7900000000009</v>
      </c>
    </row>
    <row r="470" spans="19:26" x14ac:dyDescent="0.3">
      <c r="S470" s="4" t="str">
        <v>ORD0485</v>
      </c>
      <c r="T470" s="4" t="str">
        <v>Laptop</v>
      </c>
      <c r="U470" s="4" t="str">
        <v>Electronics</v>
      </c>
      <c r="V470" s="4" t="str">
        <v>North</v>
      </c>
      <c r="W470" s="4" t="str">
        <v>Jan-2025</v>
      </c>
      <c r="X470" s="4">
        <v>15319</v>
      </c>
      <c r="Y470" s="4">
        <v>1</v>
      </c>
      <c r="Z470" s="4">
        <v>10488.07</v>
      </c>
    </row>
    <row r="471" spans="19:26" x14ac:dyDescent="0.3">
      <c r="S471" s="4" t="str">
        <v>ORD0080</v>
      </c>
      <c r="T471" s="4" t="str">
        <v>Phone</v>
      </c>
      <c r="U471" s="4" t="str">
        <v>Electronics</v>
      </c>
      <c r="V471" s="4" t="str">
        <v>West</v>
      </c>
      <c r="W471" s="4" t="str">
        <v>Dec-2025</v>
      </c>
      <c r="X471" s="4">
        <v>14608</v>
      </c>
      <c r="Y471" s="4">
        <v>12</v>
      </c>
      <c r="Z471" s="4">
        <v>10120.41</v>
      </c>
    </row>
    <row r="472" spans="19:26" x14ac:dyDescent="0.3">
      <c r="S472" s="4" t="str">
        <v>ORD0384</v>
      </c>
      <c r="T472" s="4" t="str">
        <v>Tablet</v>
      </c>
      <c r="U472" s="4" t="str">
        <v>Electronics</v>
      </c>
      <c r="V472" s="4" t="str">
        <v>West</v>
      </c>
      <c r="W472" s="4" t="str">
        <v>Mar-2025</v>
      </c>
      <c r="X472" s="4">
        <v>14553</v>
      </c>
      <c r="Y472" s="4">
        <v>5</v>
      </c>
      <c r="Z472" s="4">
        <v>10247.11</v>
      </c>
    </row>
    <row r="473" spans="19:26" x14ac:dyDescent="0.3">
      <c r="S473" s="4" t="str">
        <v>ORD0167</v>
      </c>
      <c r="T473" s="4" t="str">
        <v>Mouse</v>
      </c>
      <c r="U473" s="4" t="str">
        <v>Accessories</v>
      </c>
      <c r="V473" s="4" t="str">
        <v>East</v>
      </c>
      <c r="W473" s="4" t="str">
        <v>Feb-2025</v>
      </c>
      <c r="X473" s="4">
        <v>14209</v>
      </c>
      <c r="Y473" s="4">
        <v>6</v>
      </c>
      <c r="Z473" s="4">
        <v>9852.35</v>
      </c>
    </row>
    <row r="474" spans="19:26" x14ac:dyDescent="0.3">
      <c r="S474" s="4" t="str">
        <v>ORD0432</v>
      </c>
      <c r="T474" s="4" t="str">
        <v>Keyboard</v>
      </c>
      <c r="U474" s="4" t="str">
        <v>Accessories</v>
      </c>
      <c r="V474" s="4" t="str">
        <v>West</v>
      </c>
      <c r="W474" s="4" t="str">
        <v>Aug-2025</v>
      </c>
      <c r="X474" s="4">
        <v>14146</v>
      </c>
      <c r="Y474" s="4">
        <v>4</v>
      </c>
      <c r="Z474" s="4">
        <v>8808.4</v>
      </c>
    </row>
    <row r="475" spans="19:26" x14ac:dyDescent="0.3">
      <c r="S475" s="4" t="str">
        <v>ORD0223</v>
      </c>
      <c r="T475" s="4" t="str">
        <v>Headphones</v>
      </c>
      <c r="U475" s="4" t="str">
        <v>Accessories</v>
      </c>
      <c r="V475" s="4" t="str">
        <v>East</v>
      </c>
      <c r="W475" s="4" t="str">
        <v>Dec-2025</v>
      </c>
      <c r="X475" s="4">
        <v>13984</v>
      </c>
      <c r="Y475" s="4">
        <v>1</v>
      </c>
      <c r="Z475" s="4">
        <v>9263.5400000000009</v>
      </c>
    </row>
    <row r="476" spans="19:26" x14ac:dyDescent="0.3">
      <c r="S476" s="4" t="str">
        <v>ORD0057</v>
      </c>
      <c r="T476" s="4" t="str">
        <v>Mouse</v>
      </c>
      <c r="U476" s="4" t="str">
        <v>Accessories</v>
      </c>
      <c r="V476" s="4" t="str">
        <v>North</v>
      </c>
      <c r="W476" s="4" t="str">
        <v>Sep-2025</v>
      </c>
      <c r="X476" s="4">
        <v>13687</v>
      </c>
      <c r="Y476" s="4">
        <v>7</v>
      </c>
      <c r="Z476" s="4">
        <v>9964.93</v>
      </c>
    </row>
    <row r="477" spans="19:26" x14ac:dyDescent="0.3">
      <c r="S477" s="4" t="str">
        <v>ORD0300</v>
      </c>
      <c r="T477" s="4" t="str">
        <v>Headphones</v>
      </c>
      <c r="U477" s="4" t="str">
        <v>Accessories</v>
      </c>
      <c r="V477" s="4" t="str">
        <v>West</v>
      </c>
      <c r="W477" s="4" t="str">
        <v>May-2025</v>
      </c>
      <c r="X477" s="4">
        <v>12671</v>
      </c>
      <c r="Y477" s="4">
        <v>3</v>
      </c>
      <c r="Z477" s="4">
        <v>8630.09</v>
      </c>
    </row>
    <row r="478" spans="19:26" x14ac:dyDescent="0.3">
      <c r="S478" s="4" t="str">
        <v>ORD0397</v>
      </c>
      <c r="T478" s="4" t="str">
        <v>Tablet</v>
      </c>
      <c r="U478" s="4" t="str">
        <v>Electronics</v>
      </c>
      <c r="V478" s="4" t="str">
        <v>North</v>
      </c>
      <c r="W478" s="4" t="str">
        <v>Apr-2025</v>
      </c>
      <c r="X478" s="4">
        <v>12565</v>
      </c>
      <c r="Y478" s="4">
        <v>13</v>
      </c>
      <c r="Z478" s="4">
        <v>8901.2800000000007</v>
      </c>
    </row>
    <row r="479" spans="19:26" x14ac:dyDescent="0.3">
      <c r="S479" s="4" t="str">
        <v>ORD0283</v>
      </c>
      <c r="T479" s="4" t="str">
        <v>Keyboard</v>
      </c>
      <c r="U479" s="4" t="str">
        <v>Accessories</v>
      </c>
      <c r="V479" s="4" t="str">
        <v>East</v>
      </c>
      <c r="W479" s="4" t="str">
        <v>Mar-2025</v>
      </c>
      <c r="X479" s="4">
        <v>12226</v>
      </c>
      <c r="Y479" s="4">
        <v>10</v>
      </c>
      <c r="Z479" s="4">
        <v>7581.21</v>
      </c>
    </row>
    <row r="480" spans="19:26" x14ac:dyDescent="0.3">
      <c r="S480" s="4" t="str">
        <v>ORD0066</v>
      </c>
      <c r="T480" s="4" t="str">
        <v>Keyboard</v>
      </c>
      <c r="U480" s="4" t="str">
        <v>Accessories</v>
      </c>
      <c r="V480" s="4" t="str">
        <v>South</v>
      </c>
      <c r="W480" s="4" t="str">
        <v>Jan-2025</v>
      </c>
      <c r="X480" s="4">
        <v>12019</v>
      </c>
      <c r="Y480" s="4">
        <v>10</v>
      </c>
      <c r="Z480" s="4">
        <v>8288.27</v>
      </c>
    </row>
    <row r="481" spans="19:26" x14ac:dyDescent="0.3">
      <c r="S481" s="4" t="str">
        <v>ORD0005</v>
      </c>
      <c r="T481" s="4" t="str">
        <v>Headphones</v>
      </c>
      <c r="U481" s="4" t="str">
        <v>Accessories</v>
      </c>
      <c r="V481" s="4" t="str">
        <v>North</v>
      </c>
      <c r="W481" s="4" t="str">
        <v>Aug-2025</v>
      </c>
      <c r="X481" s="4">
        <v>10878</v>
      </c>
      <c r="Y481" s="4">
        <v>11</v>
      </c>
      <c r="Z481" s="4">
        <v>7396.72</v>
      </c>
    </row>
    <row r="482" spans="19:26" x14ac:dyDescent="0.3">
      <c r="S482" s="4" t="str">
        <v>ORD0348</v>
      </c>
      <c r="T482" s="4" t="str">
        <v>Headphones</v>
      </c>
      <c r="U482" s="4" t="str">
        <v>Accessories</v>
      </c>
      <c r="V482" s="4" t="str">
        <v>West</v>
      </c>
      <c r="W482" s="4" t="str">
        <v>Feb-2025</v>
      </c>
      <c r="X482" s="4">
        <v>10401</v>
      </c>
      <c r="Y482" s="4">
        <v>3</v>
      </c>
      <c r="Z482" s="4">
        <v>7700.79</v>
      </c>
    </row>
    <row r="483" spans="19:26" x14ac:dyDescent="0.3">
      <c r="S483" s="4" t="str">
        <v>ORD0245</v>
      </c>
      <c r="T483" s="4" t="str">
        <v>Keyboard</v>
      </c>
      <c r="U483" s="4" t="str">
        <v>Accessories</v>
      </c>
      <c r="V483" s="4" t="str">
        <v>North</v>
      </c>
      <c r="W483" s="4" t="str">
        <v>Aug-2025</v>
      </c>
      <c r="X483" s="4">
        <v>10337</v>
      </c>
      <c r="Y483" s="4">
        <v>13</v>
      </c>
      <c r="Z483" s="4">
        <v>7093.62</v>
      </c>
    </row>
    <row r="484" spans="19:26" x14ac:dyDescent="0.3">
      <c r="S484" s="4" t="str">
        <v>ORD0126</v>
      </c>
      <c r="T484" s="4" t="str">
        <v>Printer</v>
      </c>
      <c r="U484" s="4" t="str">
        <v>Peripherals</v>
      </c>
      <c r="V484" s="4" t="str">
        <v>South</v>
      </c>
      <c r="W484" s="4" t="str">
        <v>May-2025</v>
      </c>
      <c r="X484" s="4">
        <v>10157</v>
      </c>
      <c r="Y484" s="4">
        <v>15</v>
      </c>
      <c r="Z484" s="4">
        <v>6482.68</v>
      </c>
    </row>
    <row r="485" spans="19:26" x14ac:dyDescent="0.3">
      <c r="S485" s="4" t="str">
        <v>ORD0184</v>
      </c>
      <c r="T485" s="4" t="str">
        <v>Phone</v>
      </c>
      <c r="U485" s="4" t="str">
        <v>Electronics</v>
      </c>
      <c r="V485" s="4" t="str">
        <v>West</v>
      </c>
      <c r="W485" s="4" t="str">
        <v>Jul-2025</v>
      </c>
      <c r="X485" s="4">
        <v>9992</v>
      </c>
      <c r="Y485" s="4">
        <v>7</v>
      </c>
      <c r="Z485" s="4">
        <v>6455.39</v>
      </c>
    </row>
    <row r="486" spans="19:26" x14ac:dyDescent="0.3">
      <c r="S486" s="4" t="str">
        <v>ORD0218</v>
      </c>
      <c r="T486" s="4" t="str">
        <v>Phone</v>
      </c>
      <c r="U486" s="4" t="str">
        <v>Electronics</v>
      </c>
      <c r="V486" s="4" t="str">
        <v>South</v>
      </c>
      <c r="W486" s="4" t="str">
        <v>Jun-2025</v>
      </c>
      <c r="X486" s="4">
        <v>9518</v>
      </c>
      <c r="Y486" s="4">
        <v>2</v>
      </c>
      <c r="Z486" s="4">
        <v>5773.53</v>
      </c>
    </row>
    <row r="487" spans="19:26" x14ac:dyDescent="0.3">
      <c r="S487" s="4" t="str">
        <v>ORD0422</v>
      </c>
      <c r="T487" s="4" t="str">
        <v>Headphones</v>
      </c>
      <c r="U487" s="4" t="str">
        <v>Accessories</v>
      </c>
      <c r="V487" s="4" t="str">
        <v>South</v>
      </c>
      <c r="W487" s="4" t="str">
        <v>Jun-2025</v>
      </c>
      <c r="X487" s="4">
        <v>9495</v>
      </c>
      <c r="Y487" s="4">
        <v>1</v>
      </c>
      <c r="Z487" s="4">
        <v>7074.23</v>
      </c>
    </row>
    <row r="488" spans="19:26" x14ac:dyDescent="0.3">
      <c r="S488" s="4" t="str">
        <v>ORD0054</v>
      </c>
      <c r="T488" s="4" t="str">
        <v>Printer</v>
      </c>
      <c r="U488" s="4" t="str">
        <v>Peripherals</v>
      </c>
      <c r="V488" s="4" t="str">
        <v>South</v>
      </c>
      <c r="W488" s="4" t="str">
        <v>Jan-2025</v>
      </c>
      <c r="X488" s="4">
        <v>9459</v>
      </c>
      <c r="Y488" s="4">
        <v>14</v>
      </c>
      <c r="Z488" s="4">
        <v>5946.76</v>
      </c>
    </row>
    <row r="489" spans="19:26" x14ac:dyDescent="0.3">
      <c r="S489" s="4" t="str">
        <v>ORD0240</v>
      </c>
      <c r="T489" s="4" t="str">
        <v>Mouse</v>
      </c>
      <c r="U489" s="4" t="str">
        <v>Accessories</v>
      </c>
      <c r="V489" s="4" t="str">
        <v>West</v>
      </c>
      <c r="W489" s="4" t="str">
        <v>Feb-2025</v>
      </c>
      <c r="X489" s="4">
        <v>8803</v>
      </c>
      <c r="Y489" s="4">
        <v>12</v>
      </c>
      <c r="Z489" s="4">
        <v>5625.67</v>
      </c>
    </row>
    <row r="490" spans="19:26" x14ac:dyDescent="0.3">
      <c r="S490" s="4" t="str">
        <v>ORD0442</v>
      </c>
      <c r="T490" s="4" t="str">
        <v>Mouse</v>
      </c>
      <c r="U490" s="4" t="str">
        <v>Accessories</v>
      </c>
      <c r="V490" s="4" t="str">
        <v>South</v>
      </c>
      <c r="W490" s="4" t="str">
        <v>Aug-2025</v>
      </c>
      <c r="X490" s="4">
        <v>8170</v>
      </c>
      <c r="Y490" s="4">
        <v>13</v>
      </c>
      <c r="Z490" s="4">
        <v>6070.2</v>
      </c>
    </row>
    <row r="491" spans="19:26" x14ac:dyDescent="0.3">
      <c r="S491" s="4" t="str">
        <v>ORD0472</v>
      </c>
      <c r="T491" s="4" t="str">
        <v>Monitor</v>
      </c>
      <c r="U491" s="4" t="str">
        <v>Peripherals</v>
      </c>
      <c r="V491" s="4" t="str">
        <v>West</v>
      </c>
      <c r="W491" s="4" t="str">
        <v>Dec-2025</v>
      </c>
      <c r="X491" s="4">
        <v>7533</v>
      </c>
      <c r="Y491" s="4">
        <v>13</v>
      </c>
      <c r="Z491" s="4">
        <v>4607.16</v>
      </c>
    </row>
    <row r="492" spans="19:26" x14ac:dyDescent="0.3">
      <c r="S492" s="4" t="str">
        <v>ORD0016</v>
      </c>
      <c r="T492" s="4" t="str">
        <v>Keyboard</v>
      </c>
      <c r="U492" s="4" t="str">
        <v>Accessories</v>
      </c>
      <c r="V492" s="4" t="str">
        <v>West</v>
      </c>
      <c r="W492" s="4" t="str">
        <v>Mar-2025</v>
      </c>
      <c r="X492" s="4">
        <v>7458</v>
      </c>
      <c r="Y492" s="4">
        <v>11</v>
      </c>
      <c r="Z492" s="4">
        <v>4586.29</v>
      </c>
    </row>
    <row r="493" spans="19:26" x14ac:dyDescent="0.3">
      <c r="S493" s="4" t="str">
        <v>ORD0253</v>
      </c>
      <c r="T493" s="4" t="str">
        <v>Headphones</v>
      </c>
      <c r="U493" s="4" t="str">
        <v>Accessories</v>
      </c>
      <c r="V493" s="4" t="str">
        <v>North</v>
      </c>
      <c r="W493" s="4" t="str">
        <v>Jan-2025</v>
      </c>
      <c r="X493" s="4">
        <v>7379</v>
      </c>
      <c r="Y493" s="4">
        <v>5</v>
      </c>
      <c r="Z493" s="4">
        <v>4724.5</v>
      </c>
    </row>
    <row r="494" spans="19:26" x14ac:dyDescent="0.3">
      <c r="S494" s="4" t="str">
        <v>ORD0269</v>
      </c>
      <c r="T494" s="4" t="str">
        <v>Keyboard</v>
      </c>
      <c r="U494" s="4" t="str">
        <v>Accessories</v>
      </c>
      <c r="V494" s="4" t="str">
        <v>North</v>
      </c>
      <c r="W494" s="4" t="str">
        <v>Sep-2025</v>
      </c>
      <c r="X494" s="4">
        <v>7370</v>
      </c>
      <c r="Y494" s="4">
        <v>8</v>
      </c>
      <c r="Z494" s="4">
        <v>4736.32</v>
      </c>
    </row>
    <row r="495" spans="19:26" x14ac:dyDescent="0.3">
      <c r="S495" s="4" t="str">
        <v>ORD0053</v>
      </c>
      <c r="T495" s="4" t="str">
        <v>Mouse</v>
      </c>
      <c r="U495" s="4" t="str">
        <v>Accessories</v>
      </c>
      <c r="V495" s="4" t="str">
        <v>North</v>
      </c>
      <c r="W495" s="4" t="str">
        <v>Jan-2025</v>
      </c>
      <c r="X495" s="4">
        <v>6792</v>
      </c>
      <c r="Y495" s="4">
        <v>15</v>
      </c>
      <c r="Z495" s="4">
        <v>4737.45</v>
      </c>
    </row>
    <row r="496" spans="19:26" x14ac:dyDescent="0.3">
      <c r="S496" s="4" t="str">
        <v>ORD0092</v>
      </c>
      <c r="T496" s="4" t="str">
        <v>Phone</v>
      </c>
      <c r="U496" s="4" t="str">
        <v>Electronics</v>
      </c>
      <c r="V496" s="4" t="str">
        <v>West</v>
      </c>
      <c r="W496" s="4" t="str">
        <v>Dec-2025</v>
      </c>
      <c r="X496" s="4">
        <v>6757</v>
      </c>
      <c r="Y496" s="4">
        <v>5</v>
      </c>
      <c r="Z496" s="4">
        <v>4255.88</v>
      </c>
    </row>
    <row r="497" spans="19:26" x14ac:dyDescent="0.3">
      <c r="S497" s="4" t="str">
        <v>ORD0310</v>
      </c>
      <c r="T497" s="4" t="str">
        <v>Mouse</v>
      </c>
      <c r="U497" s="4" t="str">
        <v>Accessories</v>
      </c>
      <c r="V497" s="4" t="str">
        <v>South</v>
      </c>
      <c r="W497" s="4" t="str">
        <v>Jan-2025</v>
      </c>
      <c r="X497" s="4">
        <v>6369</v>
      </c>
      <c r="Y497" s="4">
        <v>6</v>
      </c>
      <c r="Z497" s="4">
        <v>4070.24</v>
      </c>
    </row>
    <row r="498" spans="19:26" x14ac:dyDescent="0.3">
      <c r="S498" s="4" t="str">
        <v>ORD0164</v>
      </c>
      <c r="T498" s="4" t="str">
        <v>Laptop</v>
      </c>
      <c r="U498" s="4" t="str">
        <v>Electronics</v>
      </c>
      <c r="V498" s="4" t="str">
        <v>West</v>
      </c>
      <c r="W498" s="4" t="str">
        <v>Nov-2025</v>
      </c>
      <c r="X498" s="4">
        <v>6365</v>
      </c>
      <c r="Y498" s="4">
        <v>5</v>
      </c>
      <c r="Z498" s="4">
        <v>4128.62</v>
      </c>
    </row>
    <row r="499" spans="19:26" x14ac:dyDescent="0.3">
      <c r="S499" s="4" t="str">
        <v>ORD0251</v>
      </c>
      <c r="T499" s="4" t="str">
        <v>Printer</v>
      </c>
      <c r="U499" s="4" t="str">
        <v>Peripherals</v>
      </c>
      <c r="V499" s="4" t="str">
        <v>East</v>
      </c>
      <c r="W499" s="4" t="str">
        <v>Sep-2025</v>
      </c>
      <c r="X499" s="4">
        <v>5691</v>
      </c>
      <c r="Y499" s="4">
        <v>13</v>
      </c>
      <c r="Z499" s="4">
        <v>3920.14</v>
      </c>
    </row>
    <row r="500" spans="19:26" x14ac:dyDescent="0.3">
      <c r="S500" s="4" t="str">
        <v>ORD0403</v>
      </c>
      <c r="T500" s="4" t="str">
        <v>Headphones</v>
      </c>
      <c r="U500" s="4" t="str">
        <v>Accessories</v>
      </c>
      <c r="V500" s="4" t="str">
        <v>East</v>
      </c>
      <c r="W500" s="4" t="str">
        <v>Feb-2025</v>
      </c>
      <c r="X500" s="4">
        <v>5426</v>
      </c>
      <c r="Y500" s="4">
        <v>1</v>
      </c>
      <c r="Z500" s="4">
        <v>4061.96</v>
      </c>
    </row>
    <row r="501" spans="19:26" x14ac:dyDescent="0.3">
      <c r="S501" s="4" t="str">
        <v>ORD0287</v>
      </c>
      <c r="T501" s="4" t="str">
        <v>Keyboard</v>
      </c>
      <c r="U501" s="4" t="str">
        <v>Accessories</v>
      </c>
      <c r="V501" s="4" t="str">
        <v>East</v>
      </c>
      <c r="W501" s="4" t="str">
        <v>May-2025</v>
      </c>
      <c r="X501" s="4">
        <v>5386</v>
      </c>
      <c r="Y501" s="4">
        <v>14</v>
      </c>
      <c r="Z501" s="4">
        <v>3861.68</v>
      </c>
    </row>
    <row r="502" spans="19:26" x14ac:dyDescent="0.3">
      <c r="S502" s="4" t="str">
        <v>ORD0349</v>
      </c>
      <c r="T502" s="4" t="str">
        <v>Monitor</v>
      </c>
      <c r="U502" s="4" t="str">
        <v>Peripherals</v>
      </c>
      <c r="V502" s="4" t="str">
        <v>North</v>
      </c>
      <c r="W502" s="4" t="str">
        <v>Feb-2025</v>
      </c>
      <c r="X502" s="4">
        <v>5254</v>
      </c>
      <c r="Y502" s="4">
        <v>14</v>
      </c>
      <c r="Z502" s="4">
        <v>3222.23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Dynamic_Arrays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saideep pallela</cp:lastModifiedBy>
  <dcterms:created xsi:type="dcterms:W3CDTF">2026-05-12T06:52:12Z</dcterms:created>
  <dcterms:modified xsi:type="dcterms:W3CDTF">2026-05-12T07:25:12Z</dcterms:modified>
</cp:coreProperties>
</file>