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Github - Worklog\Advance_Excel_phase4\DAY82\"/>
    </mc:Choice>
  </mc:AlternateContent>
  <xr:revisionPtr revIDLastSave="0" documentId="13_ncr:1_{3A742B03-A880-424B-93B6-6BF954CE59F1}" xr6:coauthVersionLast="47" xr6:coauthVersionMax="47" xr10:uidLastSave="{00000000-0000-0000-0000-000000000000}"/>
  <bookViews>
    <workbookView xWindow="30600" yWindow="-120" windowWidth="29040" windowHeight="15720" activeTab="1" xr2:uid="{00000000-000D-0000-FFFF-FFFF00000000}"/>
  </bookViews>
  <sheets>
    <sheet name="Raw_Data" sheetId="1" r:id="rId1"/>
    <sheet name="Dashboard" sheetId="2" r:id="rId2"/>
    <sheet name="CALCULATION " sheetId="3" r:id="rId3"/>
  </sheets>
  <definedNames>
    <definedName name="Slicer_Category">#N/A</definedName>
    <definedName name="Slicer_Customer_Segment">#N/A</definedName>
    <definedName name="Slicer_Region">#N/A</definedName>
  </definedNames>
  <calcPr calcId="191029"/>
  <pivotCaches>
    <pivotCache cacheId="4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 i="3" l="1"/>
  <c r="H5" i="3"/>
  <c r="H6" i="3"/>
  <c r="H7" i="3"/>
  <c r="H4" i="3"/>
  <c r="C3" i="3"/>
  <c r="C2" i="3"/>
</calcChain>
</file>

<file path=xl/sharedStrings.xml><?xml version="1.0" encoding="utf-8"?>
<sst xmlns="http://schemas.openxmlformats.org/spreadsheetml/2006/main" count="766" uniqueCount="301">
  <si>
    <t>OrderID</t>
  </si>
  <si>
    <t>Order_Date</t>
  </si>
  <si>
    <t>Customer_Name</t>
  </si>
  <si>
    <t>Customer_Segment</t>
  </si>
  <si>
    <t>Region</t>
  </si>
  <si>
    <t>Category</t>
  </si>
  <si>
    <t>Product</t>
  </si>
  <si>
    <t>Units</t>
  </si>
  <si>
    <t>Unit_Price</t>
  </si>
  <si>
    <t>Revenue</t>
  </si>
  <si>
    <t>Cost</t>
  </si>
  <si>
    <t>Profit</t>
  </si>
  <si>
    <t>Sales_Target</t>
  </si>
  <si>
    <t>ORD1001</t>
  </si>
  <si>
    <t>Customer_001</t>
  </si>
  <si>
    <t>Consumer</t>
  </si>
  <si>
    <t>West</t>
  </si>
  <si>
    <t>Furniture</t>
  </si>
  <si>
    <t>Cabinet</t>
  </si>
  <si>
    <t>ORD1002</t>
  </si>
  <si>
    <t>Customer_002</t>
  </si>
  <si>
    <t>East</t>
  </si>
  <si>
    <t>Clothing</t>
  </si>
  <si>
    <t>Shirt</t>
  </si>
  <si>
    <t>ORD1003</t>
  </si>
  <si>
    <t>Customer_003</t>
  </si>
  <si>
    <t>North</t>
  </si>
  <si>
    <t>Electronics</t>
  </si>
  <si>
    <t>Monitor</t>
  </si>
  <si>
    <t>ORD1004</t>
  </si>
  <si>
    <t>Customer_004</t>
  </si>
  <si>
    <t>Home_Office</t>
  </si>
  <si>
    <t>Mobile</t>
  </si>
  <si>
    <t>ORD1005</t>
  </si>
  <si>
    <t>Customer_005</t>
  </si>
  <si>
    <t>South</t>
  </si>
  <si>
    <t>ORD1006</t>
  </si>
  <si>
    <t>Customer_006</t>
  </si>
  <si>
    <t>Food</t>
  </si>
  <si>
    <t>Tea</t>
  </si>
  <si>
    <t>ORD1007</t>
  </si>
  <si>
    <t>Customer_007</t>
  </si>
  <si>
    <t>Corporate</t>
  </si>
  <si>
    <t>Chair</t>
  </si>
  <si>
    <t>ORD1008</t>
  </si>
  <si>
    <t>Customer_008</t>
  </si>
  <si>
    <t>Oil</t>
  </si>
  <si>
    <t>ORD1009</t>
  </si>
  <si>
    <t>Customer_009</t>
  </si>
  <si>
    <t>Jacket</t>
  </si>
  <si>
    <t>ORD1010</t>
  </si>
  <si>
    <t>Customer_010</t>
  </si>
  <si>
    <t>ORD1011</t>
  </si>
  <si>
    <t>Customer_011</t>
  </si>
  <si>
    <t>ORD1012</t>
  </si>
  <si>
    <t>Customer_012</t>
  </si>
  <si>
    <t>ORD1013</t>
  </si>
  <si>
    <t>Customer_013</t>
  </si>
  <si>
    <t>ORD1014</t>
  </si>
  <si>
    <t>Customer_014</t>
  </si>
  <si>
    <t>ORD1015</t>
  </si>
  <si>
    <t>Customer_015</t>
  </si>
  <si>
    <t>Desk</t>
  </si>
  <si>
    <t>ORD1016</t>
  </si>
  <si>
    <t>Customer_016</t>
  </si>
  <si>
    <t>Rice</t>
  </si>
  <si>
    <t>ORD1017</t>
  </si>
  <si>
    <t>Customer_017</t>
  </si>
  <si>
    <t>Tablet</t>
  </si>
  <si>
    <t>ORD1018</t>
  </si>
  <si>
    <t>Customer_018</t>
  </si>
  <si>
    <t>Shoes</t>
  </si>
  <si>
    <t>ORD1019</t>
  </si>
  <si>
    <t>Customer_019</t>
  </si>
  <si>
    <t>Sofa</t>
  </si>
  <si>
    <t>ORD1020</t>
  </si>
  <si>
    <t>Customer_020</t>
  </si>
  <si>
    <t>Laptop</t>
  </si>
  <si>
    <t>ORD1021</t>
  </si>
  <si>
    <t>Customer_021</t>
  </si>
  <si>
    <t>ORD1022</t>
  </si>
  <si>
    <t>Customer_022</t>
  </si>
  <si>
    <t>ORD1023</t>
  </si>
  <si>
    <t>Customer_023</t>
  </si>
  <si>
    <t>ORD1024</t>
  </si>
  <si>
    <t>Customer_024</t>
  </si>
  <si>
    <t>ORD1025</t>
  </si>
  <si>
    <t>Customer_025</t>
  </si>
  <si>
    <t>ORD1026</t>
  </si>
  <si>
    <t>Customer_026</t>
  </si>
  <si>
    <t>ORD1027</t>
  </si>
  <si>
    <t>Customer_027</t>
  </si>
  <si>
    <t>ORD1028</t>
  </si>
  <si>
    <t>Customer_028</t>
  </si>
  <si>
    <t>ORD1029</t>
  </si>
  <si>
    <t>Customer_029</t>
  </si>
  <si>
    <t>ORD1030</t>
  </si>
  <si>
    <t>Customer_030</t>
  </si>
  <si>
    <t>ORD1031</t>
  </si>
  <si>
    <t>Customer_031</t>
  </si>
  <si>
    <t>ORD1032</t>
  </si>
  <si>
    <t>Customer_032</t>
  </si>
  <si>
    <t>Jeans</t>
  </si>
  <si>
    <t>ORD1033</t>
  </si>
  <si>
    <t>Customer_033</t>
  </si>
  <si>
    <t>ORD1034</t>
  </si>
  <si>
    <t>Customer_034</t>
  </si>
  <si>
    <t>ORD1035</t>
  </si>
  <si>
    <t>Customer_035</t>
  </si>
  <si>
    <t>ORD1036</t>
  </si>
  <si>
    <t>Customer_036</t>
  </si>
  <si>
    <t>ORD1037</t>
  </si>
  <si>
    <t>Customer_037</t>
  </si>
  <si>
    <t>Snacks</t>
  </si>
  <si>
    <t>ORD1038</t>
  </si>
  <si>
    <t>Customer_038</t>
  </si>
  <si>
    <t>ORD1039</t>
  </si>
  <si>
    <t>Customer_039</t>
  </si>
  <si>
    <t>ORD1040</t>
  </si>
  <si>
    <t>Customer_040</t>
  </si>
  <si>
    <t>ORD1041</t>
  </si>
  <si>
    <t>Customer_041</t>
  </si>
  <si>
    <t>ORD1042</t>
  </si>
  <si>
    <t>Customer_042</t>
  </si>
  <si>
    <t>ORD1043</t>
  </si>
  <si>
    <t>Customer_043</t>
  </si>
  <si>
    <t>ORD1044</t>
  </si>
  <si>
    <t>Customer_044</t>
  </si>
  <si>
    <t>ORD1045</t>
  </si>
  <si>
    <t>Customer_045</t>
  </si>
  <si>
    <t>ORD1046</t>
  </si>
  <si>
    <t>Customer_046</t>
  </si>
  <si>
    <t>ORD1047</t>
  </si>
  <si>
    <t>Customer_047</t>
  </si>
  <si>
    <t>ORD1048</t>
  </si>
  <si>
    <t>Customer_048</t>
  </si>
  <si>
    <t>ORD1049</t>
  </si>
  <si>
    <t>Customer_049</t>
  </si>
  <si>
    <t>ORD1050</t>
  </si>
  <si>
    <t>Customer_050</t>
  </si>
  <si>
    <t>ORD1051</t>
  </si>
  <si>
    <t>Customer_051</t>
  </si>
  <si>
    <t>ORD1052</t>
  </si>
  <si>
    <t>Customer_052</t>
  </si>
  <si>
    <t>ORD1053</t>
  </si>
  <si>
    <t>Customer_053</t>
  </si>
  <si>
    <t>ORD1054</t>
  </si>
  <si>
    <t>Customer_054</t>
  </si>
  <si>
    <t>ORD1055</t>
  </si>
  <si>
    <t>Customer_055</t>
  </si>
  <si>
    <t>ORD1056</t>
  </si>
  <si>
    <t>Customer_056</t>
  </si>
  <si>
    <t>ORD1057</t>
  </si>
  <si>
    <t>Customer_057</t>
  </si>
  <si>
    <t>ORD1058</t>
  </si>
  <si>
    <t>Customer_058</t>
  </si>
  <si>
    <t>ORD1059</t>
  </si>
  <si>
    <t>Customer_059</t>
  </si>
  <si>
    <t>ORD1060</t>
  </si>
  <si>
    <t>Customer_060</t>
  </si>
  <si>
    <t>ORD1061</t>
  </si>
  <si>
    <t>Customer_061</t>
  </si>
  <si>
    <t>ORD1062</t>
  </si>
  <si>
    <t>Customer_062</t>
  </si>
  <si>
    <t>ORD1063</t>
  </si>
  <si>
    <t>Customer_063</t>
  </si>
  <si>
    <t>ORD1064</t>
  </si>
  <si>
    <t>Customer_064</t>
  </si>
  <si>
    <t>ORD1065</t>
  </si>
  <si>
    <t>Customer_065</t>
  </si>
  <si>
    <t>ORD1066</t>
  </si>
  <si>
    <t>Customer_066</t>
  </si>
  <si>
    <t>ORD1067</t>
  </si>
  <si>
    <t>Customer_067</t>
  </si>
  <si>
    <t>ORD1068</t>
  </si>
  <si>
    <t>Customer_068</t>
  </si>
  <si>
    <t>ORD1069</t>
  </si>
  <si>
    <t>Customer_069</t>
  </si>
  <si>
    <t>ORD1070</t>
  </si>
  <si>
    <t>Customer_070</t>
  </si>
  <si>
    <t>ORD1071</t>
  </si>
  <si>
    <t>Customer_071</t>
  </si>
  <si>
    <t>ORD1072</t>
  </si>
  <si>
    <t>Customer_072</t>
  </si>
  <si>
    <t>ORD1073</t>
  </si>
  <si>
    <t>Customer_073</t>
  </si>
  <si>
    <t>ORD1074</t>
  </si>
  <si>
    <t>Customer_074</t>
  </si>
  <si>
    <t>ORD1075</t>
  </si>
  <si>
    <t>Customer_075</t>
  </si>
  <si>
    <t>ORD1076</t>
  </si>
  <si>
    <t>Customer_076</t>
  </si>
  <si>
    <t>ORD1077</t>
  </si>
  <si>
    <t>Customer_077</t>
  </si>
  <si>
    <t>ORD1078</t>
  </si>
  <si>
    <t>Customer_078</t>
  </si>
  <si>
    <t>ORD1079</t>
  </si>
  <si>
    <t>Customer_079</t>
  </si>
  <si>
    <t>ORD1080</t>
  </si>
  <si>
    <t>Customer_080</t>
  </si>
  <si>
    <t>ORD1081</t>
  </si>
  <si>
    <t>Customer_081</t>
  </si>
  <si>
    <t>ORD1082</t>
  </si>
  <si>
    <t>Customer_082</t>
  </si>
  <si>
    <t>ORD1083</t>
  </si>
  <si>
    <t>Customer_083</t>
  </si>
  <si>
    <t>ORD1084</t>
  </si>
  <si>
    <t>Customer_084</t>
  </si>
  <si>
    <t>ORD1085</t>
  </si>
  <si>
    <t>Customer_085</t>
  </si>
  <si>
    <t>ORD1086</t>
  </si>
  <si>
    <t>Customer_086</t>
  </si>
  <si>
    <t>ORD1087</t>
  </si>
  <si>
    <t>Customer_087</t>
  </si>
  <si>
    <t>ORD1088</t>
  </si>
  <si>
    <t>Customer_088</t>
  </si>
  <si>
    <t>ORD1089</t>
  </si>
  <si>
    <t>Customer_089</t>
  </si>
  <si>
    <t>ORD1090</t>
  </si>
  <si>
    <t>Customer_090</t>
  </si>
  <si>
    <t>ORD1091</t>
  </si>
  <si>
    <t>Customer_091</t>
  </si>
  <si>
    <t>ORD1092</t>
  </si>
  <si>
    <t>Customer_092</t>
  </si>
  <si>
    <t>ORD1093</t>
  </si>
  <si>
    <t>Customer_093</t>
  </si>
  <si>
    <t>ORD1094</t>
  </si>
  <si>
    <t>Customer_094</t>
  </si>
  <si>
    <t>ORD1095</t>
  </si>
  <si>
    <t>Customer_095</t>
  </si>
  <si>
    <t>ORD1096</t>
  </si>
  <si>
    <t>Customer_096</t>
  </si>
  <si>
    <t>ORD1097</t>
  </si>
  <si>
    <t>Customer_097</t>
  </si>
  <si>
    <t>ORD1098</t>
  </si>
  <si>
    <t>Customer_098</t>
  </si>
  <si>
    <t>ORD1099</t>
  </si>
  <si>
    <t>Customer_099</t>
  </si>
  <si>
    <t>ORD1100</t>
  </si>
  <si>
    <t>Customer_100</t>
  </si>
  <si>
    <t>ORD1101</t>
  </si>
  <si>
    <t>Customer_101</t>
  </si>
  <si>
    <t>ORD1102</t>
  </si>
  <si>
    <t>Customer_102</t>
  </si>
  <si>
    <t>ORD1103</t>
  </si>
  <si>
    <t>Customer_103</t>
  </si>
  <si>
    <t>ORD1104</t>
  </si>
  <si>
    <t>Customer_104</t>
  </si>
  <si>
    <t>ORD1105</t>
  </si>
  <si>
    <t>Customer_105</t>
  </si>
  <si>
    <t>ORD1106</t>
  </si>
  <si>
    <t>Customer_106</t>
  </si>
  <si>
    <t>ORD1107</t>
  </si>
  <si>
    <t>Customer_107</t>
  </si>
  <si>
    <t>ORD1108</t>
  </si>
  <si>
    <t>Customer_108</t>
  </si>
  <si>
    <t>ORD1109</t>
  </si>
  <si>
    <t>Customer_109</t>
  </si>
  <si>
    <t>ORD1110</t>
  </si>
  <si>
    <t>Customer_110</t>
  </si>
  <si>
    <t>ORD1111</t>
  </si>
  <si>
    <t>Customer_111</t>
  </si>
  <si>
    <t>ORD1112</t>
  </si>
  <si>
    <t>Customer_112</t>
  </si>
  <si>
    <t>ORD1113</t>
  </si>
  <si>
    <t>Customer_113</t>
  </si>
  <si>
    <t>ORD1114</t>
  </si>
  <si>
    <t>Customer_114</t>
  </si>
  <si>
    <t>ORD1115</t>
  </si>
  <si>
    <t>Customer_115</t>
  </si>
  <si>
    <t>ORD1116</t>
  </si>
  <si>
    <t>Customer_116</t>
  </si>
  <si>
    <t>ORD1117</t>
  </si>
  <si>
    <t>Customer_117</t>
  </si>
  <si>
    <t>ORD1118</t>
  </si>
  <si>
    <t>Customer_118</t>
  </si>
  <si>
    <t>ORD1119</t>
  </si>
  <si>
    <t>Customer_119</t>
  </si>
  <si>
    <t>ORD1120</t>
  </si>
  <si>
    <t>Customer_120</t>
  </si>
  <si>
    <t>Executive Sales Dashboard - FY 2025</t>
  </si>
  <si>
    <t>Total Revenue</t>
  </si>
  <si>
    <t>Profit Margin %</t>
  </si>
  <si>
    <t xml:space="preserve">TOTAL REVENUE </t>
  </si>
  <si>
    <t>PROFIT MARGIN %</t>
  </si>
  <si>
    <t xml:space="preserve">BEST REGION </t>
  </si>
  <si>
    <t>Best Region</t>
  </si>
  <si>
    <t>Sum of Revenue</t>
  </si>
  <si>
    <t>Jan</t>
  </si>
  <si>
    <t>Feb</t>
  </si>
  <si>
    <t>Mar</t>
  </si>
  <si>
    <t>Apr</t>
  </si>
  <si>
    <t>May</t>
  </si>
  <si>
    <t>Jun</t>
  </si>
  <si>
    <t>Jul</t>
  </si>
  <si>
    <t>Aug</t>
  </si>
  <si>
    <t>Sep</t>
  </si>
  <si>
    <t>Oct</t>
  </si>
  <si>
    <t>Nov</t>
  </si>
  <si>
    <t>Dec</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</si>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</sst>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 #,##0;[Red]&quot;₹&quot;\ \-#,##0"/>
    <numFmt numFmtId="164" formatCode="yyyy\-mm\-dd"/>
    <numFmt numFmtId="165" formatCode="&quot;₹&quot;\ #,##0"/>
  </numFmts>
  <fonts count="7" x14ac:knownFonts="1">
    <font>
      <sz val="11"/>
      <color theme="1"/>
      <name val="Calibri"/>
      <family val="2"/>
      <scheme val="minor"/>
    </font>
    <font>
      <b/>
      <sz val="11"/>
      <name val="Calibri"/>
    </font>
    <font>
      <sz val="11"/>
      <color theme="1"/>
      <name val="Calibri"/>
      <family val="2"/>
      <scheme val="minor"/>
    </font>
    <font>
      <b/>
      <sz val="11"/>
      <color theme="0"/>
      <name val="Calibri"/>
      <family val="2"/>
      <scheme val="minor"/>
    </font>
    <font>
      <b/>
      <sz val="11"/>
      <color theme="1"/>
      <name val="Calibri"/>
      <family val="2"/>
      <scheme val="minor"/>
    </font>
    <font>
      <b/>
      <sz val="24"/>
      <color theme="0"/>
      <name val="Calibri"/>
      <family val="2"/>
      <scheme val="minor"/>
    </font>
    <font>
      <b/>
      <sz val="15"/>
      <color rgb="FF404040"/>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4472C4"/>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0" xfId="0" applyFont="1"/>
    <xf numFmtId="164" fontId="0" fillId="0" borderId="0" xfId="0" applyNumberFormat="1"/>
    <xf numFmtId="0" fontId="0" fillId="0" borderId="0" xfId="0" applyAlignment="1">
      <alignment horizontal="center"/>
    </xf>
    <xf numFmtId="0" fontId="5" fillId="2" borderId="0" xfId="0" applyFont="1" applyFill="1" applyAlignment="1">
      <alignment horizontal="center" vertical="center"/>
    </xf>
    <xf numFmtId="0" fontId="6" fillId="0" borderId="0" xfId="0" applyFont="1" applyAlignment="1">
      <alignment horizontal="center"/>
    </xf>
    <xf numFmtId="6" fontId="0" fillId="0" borderId="0" xfId="0" applyNumberFormat="1"/>
    <xf numFmtId="10" fontId="0" fillId="0" borderId="0" xfId="1" applyNumberFormat="1" applyFont="1"/>
    <xf numFmtId="0" fontId="4" fillId="0" borderId="0" xfId="0" applyFont="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3" fillId="3" borderId="1" xfId="0" applyFont="1" applyFill="1" applyBorder="1" applyAlignment="1">
      <alignment horizontal="center"/>
    </xf>
    <xf numFmtId="0" fontId="0" fillId="0" borderId="1" xfId="0" applyBorder="1"/>
    <xf numFmtId="165" fontId="0" fillId="0" borderId="1" xfId="0" applyNumberFormat="1" applyBorder="1"/>
    <xf numFmtId="10" fontId="0" fillId="0" borderId="1" xfId="1" applyNumberFormat="1"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Alignment="1">
      <alignment horizontal="center"/>
    </xf>
  </cellXfs>
  <cellStyles count="2">
    <cellStyle name="Normal" xfId="0" builtinId="0"/>
    <cellStyle name="Percent" xfId="1" builtinId="5"/>
  </cellStyles>
  <dxfs count="1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1"/>
        <color auto="1"/>
        <name val="Calibri"/>
        <scheme val="none"/>
      </font>
    </dxf>
    <dxf>
      <numFmt numFmtId="164" formatCode="yyyy\-mm\-dd"/>
    </dxf>
  </dxfs>
  <tableStyles count="1" defaultTableStyle="TableStyleMedium9" defaultPivotStyle="PivotStyleLight16">
    <tableStyle name="Invisible" pivot="0" table="0" count="0" xr9:uid="{48946F63-A994-4CF0-9DE9-758E3883E100}"/>
  </tableStyles>
  <colors>
    <mruColors>
      <color rgb="FF4472C4"/>
      <color rgb="FFED7D31"/>
      <color rgb="FF70AD47"/>
      <color rgb="FF404040"/>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[Day82_Executive_Dashboard_Dataset.xlsx]CALCULATION !PivotTable1</c:name>
    <c:fmtId val="6"/>
  </c:pivotSource>
  <c:chart>
    <c:title>
      <c:tx>
        <c:rich>
          <a:bodyPr rot="0" spcFirstLastPara="1" vertOverflow="ellipsis" vert="horz" wrap="square" anchor="ctr" anchorCtr="1"/>
          <a:lstStyle/>
          <a:p>
            <a:pPr algn="ctr">
              <a:defRPr sz="1700" b="1" i="0" u="none" strike="noStrike" kern="1200" spc="0" baseline="0">
                <a:solidFill>
                  <a:schemeClr val="tx1">
                    <a:lumMod val="65000"/>
                    <a:lumOff val="35000"/>
                  </a:schemeClr>
                </a:solidFill>
                <a:latin typeface="+mn-lt"/>
                <a:ea typeface="+mn-ea"/>
                <a:cs typeface="+mn-cs"/>
              </a:defRPr>
            </a:pPr>
            <a:r>
              <a:rPr lang="en-IN" sz="1700" b="1" i="0" u="none" strike="noStrike" baseline="0"/>
              <a:t>Revenue by Region</a:t>
            </a:r>
            <a:endParaRPr lang="en-IN" sz="1700" b="1"/>
          </a:p>
        </c:rich>
      </c:tx>
      <c:layout>
        <c:manualLayout>
          <c:xMode val="edge"/>
          <c:yMode val="edge"/>
          <c:x val="0.30401377952755904"/>
          <c:y val="5.5555555555555552E-2"/>
        </c:manualLayout>
      </c:layout>
      <c:overlay val="0"/>
      <c:spPr>
        <a:noFill/>
        <a:ln>
          <a:noFill/>
        </a:ln>
        <a:effectLst/>
      </c:spPr>
      <c:txPr>
        <a:bodyPr rot="0" spcFirstLastPara="1" vertOverflow="ellipsis" vert="horz" wrap="square" anchor="ctr" anchorCtr="1"/>
        <a:lstStyle/>
        <a:p>
          <a:pPr algn="ctr">
            <a:defRPr sz="17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4472C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'!$C$12</c:f>
              <c:strCache>
                <c:ptCount val="1"/>
                <c:pt idx="0">
                  <c:v>Total</c:v>
                </c:pt>
              </c:strCache>
            </c:strRef>
          </c:tx>
          <c:spPr>
            <a:solidFill>
              <a:srgbClr val="4472C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'!$B$13:$B$16</c:f>
              <c:strCache>
                <c:ptCount val="4"/>
                <c:pt idx="0">
                  <c:v>South</c:v>
                </c:pt>
                <c:pt idx="1">
                  <c:v>East</c:v>
                </c:pt>
                <c:pt idx="2">
                  <c:v>West</c:v>
                </c:pt>
                <c:pt idx="3">
                  <c:v>North</c:v>
                </c:pt>
              </c:strCache>
            </c:strRef>
          </c:cat>
          <c:val>
            <c:numRef>
              <c:f>'CALCULATION '!$C$13:$C$16</c:f>
              <c:numCache>
                <c:formatCode>General</c:formatCode>
                <c:ptCount val="4"/>
                <c:pt idx="0">
                  <c:v>3498100</c:v>
                </c:pt>
                <c:pt idx="1">
                  <c:v>3353100</c:v>
                </c:pt>
                <c:pt idx="2">
                  <c:v>3157200</c:v>
                </c:pt>
                <c:pt idx="3">
                  <c:v>2453400</c:v>
                </c:pt>
              </c:numCache>
            </c:numRef>
          </c:val>
          <c:extLst>
            <c:ext xmlns:c16="http://schemas.microsoft.com/office/drawing/2014/chart" uri="{C3380CC4-5D6E-409C-BE32-E72D297353CC}">
              <c16:uniqueId val="{00000000-E256-4B32-A0C1-65AC5C08DEC9}"/>
            </c:ext>
          </c:extLst>
        </c:ser>
        <c:dLbls>
          <c:dLblPos val="outEnd"/>
          <c:showLegendKey val="0"/>
          <c:showVal val="1"/>
          <c:showCatName val="0"/>
          <c:showSerName val="0"/>
          <c:showPercent val="0"/>
          <c:showBubbleSize val="0"/>
        </c:dLbls>
        <c:gapWidth val="182"/>
        <c:axId val="241889279"/>
        <c:axId val="241895999"/>
      </c:barChart>
      <c:catAx>
        <c:axId val="2418892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41895999"/>
        <c:crosses val="autoZero"/>
        <c:auto val="1"/>
        <c:lblAlgn val="ctr"/>
        <c:lblOffset val="100"/>
        <c:noMultiLvlLbl val="0"/>
      </c:catAx>
      <c:valAx>
        <c:axId val="241895999"/>
        <c:scaling>
          <c:orientation val="minMax"/>
        </c:scaling>
        <c:delete val="1"/>
        <c:axPos val="t"/>
        <c:numFmt formatCode="General" sourceLinked="1"/>
        <c:majorTickMark val="none"/>
        <c:minorTickMark val="none"/>
        <c:tickLblPos val="nextTo"/>
        <c:crossAx val="24188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[Day82_Executive_Dashboard_Dataset.xlsx]CALCULATION !PivotTable2</c:name>
    <c:fmtId val="3"/>
  </c:pivotSource>
  <c:chart>
    <c:title>
      <c:tx>
        <c:rich>
          <a:bodyPr rot="0" spcFirstLastPara="1" vertOverflow="ellipsis" vert="horz" wrap="square" anchor="ctr" anchorCtr="1"/>
          <a:lstStyle/>
          <a:p>
            <a:pPr>
              <a:defRPr sz="1700" b="1" i="0" u="none" strike="noStrike" kern="1200" spc="0" baseline="0">
                <a:solidFill>
                  <a:schemeClr val="tx1">
                    <a:lumMod val="65000"/>
                    <a:lumOff val="35000"/>
                  </a:schemeClr>
                </a:solidFill>
                <a:latin typeface="+mn-lt"/>
                <a:ea typeface="+mn-ea"/>
                <a:cs typeface="+mn-cs"/>
              </a:defRPr>
            </a:pPr>
            <a:r>
              <a:rPr lang="en-US" sz="1700" b="1"/>
              <a:t>Monthly Revenue Trend</a:t>
            </a:r>
          </a:p>
        </c:rich>
      </c:tx>
      <c:overlay val="0"/>
      <c:spPr>
        <a:noFill/>
        <a:ln>
          <a:noFill/>
        </a:ln>
        <a:effectLst/>
      </c:spPr>
      <c:txPr>
        <a:bodyPr rot="0" spcFirstLastPara="1" vertOverflow="ellipsis" vert="horz" wrap="square" anchor="ctr" anchorCtr="1"/>
        <a:lstStyle/>
        <a:p>
          <a:pPr>
            <a:defRPr sz="17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4472C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4472C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472C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'!$C$28</c:f>
              <c:strCache>
                <c:ptCount val="1"/>
                <c:pt idx="0">
                  <c:v>Total</c:v>
                </c:pt>
              </c:strCache>
            </c:strRef>
          </c:tx>
          <c:spPr>
            <a:ln w="28575" cap="rnd">
              <a:solidFill>
                <a:srgbClr val="4472C4"/>
              </a:solidFill>
              <a:round/>
            </a:ln>
            <a:effectLst/>
          </c:spPr>
          <c:marker>
            <c:symbol val="circle"/>
            <c:size val="5"/>
            <c:spPr>
              <a:solidFill>
                <a:schemeClr val="accent1"/>
              </a:solidFill>
              <a:ln w="9525">
                <a:solidFill>
                  <a:schemeClr val="accent1"/>
                </a:solidFill>
              </a:ln>
              <a:effectLst/>
            </c:spPr>
          </c:marker>
          <c:cat>
            <c:strRef>
              <c:f>'CALCULATION '!$B$29:$B$40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'!$C$29:$C$40</c:f>
              <c:numCache>
                <c:formatCode>General</c:formatCode>
                <c:ptCount val="12"/>
                <c:pt idx="0">
                  <c:v>619500</c:v>
                </c:pt>
                <c:pt idx="1">
                  <c:v>1261600</c:v>
                </c:pt>
                <c:pt idx="2">
                  <c:v>901300</c:v>
                </c:pt>
                <c:pt idx="3">
                  <c:v>1224600</c:v>
                </c:pt>
                <c:pt idx="4">
                  <c:v>1179700</c:v>
                </c:pt>
                <c:pt idx="5">
                  <c:v>1031000</c:v>
                </c:pt>
                <c:pt idx="6">
                  <c:v>1031000</c:v>
                </c:pt>
                <c:pt idx="7">
                  <c:v>1307100</c:v>
                </c:pt>
                <c:pt idx="8">
                  <c:v>1241500</c:v>
                </c:pt>
                <c:pt idx="9">
                  <c:v>887300</c:v>
                </c:pt>
                <c:pt idx="10">
                  <c:v>902300</c:v>
                </c:pt>
                <c:pt idx="11">
                  <c:v>874900</c:v>
                </c:pt>
              </c:numCache>
            </c:numRef>
          </c:val>
          <c:smooth val="0"/>
          <c:extLst>
            <c:ext xmlns:c16="http://schemas.microsoft.com/office/drawing/2014/chart" uri="{C3380CC4-5D6E-409C-BE32-E72D297353CC}">
              <c16:uniqueId val="{00000000-28F9-4CE8-8419-3EEF7F10A74B}"/>
            </c:ext>
          </c:extLst>
        </c:ser>
        <c:dLbls>
          <c:showLegendKey val="0"/>
          <c:showVal val="0"/>
          <c:showCatName val="0"/>
          <c:showSerName val="0"/>
          <c:showPercent val="0"/>
          <c:showBubbleSize val="0"/>
        </c:dLbls>
        <c:marker val="1"/>
        <c:smooth val="0"/>
        <c:axId val="241933919"/>
        <c:axId val="241934399"/>
      </c:lineChart>
      <c:catAx>
        <c:axId val="24193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1934399"/>
        <c:crosses val="autoZero"/>
        <c:auto val="1"/>
        <c:lblAlgn val="ctr"/>
        <c:lblOffset val="100"/>
        <c:noMultiLvlLbl val="0"/>
      </c:catAx>
      <c:valAx>
        <c:axId val="24193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193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[Day82_Executive_Dashboard_Dataset.xlsx]CALCULATION !PivotTable1</c:name>
    <c:fmtId val="0"/>
  </c:pivotSource>
  <c:chart>
    <c:title>
      <c:tx>
        <c:rich>
          <a:bodyPr rot="0" spcFirstLastPara="1" vertOverflow="ellipsis" vert="horz" wrap="square" anchor="ctr" anchorCtr="1"/>
          <a:lstStyle/>
          <a:p>
            <a:pPr algn="ctr">
              <a:defRPr sz="1700" b="1" i="0" u="none" strike="noStrike" kern="1200" spc="0" baseline="0">
                <a:solidFill>
                  <a:schemeClr val="tx1">
                    <a:lumMod val="65000"/>
                    <a:lumOff val="35000"/>
                  </a:schemeClr>
                </a:solidFill>
                <a:latin typeface="+mn-lt"/>
                <a:ea typeface="+mn-ea"/>
                <a:cs typeface="+mn-cs"/>
              </a:defRPr>
            </a:pPr>
            <a:r>
              <a:rPr lang="en-IN" sz="1700" b="1" i="0" u="none" strike="noStrike" baseline="0"/>
              <a:t>Revenue by Region</a:t>
            </a:r>
            <a:endParaRPr lang="en-IN" sz="1700" b="1"/>
          </a:p>
        </c:rich>
      </c:tx>
      <c:layout>
        <c:manualLayout>
          <c:xMode val="edge"/>
          <c:yMode val="edge"/>
          <c:x val="0.30401377952755904"/>
          <c:y val="5.5555555555555552E-2"/>
        </c:manualLayout>
      </c:layout>
      <c:overlay val="0"/>
      <c:spPr>
        <a:noFill/>
        <a:ln>
          <a:noFill/>
        </a:ln>
        <a:effectLst/>
      </c:spPr>
      <c:txPr>
        <a:bodyPr rot="0" spcFirstLastPara="1" vertOverflow="ellipsis" vert="horz" wrap="square" anchor="ctr" anchorCtr="1"/>
        <a:lstStyle/>
        <a:p>
          <a:pPr algn="ctr">
            <a:defRPr sz="17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 '!$C$12</c:f>
              <c:strCache>
                <c:ptCount val="1"/>
                <c:pt idx="0">
                  <c:v>Total</c:v>
                </c:pt>
              </c:strCache>
            </c:strRef>
          </c:tx>
          <c:spPr>
            <a:solidFill>
              <a:srgbClr val="4472C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 '!$B$13:$B$16</c:f>
              <c:strCache>
                <c:ptCount val="4"/>
                <c:pt idx="0">
                  <c:v>South</c:v>
                </c:pt>
                <c:pt idx="1">
                  <c:v>East</c:v>
                </c:pt>
                <c:pt idx="2">
                  <c:v>West</c:v>
                </c:pt>
                <c:pt idx="3">
                  <c:v>North</c:v>
                </c:pt>
              </c:strCache>
            </c:strRef>
          </c:cat>
          <c:val>
            <c:numRef>
              <c:f>'CALCULATION '!$C$13:$C$16</c:f>
              <c:numCache>
                <c:formatCode>General</c:formatCode>
                <c:ptCount val="4"/>
                <c:pt idx="0">
                  <c:v>3498100</c:v>
                </c:pt>
                <c:pt idx="1">
                  <c:v>3353100</c:v>
                </c:pt>
                <c:pt idx="2">
                  <c:v>3157200</c:v>
                </c:pt>
                <c:pt idx="3">
                  <c:v>2453400</c:v>
                </c:pt>
              </c:numCache>
            </c:numRef>
          </c:val>
          <c:extLst>
            <c:ext xmlns:c16="http://schemas.microsoft.com/office/drawing/2014/chart" uri="{C3380CC4-5D6E-409C-BE32-E72D297353CC}">
              <c16:uniqueId val="{00000000-3644-4DDF-8856-C4CD6CA5F52F}"/>
            </c:ext>
          </c:extLst>
        </c:ser>
        <c:dLbls>
          <c:dLblPos val="outEnd"/>
          <c:showLegendKey val="0"/>
          <c:showVal val="1"/>
          <c:showCatName val="0"/>
          <c:showSerName val="0"/>
          <c:showPercent val="0"/>
          <c:showBubbleSize val="0"/>
        </c:dLbls>
        <c:gapWidth val="182"/>
        <c:axId val="241889279"/>
        <c:axId val="241895999"/>
      </c:barChart>
      <c:catAx>
        <c:axId val="2418892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41895999"/>
        <c:crosses val="autoZero"/>
        <c:auto val="1"/>
        <c:lblAlgn val="ctr"/>
        <c:lblOffset val="100"/>
        <c:noMultiLvlLbl val="0"/>
      </c:catAx>
      <c:valAx>
        <c:axId val="241895999"/>
        <c:scaling>
          <c:orientation val="minMax"/>
        </c:scaling>
        <c:delete val="1"/>
        <c:axPos val="t"/>
        <c:numFmt formatCode="General" sourceLinked="1"/>
        <c:majorTickMark val="none"/>
        <c:minorTickMark val="none"/>
        <c:tickLblPos val="nextTo"/>
        <c:crossAx val="24188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[Day82_Executive_Dashboard_Dataset.xlsx]CALCULATION !PivotTable2</c:name>
    <c:fmtId val="0"/>
  </c:pivotSource>
  <c:chart>
    <c:title>
      <c:tx>
        <c:rich>
          <a:bodyPr rot="0" spcFirstLastPara="1" vertOverflow="ellipsis" vert="horz" wrap="square" anchor="ctr" anchorCtr="1"/>
          <a:lstStyle/>
          <a:p>
            <a:pPr>
              <a:defRPr sz="1700" b="1" i="0" u="none" strike="noStrike" kern="1200" spc="0" baseline="0">
                <a:solidFill>
                  <a:schemeClr val="tx1">
                    <a:lumMod val="65000"/>
                    <a:lumOff val="35000"/>
                  </a:schemeClr>
                </a:solidFill>
                <a:latin typeface="+mn-lt"/>
                <a:ea typeface="+mn-ea"/>
                <a:cs typeface="+mn-cs"/>
              </a:defRPr>
            </a:pPr>
            <a:r>
              <a:rPr lang="en-US" sz="1700" b="1"/>
              <a:t>Monthly Revenue Trend</a:t>
            </a:r>
          </a:p>
        </c:rich>
      </c:tx>
      <c:overlay val="0"/>
      <c:spPr>
        <a:noFill/>
        <a:ln>
          <a:noFill/>
        </a:ln>
        <a:effectLst/>
      </c:spPr>
      <c:txPr>
        <a:bodyPr rot="0" spcFirstLastPara="1" vertOverflow="ellipsis" vert="horz" wrap="square" anchor="ctr" anchorCtr="1"/>
        <a:lstStyle/>
        <a:p>
          <a:pPr>
            <a:defRPr sz="17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4472C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 '!$C$28</c:f>
              <c:strCache>
                <c:ptCount val="1"/>
                <c:pt idx="0">
                  <c:v>Total</c:v>
                </c:pt>
              </c:strCache>
            </c:strRef>
          </c:tx>
          <c:spPr>
            <a:ln w="28575" cap="rnd">
              <a:solidFill>
                <a:srgbClr val="4472C4"/>
              </a:solidFill>
              <a:round/>
            </a:ln>
            <a:effectLst/>
          </c:spPr>
          <c:marker>
            <c:symbol val="circle"/>
            <c:size val="5"/>
            <c:spPr>
              <a:solidFill>
                <a:schemeClr val="accent1"/>
              </a:solidFill>
              <a:ln w="9525">
                <a:solidFill>
                  <a:schemeClr val="accent1"/>
                </a:solidFill>
              </a:ln>
              <a:effectLst/>
            </c:spPr>
          </c:marker>
          <c:cat>
            <c:strRef>
              <c:f>'CALCULATION '!$B$29:$B$40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 '!$C$29:$C$40</c:f>
              <c:numCache>
                <c:formatCode>General</c:formatCode>
                <c:ptCount val="12"/>
                <c:pt idx="0">
                  <c:v>619500</c:v>
                </c:pt>
                <c:pt idx="1">
                  <c:v>1261600</c:v>
                </c:pt>
                <c:pt idx="2">
                  <c:v>901300</c:v>
                </c:pt>
                <c:pt idx="3">
                  <c:v>1224600</c:v>
                </c:pt>
                <c:pt idx="4">
                  <c:v>1179700</c:v>
                </c:pt>
                <c:pt idx="5">
                  <c:v>1031000</c:v>
                </c:pt>
                <c:pt idx="6">
                  <c:v>1031000</c:v>
                </c:pt>
                <c:pt idx="7">
                  <c:v>1307100</c:v>
                </c:pt>
                <c:pt idx="8">
                  <c:v>1241500</c:v>
                </c:pt>
                <c:pt idx="9">
                  <c:v>887300</c:v>
                </c:pt>
                <c:pt idx="10">
                  <c:v>902300</c:v>
                </c:pt>
                <c:pt idx="11">
                  <c:v>874900</c:v>
                </c:pt>
              </c:numCache>
            </c:numRef>
          </c:val>
          <c:smooth val="0"/>
          <c:extLst>
            <c:ext xmlns:c16="http://schemas.microsoft.com/office/drawing/2014/chart" uri="{C3380CC4-5D6E-409C-BE32-E72D297353CC}">
              <c16:uniqueId val="{00000000-AEC8-4209-B7B1-108EBD3ACB30}"/>
            </c:ext>
          </c:extLst>
        </c:ser>
        <c:dLbls>
          <c:dLblPos val="t"/>
          <c:showLegendKey val="0"/>
          <c:showVal val="0"/>
          <c:showCatName val="0"/>
          <c:showSerName val="0"/>
          <c:showPercent val="0"/>
          <c:showBubbleSize val="0"/>
        </c:dLbls>
        <c:marker val="1"/>
        <c:smooth val="0"/>
        <c:axId val="241933919"/>
        <c:axId val="241934399"/>
      </c:lineChart>
      <c:catAx>
        <c:axId val="24193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1934399"/>
        <c:crosses val="autoZero"/>
        <c:auto val="1"/>
        <c:lblAlgn val="ctr"/>
        <c:lblOffset val="100"/>
        <c:noMultiLvlLbl val="0"/>
      </c:catAx>
      <c:valAx>
        <c:axId val="24193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4193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596265</xdr:colOff>
      <xdr:row>5</xdr:row>
      <xdr:rowOff>240030</xdr:rowOff>
    </xdr:from>
    <xdr:to>
      <xdr:col>5</xdr:col>
      <xdr:colOff>581025</xdr:colOff>
      <xdr:row>12</xdr:row>
      <xdr:rowOff>40005</xdr:rowOff>
    </xdr:to>
    <xdr:sp macro="" textlink="">
      <xdr:nvSpPr>
        <xdr:cNvPr id="2" name="Rectangle: Rounded Corners 1">
          <a:extLst>
            <a:ext uri="{FF2B5EF4-FFF2-40B4-BE49-F238E27FC236}">
              <a16:creationId xmlns:a16="http://schemas.microsoft.com/office/drawing/2014/main" id="{9244DB0B-7B29-A447-2B5A-666F0C91972E}"/>
            </a:ext>
          </a:extLst>
        </xdr:cNvPr>
        <xdr:cNvSpPr/>
      </xdr:nvSpPr>
      <xdr:spPr>
        <a:xfrm>
          <a:off x="596265" y="963930"/>
          <a:ext cx="3032760" cy="1133475"/>
        </a:xfrm>
        <a:prstGeom prst="roundRect">
          <a:avLst/>
        </a:prstGeom>
        <a:solidFill>
          <a:srgbClr val="4472C4"/>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effectLst/>
            </a:rPr>
            <a:t> </a:t>
          </a:r>
          <a:endParaRPr lang="en-IN" sz="1100"/>
        </a:p>
      </xdr:txBody>
    </xdr:sp>
    <xdr:clientData/>
  </xdr:twoCellAnchor>
  <xdr:twoCellAnchor>
    <xdr:from>
      <xdr:col>1</xdr:col>
      <xdr:colOff>571500</xdr:colOff>
      <xdr:row>7</xdr:row>
      <xdr:rowOff>76200</xdr:rowOff>
    </xdr:from>
    <xdr:to>
      <xdr:col>4</xdr:col>
      <xdr:colOff>533400</xdr:colOff>
      <xdr:row>10</xdr:row>
      <xdr:rowOff>114300</xdr:rowOff>
    </xdr:to>
    <xdr:sp macro="" textlink="'CALCULATION '!$C$2">
      <xdr:nvSpPr>
        <xdr:cNvPr id="3" name="TextBox 2">
          <a:extLst>
            <a:ext uri="{FF2B5EF4-FFF2-40B4-BE49-F238E27FC236}">
              <a16:creationId xmlns:a16="http://schemas.microsoft.com/office/drawing/2014/main" id="{4AEFF007-EFAA-9C92-5200-338C86290579}"/>
            </a:ext>
          </a:extLst>
        </xdr:cNvPr>
        <xdr:cNvSpPr txBox="1"/>
      </xdr:nvSpPr>
      <xdr:spPr>
        <a:xfrm>
          <a:off x="1181100" y="1228725"/>
          <a:ext cx="1790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553EFD-21C5-40DF-A33E-2DAA02233B97}" type="TxLink">
            <a:rPr lang="en-US" sz="1800" b="1" i="0" u="none" strike="noStrike">
              <a:solidFill>
                <a:schemeClr val="bg1"/>
              </a:solidFill>
              <a:latin typeface="Calibri"/>
              <a:ea typeface="Calibri"/>
              <a:cs typeface="Calibri"/>
            </a:rPr>
            <a:t>₹ 1,24,61,800</a:t>
          </a:fld>
          <a:endParaRPr lang="en-IN" sz="1800" b="1">
            <a:solidFill>
              <a:schemeClr val="bg1"/>
            </a:solidFill>
          </a:endParaRPr>
        </a:p>
      </xdr:txBody>
    </xdr:sp>
    <xdr:clientData/>
  </xdr:twoCellAnchor>
  <xdr:twoCellAnchor>
    <xdr:from>
      <xdr:col>7</xdr:col>
      <xdr:colOff>0</xdr:colOff>
      <xdr:row>6</xdr:row>
      <xdr:rowOff>0</xdr:rowOff>
    </xdr:from>
    <xdr:to>
      <xdr:col>11</xdr:col>
      <xdr:colOff>600075</xdr:colOff>
      <xdr:row>12</xdr:row>
      <xdr:rowOff>43815</xdr:rowOff>
    </xdr:to>
    <xdr:sp macro="" textlink="">
      <xdr:nvSpPr>
        <xdr:cNvPr id="4" name="Rectangle: Rounded Corners 3">
          <a:extLst>
            <a:ext uri="{FF2B5EF4-FFF2-40B4-BE49-F238E27FC236}">
              <a16:creationId xmlns:a16="http://schemas.microsoft.com/office/drawing/2014/main" id="{4232A0A8-5314-482F-92A8-5C1CB3C0AA3A}"/>
            </a:ext>
          </a:extLst>
        </xdr:cNvPr>
        <xdr:cNvSpPr/>
      </xdr:nvSpPr>
      <xdr:spPr>
        <a:xfrm>
          <a:off x="4267200" y="971550"/>
          <a:ext cx="3038475" cy="1129665"/>
        </a:xfrm>
        <a:prstGeom prst="roundRect">
          <a:avLst/>
        </a:prstGeom>
        <a:solidFill>
          <a:srgbClr val="70AD47"/>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effectLst/>
            </a:rPr>
            <a:t> </a:t>
          </a:r>
          <a:endParaRPr lang="en-IN" sz="1100"/>
        </a:p>
      </xdr:txBody>
    </xdr:sp>
    <xdr:clientData/>
  </xdr:twoCellAnchor>
  <xdr:twoCellAnchor>
    <xdr:from>
      <xdr:col>8</xdr:col>
      <xdr:colOff>30480</xdr:colOff>
      <xdr:row>7</xdr:row>
      <xdr:rowOff>43815</xdr:rowOff>
    </xdr:from>
    <xdr:to>
      <xdr:col>10</xdr:col>
      <xdr:colOff>601980</xdr:colOff>
      <xdr:row>10</xdr:row>
      <xdr:rowOff>81915</xdr:rowOff>
    </xdr:to>
    <xdr:sp macro="" textlink="$AB$4">
      <xdr:nvSpPr>
        <xdr:cNvPr id="5" name="TextBox 4">
          <a:extLst>
            <a:ext uri="{FF2B5EF4-FFF2-40B4-BE49-F238E27FC236}">
              <a16:creationId xmlns:a16="http://schemas.microsoft.com/office/drawing/2014/main" id="{6F1C5305-73EA-4517-97AD-80A4E22AFD0D}"/>
            </a:ext>
          </a:extLst>
        </xdr:cNvPr>
        <xdr:cNvSpPr txBox="1"/>
      </xdr:nvSpPr>
      <xdr:spPr>
        <a:xfrm>
          <a:off x="4907280" y="1196340"/>
          <a:ext cx="1790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995164-D788-4820-9ABD-A189C4C72A75}" type="TxLink">
            <a:rPr lang="en-US" sz="2000" b="1" i="0" u="none" strike="noStrike">
              <a:solidFill>
                <a:schemeClr val="bg1"/>
              </a:solidFill>
              <a:latin typeface="Calibri"/>
              <a:ea typeface="Calibri"/>
              <a:cs typeface="Calibri"/>
            </a:rPr>
            <a:pPr marL="0" indent="0" algn="ctr"/>
            <a:t> </a:t>
          </a:fld>
          <a:endParaRPr lang="en-US" sz="2000" b="1" i="0" u="none" strike="noStrike">
            <a:solidFill>
              <a:schemeClr val="bg1"/>
            </a:solidFill>
            <a:latin typeface="Calibri"/>
            <a:ea typeface="Calibri"/>
            <a:cs typeface="Calibri"/>
          </a:endParaRPr>
        </a:p>
      </xdr:txBody>
    </xdr:sp>
    <xdr:clientData/>
  </xdr:twoCellAnchor>
  <xdr:twoCellAnchor>
    <xdr:from>
      <xdr:col>8</xdr:col>
      <xdr:colOff>30480</xdr:colOff>
      <xdr:row>7</xdr:row>
      <xdr:rowOff>43815</xdr:rowOff>
    </xdr:from>
    <xdr:to>
      <xdr:col>10</xdr:col>
      <xdr:colOff>601980</xdr:colOff>
      <xdr:row>10</xdr:row>
      <xdr:rowOff>81915</xdr:rowOff>
    </xdr:to>
    <xdr:sp macro="" textlink="'CALCULATION '!$C$3">
      <xdr:nvSpPr>
        <xdr:cNvPr id="6" name="TextBox 5">
          <a:extLst>
            <a:ext uri="{FF2B5EF4-FFF2-40B4-BE49-F238E27FC236}">
              <a16:creationId xmlns:a16="http://schemas.microsoft.com/office/drawing/2014/main" id="{9EFB3C96-8213-422A-8DC2-6713A68E4720}"/>
            </a:ext>
          </a:extLst>
        </xdr:cNvPr>
        <xdr:cNvSpPr txBox="1"/>
      </xdr:nvSpPr>
      <xdr:spPr>
        <a:xfrm>
          <a:off x="4907280" y="1196340"/>
          <a:ext cx="1790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5130AF-9BCF-4D9E-8CDE-9EC373B06CAA}" type="TxLink">
            <a:rPr lang="en-US" sz="1800" b="1" i="0" u="none" strike="noStrike">
              <a:solidFill>
                <a:schemeClr val="bg1"/>
              </a:solidFill>
              <a:latin typeface="Calibri"/>
              <a:ea typeface="Calibri"/>
              <a:cs typeface="Calibri"/>
            </a:rPr>
            <a:pPr marL="0" indent="0" algn="ctr"/>
            <a:t>27.36%</a:t>
          </a:fld>
          <a:endParaRPr lang="en-IN" sz="1800" b="1" i="0" u="none" strike="noStrike">
            <a:solidFill>
              <a:schemeClr val="bg1"/>
            </a:solidFill>
            <a:latin typeface="Calibri"/>
            <a:ea typeface="Calibri"/>
            <a:cs typeface="Calibri"/>
          </a:endParaRPr>
        </a:p>
      </xdr:txBody>
    </xdr:sp>
    <xdr:clientData/>
  </xdr:twoCellAnchor>
  <xdr:twoCellAnchor>
    <xdr:from>
      <xdr:col>13</xdr:col>
      <xdr:colOff>0</xdr:colOff>
      <xdr:row>6</xdr:row>
      <xdr:rowOff>0</xdr:rowOff>
    </xdr:from>
    <xdr:to>
      <xdr:col>17</xdr:col>
      <xdr:colOff>596265</xdr:colOff>
      <xdr:row>12</xdr:row>
      <xdr:rowOff>47625</xdr:rowOff>
    </xdr:to>
    <xdr:sp macro="" textlink="">
      <xdr:nvSpPr>
        <xdr:cNvPr id="7" name="Rectangle: Rounded Corners 6">
          <a:extLst>
            <a:ext uri="{FF2B5EF4-FFF2-40B4-BE49-F238E27FC236}">
              <a16:creationId xmlns:a16="http://schemas.microsoft.com/office/drawing/2014/main" id="{F7BEAA20-8E8E-4418-A37D-8C708791CC43}"/>
            </a:ext>
          </a:extLst>
        </xdr:cNvPr>
        <xdr:cNvSpPr/>
      </xdr:nvSpPr>
      <xdr:spPr>
        <a:xfrm>
          <a:off x="7924800" y="971550"/>
          <a:ext cx="3034665" cy="1133475"/>
        </a:xfrm>
        <a:prstGeom prst="roundRect">
          <a:avLst/>
        </a:prstGeom>
        <a:solidFill>
          <a:srgbClr val="ED7D3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effectLst/>
            </a:rPr>
            <a:t> </a:t>
          </a:r>
          <a:endParaRPr lang="en-IN" sz="1100"/>
        </a:p>
      </xdr:txBody>
    </xdr:sp>
    <xdr:clientData/>
  </xdr:twoCellAnchor>
  <xdr:twoCellAnchor>
    <xdr:from>
      <xdr:col>14</xdr:col>
      <xdr:colOff>28575</xdr:colOff>
      <xdr:row>7</xdr:row>
      <xdr:rowOff>45720</xdr:rowOff>
    </xdr:from>
    <xdr:to>
      <xdr:col>16</xdr:col>
      <xdr:colOff>600075</xdr:colOff>
      <xdr:row>10</xdr:row>
      <xdr:rowOff>83820</xdr:rowOff>
    </xdr:to>
    <xdr:sp macro="" textlink="'CALCULATION '!$L$1">
      <xdr:nvSpPr>
        <xdr:cNvPr id="8" name="TextBox 7">
          <a:extLst>
            <a:ext uri="{FF2B5EF4-FFF2-40B4-BE49-F238E27FC236}">
              <a16:creationId xmlns:a16="http://schemas.microsoft.com/office/drawing/2014/main" id="{83E46728-FFDA-49CA-A913-024DD092F35E}"/>
            </a:ext>
          </a:extLst>
        </xdr:cNvPr>
        <xdr:cNvSpPr txBox="1"/>
      </xdr:nvSpPr>
      <xdr:spPr>
        <a:xfrm>
          <a:off x="8562975" y="1198245"/>
          <a:ext cx="1790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E91FD6-F0F2-4C8B-93FF-613D03110FBF}" type="TxLink">
            <a:rPr lang="en-US" sz="1800" b="1" i="0" u="none" strike="noStrike">
              <a:solidFill>
                <a:schemeClr val="bg1"/>
              </a:solidFill>
              <a:latin typeface="Calibri"/>
              <a:ea typeface="Calibri"/>
              <a:cs typeface="Calibri"/>
            </a:rPr>
            <a:pPr marL="0" indent="0" algn="ctr"/>
            <a:t>South</a:t>
          </a:fld>
          <a:endParaRPr lang="en-IN" sz="1800" b="1" i="0" u="none" strike="noStrike">
            <a:solidFill>
              <a:schemeClr val="bg1"/>
            </a:solidFill>
            <a:latin typeface="Calibri"/>
            <a:ea typeface="Calibri"/>
            <a:cs typeface="Calibri"/>
          </a:endParaRPr>
        </a:p>
      </xdr:txBody>
    </xdr:sp>
    <xdr:clientData/>
  </xdr:twoCellAnchor>
  <xdr:twoCellAnchor>
    <xdr:from>
      <xdr:col>0</xdr:col>
      <xdr:colOff>609599</xdr:colOff>
      <xdr:row>13</xdr:row>
      <xdr:rowOff>163829</xdr:rowOff>
    </xdr:from>
    <xdr:to>
      <xdr:col>9</xdr:col>
      <xdr:colOff>365759</xdr:colOff>
      <xdr:row>30</xdr:row>
      <xdr:rowOff>152399</xdr:rowOff>
    </xdr:to>
    <xdr:graphicFrame macro="">
      <xdr:nvGraphicFramePr>
        <xdr:cNvPr id="9" name="Chart 8">
          <a:extLst>
            <a:ext uri="{FF2B5EF4-FFF2-40B4-BE49-F238E27FC236}">
              <a16:creationId xmlns:a16="http://schemas.microsoft.com/office/drawing/2014/main" id="{60EE0A32-9582-4510-9734-523F5DFAE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179070</xdr:colOff>
      <xdr:row>14</xdr:row>
      <xdr:rowOff>57150</xdr:rowOff>
    </xdr:from>
    <xdr:to>
      <xdr:col>18</xdr:col>
      <xdr:colOff>133350</xdr:colOff>
      <xdr:row>30</xdr:row>
      <xdr:rowOff>161925</xdr:rowOff>
    </xdr:to>
    <xdr:graphicFrame macro="">
      <xdr:nvGraphicFramePr>
        <xdr:cNvPr id="10" name="Chart 9">
          <a:extLst>
            <a:ext uri="{FF2B5EF4-FFF2-40B4-BE49-F238E27FC236}">
              <a16:creationId xmlns:a16="http://schemas.microsoft.com/office/drawing/2014/main" id="{78C0A886-126F-4BC1-90F9-3E5F5D12C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345349</xdr:colOff>
      <xdr:row>4</xdr:row>
      <xdr:rowOff>28732</xdr:rowOff>
    </xdr:from>
    <xdr:to>
      <xdr:col>23</xdr:col>
      <xdr:colOff>38100</xdr:colOff>
      <xdr:row>12</xdr:row>
      <xdr:rowOff>34290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758E3F66-44B7-4351-9AD5-407F2DD7EB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927749" y="750727"/>
              <a:ext cx="2131151" cy="1521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363920</xdr:colOff>
      <xdr:row>13</xdr:row>
      <xdr:rowOff>72833</xdr:rowOff>
    </xdr:from>
    <xdr:to>
      <xdr:col>23</xdr:col>
      <xdr:colOff>49530</xdr:colOff>
      <xdr:row>22</xdr:row>
      <xdr:rowOff>24766</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CC0F49E3-0108-44AB-A920-DAABBEF4537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942510" y="2492183"/>
              <a:ext cx="2131630" cy="1576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332154</xdr:colOff>
      <xdr:row>23</xdr:row>
      <xdr:rowOff>74296</xdr:rowOff>
    </xdr:from>
    <xdr:to>
      <xdr:col>23</xdr:col>
      <xdr:colOff>114299</xdr:colOff>
      <xdr:row>31</xdr:row>
      <xdr:rowOff>19051</xdr:rowOff>
    </xdr:to>
    <mc:AlternateContent xmlns:mc="http://schemas.openxmlformats.org/markup-compatibility/2006">
      <mc:Choice xmlns:a14="http://schemas.microsoft.com/office/drawing/2010/main" Requires="a14">
        <xdr:graphicFrame macro="">
          <xdr:nvGraphicFramePr>
            <xdr:cNvPr id="13" name="Customer_Segment 1">
              <a:extLst>
                <a:ext uri="{FF2B5EF4-FFF2-40B4-BE49-F238E27FC236}">
                  <a16:creationId xmlns:a16="http://schemas.microsoft.com/office/drawing/2014/main" id="{DFCB4B5B-0A6F-4E6F-A595-3496F2ECA3B2}"/>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1912649" y="4303396"/>
              <a:ext cx="2222450" cy="1388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169545</xdr:colOff>
      <xdr:row>8</xdr:row>
      <xdr:rowOff>160972</xdr:rowOff>
    </xdr:from>
    <xdr:to>
      <xdr:col>11</xdr:col>
      <xdr:colOff>474345</xdr:colOff>
      <xdr:row>24</xdr:row>
      <xdr:rowOff>8572</xdr:rowOff>
    </xdr:to>
    <xdr:graphicFrame macro="">
      <xdr:nvGraphicFramePr>
        <xdr:cNvPr id="2" name="Chart 1">
          <a:extLst>
            <a:ext uri="{FF2B5EF4-FFF2-40B4-BE49-F238E27FC236}">
              <a16:creationId xmlns:a16="http://schemas.microsoft.com/office/drawing/2014/main" id="{44B431D0-9B13-5F62-366F-244BC6FF3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26</xdr:row>
      <xdr:rowOff>88582</xdr:rowOff>
    </xdr:from>
    <xdr:to>
      <xdr:col>12</xdr:col>
      <xdr:colOff>19050</xdr:colOff>
      <xdr:row>41</xdr:row>
      <xdr:rowOff>124777</xdr:rowOff>
    </xdr:to>
    <xdr:graphicFrame macro="">
      <xdr:nvGraphicFramePr>
        <xdr:cNvPr id="3" name="Chart 2">
          <a:extLst>
            <a:ext uri="{FF2B5EF4-FFF2-40B4-BE49-F238E27FC236}">
              <a16:creationId xmlns:a16="http://schemas.microsoft.com/office/drawing/2014/main" id="{ACB1EDF9-8BED-9FAF-94DA-8AF05E037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177165</xdr:colOff>
      <xdr:row>18</xdr:row>
      <xdr:rowOff>1905</xdr:rowOff>
    </xdr:from>
    <xdr:to>
      <xdr:col>16</xdr:col>
      <xdr:colOff>186690</xdr:colOff>
      <xdr:row>24</xdr:row>
      <xdr:rowOff>133350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7A52460-8640-04EE-A664-C88093EF0F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68962" y="3185976"/>
              <a:ext cx="1850299" cy="1188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205740</xdr:colOff>
      <xdr:row>28</xdr:row>
      <xdr:rowOff>15240</xdr:rowOff>
    </xdr:from>
    <xdr:to>
      <xdr:col>16</xdr:col>
      <xdr:colOff>205740</xdr:colOff>
      <xdr:row>36</xdr:row>
      <xdr:rowOff>154305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5539646D-3249-1FE9-5508-AF07F21790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05157" y="4972050"/>
              <a:ext cx="1836964" cy="1550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205740</xdr:colOff>
      <xdr:row>38</xdr:row>
      <xdr:rowOff>24765</xdr:rowOff>
    </xdr:from>
    <xdr:to>
      <xdr:col>16</xdr:col>
      <xdr:colOff>209550</xdr:colOff>
      <xdr:row>45</xdr:row>
      <xdr:rowOff>173355</xdr:rowOff>
    </xdr:to>
    <mc:AlternateContent xmlns:mc="http://schemas.openxmlformats.org/markup-compatibility/2006">
      <mc:Choice xmlns:a14="http://schemas.microsoft.com/office/drawing/2010/main" Requires="a14">
        <xdr:graphicFrame macro="">
          <xdr:nvGraphicFramePr>
            <xdr:cNvPr id="6" name="Customer_Segment">
              <a:extLst>
                <a:ext uri="{FF2B5EF4-FFF2-40B4-BE49-F238E27FC236}">
                  <a16:creationId xmlns:a16="http://schemas.microsoft.com/office/drawing/2014/main" id="{388172D7-CDA2-98ED-7AFB-17C430D147D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8605157" y="6742884"/>
              <a:ext cx="1833154"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6.484992361111" createdVersion="8" refreshedVersion="8" minRefreshableVersion="3" recordCount="120" xr:uid="{B1D9EF85-6EC6-4CF8-8D54-4FC25464A6A6}">
  <cacheSource type="worksheet">
    <worksheetSource name="SalesData"/>
  </cacheSource>
  <cacheFields count="15">
    <cacheField name="OrderID" numFmtId="0">
      <sharedItems/>
    </cacheField>
    <cacheField name="Order_Date" numFmtId="164">
      <sharedItems containsSemiMixedTypes="0" containsNonDate="0" containsDate="1" containsString="0" minDate="2025-01-02T00:00:00" maxDate="2025-12-28T00:00:00" count="99">
        <d v="2025-01-07T00:00:00"/>
        <d v="2025-01-16T00:00:00"/>
        <d v="2025-01-02T00:00:00"/>
        <d v="2025-01-18T00:00:00"/>
        <d v="2025-01-15T00:00:00"/>
        <d v="2025-01-14T00:00:00"/>
        <d v="2025-01-24T00:00:00"/>
        <d v="2025-01-28T00:00:00"/>
        <d v="2025-01-22T00:00:00"/>
        <d v="2025-01-12T00:00:00"/>
        <d v="2025-02-16T00:00:00"/>
        <d v="2025-02-06T00:00:00"/>
        <d v="2025-02-19T00:00:00"/>
        <d v="2025-02-07T00:00:00"/>
        <d v="2025-02-24T00:00:00"/>
        <d v="2025-02-21T00:00:00"/>
        <d v="2025-02-14T00:00:00"/>
        <d v="2025-02-22T00:00:00"/>
        <d v="2025-02-10T00:00:00"/>
        <d v="2025-03-22T00:00:00"/>
        <d v="2025-03-27T00:00:00"/>
        <d v="2025-03-02T00:00:00"/>
        <d v="2025-03-20T00:00:00"/>
        <d v="2025-03-06T00:00:00"/>
        <d v="2025-03-08T00:00:00"/>
        <d v="2025-03-17T00:00:00"/>
        <d v="2025-03-23T00:00:00"/>
        <d v="2025-03-21T00:00:00"/>
        <d v="2025-04-01T00:00:00"/>
        <d v="2025-04-04T00:00:00"/>
        <d v="2025-04-20T00:00:00"/>
        <d v="2025-04-17T00:00:00"/>
        <d v="2025-04-12T00:00:00"/>
        <d v="2025-04-28T00:00:00"/>
        <d v="2025-04-22T00:00:00"/>
        <d v="2025-04-16T00:00:00"/>
        <d v="2025-05-21T00:00:00"/>
        <d v="2025-05-19T00:00:00"/>
        <d v="2025-05-02T00:00:00"/>
        <d v="2025-05-28T00:00:00"/>
        <d v="2025-05-07T00:00:00"/>
        <d v="2025-05-09T00:00:00"/>
        <d v="2025-05-01T00:00:00"/>
        <d v="2025-05-13T00:00:00"/>
        <d v="2025-06-25T00:00:00"/>
        <d v="2025-06-26T00:00:00"/>
        <d v="2025-06-07T00:00:00"/>
        <d v="2025-06-17T00:00:00"/>
        <d v="2025-06-28T00:00:00"/>
        <d v="2025-06-12T00:00:00"/>
        <d v="2025-06-18T00:00:00"/>
        <d v="2025-07-27T00:00:00"/>
        <d v="2025-07-24T00:00:00"/>
        <d v="2025-07-08T00:00:00"/>
        <d v="2025-07-10T00:00:00"/>
        <d v="2025-07-21T00:00:00"/>
        <d v="2025-07-04T00:00:00"/>
        <d v="2025-07-19T00:00:00"/>
        <d v="2025-07-06T00:00:00"/>
        <d v="2025-07-16T00:00:00"/>
        <d v="2025-08-27T00:00:00"/>
        <d v="2025-08-24T00:00:00"/>
        <d v="2025-08-14T00:00:00"/>
        <d v="2025-08-11T00:00:00"/>
        <d v="2025-08-21T00:00:00"/>
        <d v="2025-08-06T00:00:00"/>
        <d v="2025-09-16T00:00:00"/>
        <d v="2025-09-04T00:00:00"/>
        <d v="2025-09-09T00:00:00"/>
        <d v="2025-09-02T00:00:00"/>
        <d v="2025-09-13T00:00:00"/>
        <d v="2025-09-01T00:00:00"/>
        <d v="2025-09-10T00:00:00"/>
        <d v="2025-09-03T00:00:00"/>
        <d v="2025-10-14T00:00:00"/>
        <d v="2025-10-22T00:00:00"/>
        <d v="2025-10-07T00:00:00"/>
        <d v="2025-10-08T00:00:00"/>
        <d v="2025-10-23T00:00:00"/>
        <d v="2025-10-01T00:00:00"/>
        <d v="2025-10-18T00:00:00"/>
        <d v="2025-10-25T00:00:00"/>
        <d v="2025-11-16T00:00:00"/>
        <d v="2025-11-11T00:00:00"/>
        <d v="2025-11-13T00:00:00"/>
        <d v="2025-11-14T00:00:00"/>
        <d v="2025-11-27T00:00:00"/>
        <d v="2025-11-02T00:00:00"/>
        <d v="2025-11-15T00:00:00"/>
        <d v="2025-11-18T00:00:00"/>
        <d v="2025-12-02T00:00:00"/>
        <d v="2025-12-08T00:00:00"/>
        <d v="2025-12-26T00:00:00"/>
        <d v="2025-12-11T00:00:00"/>
        <d v="2025-12-20T00:00:00"/>
        <d v="2025-12-09T00:00:00"/>
        <d v="2025-12-27T00:00:00"/>
        <d v="2025-12-14T00:00:00"/>
        <d v="2025-12-15T00:00:00"/>
      </sharedItems>
      <fieldGroup par="14"/>
    </cacheField>
    <cacheField name="Customer_Name" numFmtId="0">
      <sharedItems/>
    </cacheField>
    <cacheField name="Customer_Segment" numFmtId="0">
      <sharedItems count="3">
        <s v="Consumer"/>
        <s v="Home_Office"/>
        <s v="Corporate"/>
      </sharedItems>
    </cacheField>
    <cacheField name="Region" numFmtId="0">
      <sharedItems count="4">
        <s v="West"/>
        <s v="East"/>
        <s v="North"/>
        <s v="South"/>
      </sharedItems>
    </cacheField>
    <cacheField name="Category" numFmtId="0">
      <sharedItems count="4">
        <s v="Furniture"/>
        <s v="Clothing"/>
        <s v="Electronics"/>
        <s v="Food"/>
      </sharedItems>
    </cacheField>
    <cacheField name="Product" numFmtId="0">
      <sharedItems/>
    </cacheField>
    <cacheField name="Units" numFmtId="0">
      <sharedItems containsSemiMixedTypes="0" containsString="0" containsNumber="1" containsInteger="1" minValue="2" maxValue="259"/>
    </cacheField>
    <cacheField name="Unit_Price" numFmtId="0">
      <sharedItems containsSemiMixedTypes="0" containsString="0" containsNumber="1" containsInteger="1" minValue="608" maxValue="4987"/>
    </cacheField>
    <cacheField name="Revenue" numFmtId="0">
      <sharedItems containsSemiMixedTypes="0" containsString="0" containsNumber="1" containsInteger="1" minValue="5400" maxValue="197900"/>
    </cacheField>
    <cacheField name="Cost" numFmtId="0">
      <sharedItems containsSemiMixedTypes="0" containsString="0" containsNumber="1" containsInteger="1" minValue="3603" maxValue="153216"/>
    </cacheField>
    <cacheField name="Profit" numFmtId="0">
      <sharedItems containsSemiMixedTypes="0" containsString="0" containsNumber="1" containsInteger="1" minValue="1797" maxValue="66029"/>
    </cacheField>
    <cacheField name="Sales_Target" numFmtId="0">
      <sharedItems containsSemiMixedTypes="0" containsString="0" containsNumber="1" containsInteger="1" minValue="5728" maxValue="222238"/>
    </cacheField>
    <cacheField name="Days (Order_Date)" numFmtId="0" databaseField="0">
      <fieldGroup base="1">
        <rangePr groupBy="days" startDate="2025-01-02T00:00:00" endDate="2025-12-28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2-2025"/>
        </groupItems>
      </fieldGroup>
    </cacheField>
    <cacheField name="Months (Order_Date)" numFmtId="0" databaseField="0">
      <fieldGroup base="1">
        <rangePr groupBy="months" startDate="2025-01-02T00:00:00" endDate="2025-12-28T00:00:00"/>
        <groupItems count="14">
          <s v="&lt;02-01-2025"/>
          <s v="Jan"/>
          <s v="Feb"/>
          <s v="Mar"/>
          <s v="Apr"/>
          <s v="May"/>
          <s v="Jun"/>
          <s v="Jul"/>
          <s v="Aug"/>
          <s v="Sep"/>
          <s v="Oct"/>
          <s v="Nov"/>
          <s v="Dec"/>
          <s v="&gt;28-12-2025"/>
        </groupItems>
      </fieldGroup>
    </cacheField>
  </cacheFields>
  <extLst>
    <ext xmlns:x14="http://schemas.microsoft.com/office/spreadsheetml/2009/9/main" uri="{725AE2AE-9491-48be-B2B4-4EB974FC3084}">
      <x14:pivotCacheDefinition pivotCacheId="1481898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1001"/>
    <x v="0"/>
    <s v="Customer_001"/>
    <x v="0"/>
    <x v="0"/>
    <x v="0"/>
    <s v="Cabinet"/>
    <n v="5"/>
    <n v="4626"/>
    <n v="24300"/>
    <n v="16028"/>
    <n v="8272"/>
    <n v="22234"/>
  </r>
  <r>
    <s v="ORD1002"/>
    <x v="1"/>
    <s v="Customer_002"/>
    <x v="0"/>
    <x v="1"/>
    <x v="1"/>
    <s v="Shirt"/>
    <n v="146"/>
    <n v="1143"/>
    <n v="167000"/>
    <n v="131429"/>
    <n v="35571"/>
    <n v="183761"/>
  </r>
  <r>
    <s v="ORD1003"/>
    <x v="2"/>
    <s v="Customer_003"/>
    <x v="0"/>
    <x v="2"/>
    <x v="2"/>
    <s v="Monitor"/>
    <n v="38"/>
    <n v="1842"/>
    <n v="70700"/>
    <n v="55718"/>
    <n v="14982"/>
    <n v="60601"/>
  </r>
  <r>
    <s v="ORD1004"/>
    <x v="3"/>
    <s v="Customer_004"/>
    <x v="1"/>
    <x v="2"/>
    <x v="2"/>
    <s v="Mobile"/>
    <n v="27"/>
    <n v="2355"/>
    <n v="65900"/>
    <n v="48318"/>
    <n v="17582"/>
    <n v="57264"/>
  </r>
  <r>
    <s v="ORD1005"/>
    <x v="4"/>
    <s v="Customer_005"/>
    <x v="0"/>
    <x v="3"/>
    <x v="2"/>
    <s v="Mobile"/>
    <n v="21"/>
    <n v="4987"/>
    <n v="106800"/>
    <n v="74306"/>
    <n v="32494"/>
    <n v="113128"/>
  </r>
  <r>
    <s v="ORD1006"/>
    <x v="5"/>
    <s v="Customer_006"/>
    <x v="0"/>
    <x v="2"/>
    <x v="3"/>
    <s v="Tea"/>
    <n v="3"/>
    <n v="2124"/>
    <n v="7000"/>
    <n v="4628"/>
    <n v="2372"/>
    <n v="6771"/>
  </r>
  <r>
    <s v="ORD1007"/>
    <x v="6"/>
    <s v="Customer_007"/>
    <x v="2"/>
    <x v="0"/>
    <x v="0"/>
    <s v="Chair"/>
    <n v="4"/>
    <n v="4079"/>
    <n v="17900"/>
    <n v="13727"/>
    <n v="4173"/>
    <n v="20239"/>
  </r>
  <r>
    <s v="ORD1008"/>
    <x v="7"/>
    <s v="Customer_008"/>
    <x v="0"/>
    <x v="2"/>
    <x v="3"/>
    <s v="Oil"/>
    <n v="3"/>
    <n v="3924"/>
    <n v="12700"/>
    <n v="9943"/>
    <n v="2757"/>
    <n v="13932"/>
  </r>
  <r>
    <s v="ORD1009"/>
    <x v="8"/>
    <s v="Customer_009"/>
    <x v="2"/>
    <x v="0"/>
    <x v="1"/>
    <s v="Jacket"/>
    <n v="22"/>
    <n v="4387"/>
    <n v="99700"/>
    <n v="77437"/>
    <n v="22263"/>
    <n v="97374"/>
  </r>
  <r>
    <s v="ORD1010"/>
    <x v="9"/>
    <s v="Customer_010"/>
    <x v="0"/>
    <x v="1"/>
    <x v="2"/>
    <s v="Monitor"/>
    <n v="24"/>
    <n v="1917"/>
    <n v="47500"/>
    <n v="34126"/>
    <n v="13374"/>
    <n v="51246"/>
  </r>
  <r>
    <s v="ORD1011"/>
    <x v="10"/>
    <s v="Customer_011"/>
    <x v="0"/>
    <x v="3"/>
    <x v="0"/>
    <s v="Cabinet"/>
    <n v="20"/>
    <n v="3100"/>
    <n v="63200"/>
    <n v="44462"/>
    <n v="18738"/>
    <n v="55072"/>
  </r>
  <r>
    <s v="ORD1012"/>
    <x v="11"/>
    <s v="Customer_012"/>
    <x v="1"/>
    <x v="0"/>
    <x v="2"/>
    <s v="Monitor"/>
    <n v="26"/>
    <n v="4200"/>
    <n v="111000"/>
    <n v="85853"/>
    <n v="25147"/>
    <n v="102590"/>
  </r>
  <r>
    <s v="ORD1013"/>
    <x v="12"/>
    <s v="Customer_013"/>
    <x v="0"/>
    <x v="0"/>
    <x v="0"/>
    <s v="Chair"/>
    <n v="111"/>
    <n v="1656"/>
    <n v="184200"/>
    <n v="127525"/>
    <n v="56675"/>
    <n v="182191"/>
  </r>
  <r>
    <s v="ORD1014"/>
    <x v="13"/>
    <s v="Customer_014"/>
    <x v="0"/>
    <x v="3"/>
    <x v="0"/>
    <s v="Chair"/>
    <n v="143"/>
    <n v="1037"/>
    <n v="149300"/>
    <n v="114888"/>
    <n v="34412"/>
    <n v="167725"/>
  </r>
  <r>
    <s v="ORD1015"/>
    <x v="14"/>
    <s v="Customer_015"/>
    <x v="1"/>
    <x v="3"/>
    <x v="0"/>
    <s v="Desk"/>
    <n v="57"/>
    <n v="1924"/>
    <n v="110900"/>
    <n v="82959"/>
    <n v="27941"/>
    <n v="108055"/>
  </r>
  <r>
    <s v="ORD1016"/>
    <x v="15"/>
    <s v="Customer_016"/>
    <x v="1"/>
    <x v="2"/>
    <x v="3"/>
    <s v="Rice"/>
    <n v="89"/>
    <n v="1390"/>
    <n v="124000"/>
    <n v="90835"/>
    <n v="33165"/>
    <n v="108456"/>
  </r>
  <r>
    <s v="ORD1017"/>
    <x v="16"/>
    <s v="Customer_017"/>
    <x v="1"/>
    <x v="1"/>
    <x v="2"/>
    <s v="Tablet"/>
    <n v="194"/>
    <n v="942"/>
    <n v="182800"/>
    <n v="120981"/>
    <n v="61819"/>
    <n v="183770"/>
  </r>
  <r>
    <s v="ORD1018"/>
    <x v="11"/>
    <s v="Customer_018"/>
    <x v="0"/>
    <x v="3"/>
    <x v="1"/>
    <s v="Shoes"/>
    <n v="40"/>
    <n v="3326"/>
    <n v="134100"/>
    <n v="91055"/>
    <n v="43045"/>
    <n v="120318"/>
  </r>
  <r>
    <s v="ORD1019"/>
    <x v="17"/>
    <s v="Customer_019"/>
    <x v="2"/>
    <x v="0"/>
    <x v="0"/>
    <s v="Sofa"/>
    <n v="43"/>
    <n v="4108"/>
    <n v="179800"/>
    <n v="140455"/>
    <n v="39345"/>
    <n v="187106"/>
  </r>
  <r>
    <s v="ORD1020"/>
    <x v="18"/>
    <s v="Customer_020"/>
    <x v="0"/>
    <x v="2"/>
    <x v="2"/>
    <s v="Laptop"/>
    <n v="14"/>
    <n v="1545"/>
    <n v="22300"/>
    <n v="16415"/>
    <n v="5885"/>
    <n v="24990"/>
  </r>
  <r>
    <s v="ORD1021"/>
    <x v="19"/>
    <s v="Customer_021"/>
    <x v="1"/>
    <x v="1"/>
    <x v="0"/>
    <s v="Desk"/>
    <n v="9"/>
    <n v="4690"/>
    <n v="45400"/>
    <n v="30867"/>
    <n v="14533"/>
    <n v="48093"/>
  </r>
  <r>
    <s v="ORD1022"/>
    <x v="20"/>
    <s v="Customer_022"/>
    <x v="1"/>
    <x v="1"/>
    <x v="2"/>
    <s v="Laptop"/>
    <n v="5"/>
    <n v="2411"/>
    <n v="12900"/>
    <n v="8567"/>
    <n v="4333"/>
    <n v="11192"/>
  </r>
  <r>
    <s v="ORD1023"/>
    <x v="21"/>
    <s v="Customer_023"/>
    <x v="1"/>
    <x v="0"/>
    <x v="1"/>
    <s v="Jacket"/>
    <n v="33"/>
    <n v="4120"/>
    <n v="138200"/>
    <n v="94813"/>
    <n v="43387"/>
    <n v="139300"/>
  </r>
  <r>
    <s v="ORD1024"/>
    <x v="22"/>
    <s v="Customer_024"/>
    <x v="2"/>
    <x v="1"/>
    <x v="3"/>
    <s v="Oil"/>
    <n v="27"/>
    <n v="4016"/>
    <n v="111900"/>
    <n v="87062"/>
    <n v="24838"/>
    <n v="105273"/>
  </r>
  <r>
    <s v="ORD1025"/>
    <x v="23"/>
    <s v="Customer_025"/>
    <x v="1"/>
    <x v="0"/>
    <x v="0"/>
    <s v="Cabinet"/>
    <n v="32"/>
    <n v="2802"/>
    <n v="90600"/>
    <n v="67832"/>
    <n v="22768"/>
    <n v="99508"/>
  </r>
  <r>
    <s v="ORD1026"/>
    <x v="24"/>
    <s v="Customer_026"/>
    <x v="1"/>
    <x v="0"/>
    <x v="0"/>
    <s v="Desk"/>
    <n v="15"/>
    <n v="3494"/>
    <n v="53800"/>
    <n v="40925"/>
    <n v="12875"/>
    <n v="60553"/>
  </r>
  <r>
    <s v="ORD1027"/>
    <x v="25"/>
    <s v="Customer_027"/>
    <x v="2"/>
    <x v="1"/>
    <x v="0"/>
    <s v="Sofa"/>
    <n v="28"/>
    <n v="4913"/>
    <n v="141500"/>
    <n v="109921"/>
    <n v="31579"/>
    <n v="159303"/>
  </r>
  <r>
    <s v="ORD1028"/>
    <x v="26"/>
    <s v="Customer_028"/>
    <x v="1"/>
    <x v="2"/>
    <x v="0"/>
    <s v="Sofa"/>
    <n v="12"/>
    <n v="4420"/>
    <n v="57200"/>
    <n v="38550"/>
    <n v="18650"/>
    <n v="58901"/>
  </r>
  <r>
    <s v="ORD1029"/>
    <x v="19"/>
    <s v="Customer_029"/>
    <x v="1"/>
    <x v="0"/>
    <x v="3"/>
    <s v="Tea"/>
    <n v="32"/>
    <n v="3591"/>
    <n v="116000"/>
    <n v="80127"/>
    <n v="35873"/>
    <n v="106616"/>
  </r>
  <r>
    <s v="ORD1030"/>
    <x v="27"/>
    <s v="Customer_030"/>
    <x v="1"/>
    <x v="1"/>
    <x v="0"/>
    <s v="Cabinet"/>
    <n v="26"/>
    <n v="4962"/>
    <n v="133800"/>
    <n v="106471"/>
    <n v="27329"/>
    <n v="131647"/>
  </r>
  <r>
    <s v="ORD1031"/>
    <x v="28"/>
    <s v="Customer_031"/>
    <x v="2"/>
    <x v="1"/>
    <x v="0"/>
    <s v="Desk"/>
    <n v="41"/>
    <n v="3045"/>
    <n v="126600"/>
    <n v="85258"/>
    <n v="41342"/>
    <n v="123572"/>
  </r>
  <r>
    <s v="ORD1032"/>
    <x v="29"/>
    <s v="Customer_032"/>
    <x v="0"/>
    <x v="3"/>
    <x v="1"/>
    <s v="Jeans"/>
    <n v="26"/>
    <n v="4254"/>
    <n v="112900"/>
    <n v="83967"/>
    <n v="28933"/>
    <n v="98692"/>
  </r>
  <r>
    <s v="ORD1033"/>
    <x v="30"/>
    <s v="Customer_033"/>
    <x v="0"/>
    <x v="3"/>
    <x v="0"/>
    <s v="Cabinet"/>
    <n v="78"/>
    <n v="1152"/>
    <n v="90800"/>
    <n v="61254"/>
    <n v="29546"/>
    <n v="84507"/>
  </r>
  <r>
    <s v="ORD1034"/>
    <x v="31"/>
    <s v="Customer_034"/>
    <x v="0"/>
    <x v="3"/>
    <x v="2"/>
    <s v="Monitor"/>
    <n v="33"/>
    <n v="4151"/>
    <n v="138800"/>
    <n v="110358"/>
    <n v="28442"/>
    <n v="127876"/>
  </r>
  <r>
    <s v="ORD1035"/>
    <x v="32"/>
    <s v="Customer_035"/>
    <x v="0"/>
    <x v="0"/>
    <x v="1"/>
    <s v="Shoes"/>
    <n v="74"/>
    <n v="2183"/>
    <n v="162200"/>
    <n v="128012"/>
    <n v="34188"/>
    <n v="138879"/>
  </r>
  <r>
    <s v="ORD1036"/>
    <x v="33"/>
    <s v="Customer_036"/>
    <x v="2"/>
    <x v="1"/>
    <x v="2"/>
    <s v="Mobile"/>
    <n v="35"/>
    <n v="3643"/>
    <n v="128900"/>
    <n v="102497"/>
    <n v="26403"/>
    <n v="136791"/>
  </r>
  <r>
    <s v="ORD1037"/>
    <x v="34"/>
    <s v="Customer_037"/>
    <x v="0"/>
    <x v="1"/>
    <x v="3"/>
    <s v="Snacks"/>
    <n v="37"/>
    <n v="3768"/>
    <n v="139600"/>
    <n v="108198"/>
    <n v="31402"/>
    <n v="124488"/>
  </r>
  <r>
    <s v="ORD1038"/>
    <x v="32"/>
    <s v="Customer_038"/>
    <x v="1"/>
    <x v="0"/>
    <x v="2"/>
    <s v="Monitor"/>
    <n v="29"/>
    <n v="2619"/>
    <n v="76500"/>
    <n v="51341"/>
    <n v="25159"/>
    <n v="86865"/>
  </r>
  <r>
    <s v="ORD1039"/>
    <x v="35"/>
    <s v="Customer_039"/>
    <x v="2"/>
    <x v="3"/>
    <x v="1"/>
    <s v="Shoes"/>
    <n v="19"/>
    <n v="4283"/>
    <n v="85500"/>
    <n v="57648"/>
    <n v="27852"/>
    <n v="72835"/>
  </r>
  <r>
    <s v="ORD1040"/>
    <x v="34"/>
    <s v="Customer_040"/>
    <x v="2"/>
    <x v="0"/>
    <x v="2"/>
    <s v="Tablet"/>
    <n v="46"/>
    <n v="3531"/>
    <n v="162800"/>
    <n v="117097"/>
    <n v="45703"/>
    <n v="138953"/>
  </r>
  <r>
    <s v="ORD1041"/>
    <x v="36"/>
    <s v="Customer_041"/>
    <x v="0"/>
    <x v="2"/>
    <x v="2"/>
    <s v="Laptop"/>
    <n v="99"/>
    <n v="1816"/>
    <n v="180000"/>
    <n v="121472"/>
    <n v="58528"/>
    <n v="162711"/>
  </r>
  <r>
    <s v="ORD1042"/>
    <x v="37"/>
    <s v="Customer_042"/>
    <x v="0"/>
    <x v="1"/>
    <x v="2"/>
    <s v="Mobile"/>
    <n v="37"/>
    <n v="1658"/>
    <n v="61700"/>
    <n v="44306"/>
    <n v="17394"/>
    <n v="61210"/>
  </r>
  <r>
    <s v="ORD1043"/>
    <x v="38"/>
    <s v="Customer_043"/>
    <x v="0"/>
    <x v="1"/>
    <x v="2"/>
    <s v="Tablet"/>
    <n v="54"/>
    <n v="2813"/>
    <n v="153300"/>
    <n v="108294"/>
    <n v="45006"/>
    <n v="153290"/>
  </r>
  <r>
    <s v="ORD1044"/>
    <x v="39"/>
    <s v="Customer_044"/>
    <x v="0"/>
    <x v="2"/>
    <x v="2"/>
    <s v="Tablet"/>
    <n v="78"/>
    <n v="2345"/>
    <n v="183600"/>
    <n v="146176"/>
    <n v="37424"/>
    <n v="163516"/>
  </r>
  <r>
    <s v="ORD1045"/>
    <x v="40"/>
    <s v="Customer_045"/>
    <x v="2"/>
    <x v="1"/>
    <x v="1"/>
    <s v="Jacket"/>
    <n v="55"/>
    <n v="1437"/>
    <n v="79600"/>
    <n v="60179"/>
    <n v="19421"/>
    <n v="70029"/>
  </r>
  <r>
    <s v="ORD1046"/>
    <x v="40"/>
    <s v="Customer_046"/>
    <x v="2"/>
    <x v="3"/>
    <x v="1"/>
    <s v="Shirt"/>
    <n v="58"/>
    <n v="2460"/>
    <n v="144600"/>
    <n v="100608"/>
    <n v="43992"/>
    <n v="154527"/>
  </r>
  <r>
    <s v="ORD1047"/>
    <x v="41"/>
    <s v="Customer_047"/>
    <x v="2"/>
    <x v="3"/>
    <x v="2"/>
    <s v="Laptop"/>
    <n v="33"/>
    <n v="4201"/>
    <n v="141200"/>
    <n v="101494"/>
    <n v="39706"/>
    <n v="156699"/>
  </r>
  <r>
    <s v="ORD1048"/>
    <x v="42"/>
    <s v="Customer_048"/>
    <x v="2"/>
    <x v="0"/>
    <x v="1"/>
    <s v="Shoes"/>
    <n v="31"/>
    <n v="4350"/>
    <n v="138600"/>
    <n v="93077"/>
    <n v="45523"/>
    <n v="118288"/>
  </r>
  <r>
    <s v="ORD1049"/>
    <x v="43"/>
    <s v="Customer_049"/>
    <x v="2"/>
    <x v="3"/>
    <x v="1"/>
    <s v="Jeans"/>
    <n v="107"/>
    <n v="637"/>
    <n v="68300"/>
    <n v="52642"/>
    <n v="15658"/>
    <n v="62270"/>
  </r>
  <r>
    <s v="ORD1050"/>
    <x v="37"/>
    <s v="Customer_050"/>
    <x v="2"/>
    <x v="0"/>
    <x v="0"/>
    <s v="Sofa"/>
    <n v="6"/>
    <n v="4759"/>
    <n v="28800"/>
    <n v="21394"/>
    <n v="7406"/>
    <n v="32426"/>
  </r>
  <r>
    <s v="ORD1051"/>
    <x v="44"/>
    <s v="Customer_051"/>
    <x v="1"/>
    <x v="2"/>
    <x v="2"/>
    <s v="Tablet"/>
    <n v="16"/>
    <n v="3957"/>
    <n v="63500"/>
    <n v="43113"/>
    <n v="20387"/>
    <n v="71685"/>
  </r>
  <r>
    <s v="ORD1052"/>
    <x v="45"/>
    <s v="Customer_052"/>
    <x v="0"/>
    <x v="0"/>
    <x v="1"/>
    <s v="Shoes"/>
    <n v="46"/>
    <n v="4051"/>
    <n v="189900"/>
    <n v="123871"/>
    <n v="66029"/>
    <n v="201008"/>
  </r>
  <r>
    <s v="ORD1053"/>
    <x v="46"/>
    <s v="Customer_053"/>
    <x v="2"/>
    <x v="2"/>
    <x v="0"/>
    <s v="Sofa"/>
    <n v="7"/>
    <n v="3701"/>
    <n v="28000"/>
    <n v="20667"/>
    <n v="7333"/>
    <n v="32055"/>
  </r>
  <r>
    <s v="ORD1054"/>
    <x v="47"/>
    <s v="Customer_054"/>
    <x v="0"/>
    <x v="0"/>
    <x v="2"/>
    <s v="Mobile"/>
    <n v="20"/>
    <n v="1791"/>
    <n v="37200"/>
    <n v="27989"/>
    <n v="9211"/>
    <n v="34655"/>
  </r>
  <r>
    <s v="ORD1055"/>
    <x v="46"/>
    <s v="Customer_055"/>
    <x v="1"/>
    <x v="3"/>
    <x v="2"/>
    <s v="Mobile"/>
    <n v="42"/>
    <n v="3574"/>
    <n v="151300"/>
    <n v="116953"/>
    <n v="34347"/>
    <n v="150793"/>
  </r>
  <r>
    <s v="ORD1056"/>
    <x v="48"/>
    <s v="Customer_056"/>
    <x v="2"/>
    <x v="0"/>
    <x v="2"/>
    <s v="Mobile"/>
    <n v="43"/>
    <n v="4535"/>
    <n v="197900"/>
    <n v="153216"/>
    <n v="44684"/>
    <n v="222238"/>
  </r>
  <r>
    <s v="ORD1057"/>
    <x v="44"/>
    <s v="Customer_057"/>
    <x v="0"/>
    <x v="2"/>
    <x v="1"/>
    <s v="Shoes"/>
    <n v="15"/>
    <n v="2759"/>
    <n v="41600"/>
    <n v="27282"/>
    <n v="14318"/>
    <n v="45281"/>
  </r>
  <r>
    <s v="ORD1058"/>
    <x v="49"/>
    <s v="Customer_058"/>
    <x v="1"/>
    <x v="0"/>
    <x v="3"/>
    <s v="Oil"/>
    <n v="131"/>
    <n v="851"/>
    <n v="112000"/>
    <n v="81958"/>
    <n v="30042"/>
    <n v="116027"/>
  </r>
  <r>
    <s v="ORD1059"/>
    <x v="44"/>
    <s v="Customer_059"/>
    <x v="1"/>
    <x v="0"/>
    <x v="1"/>
    <s v="Jacket"/>
    <n v="21"/>
    <n v="3404"/>
    <n v="72600"/>
    <n v="53553"/>
    <n v="19047"/>
    <n v="67727"/>
  </r>
  <r>
    <s v="ORD1060"/>
    <x v="50"/>
    <s v="Customer_060"/>
    <x v="1"/>
    <x v="1"/>
    <x v="3"/>
    <s v="Snacks"/>
    <n v="94"/>
    <n v="1451"/>
    <n v="137000"/>
    <n v="106014"/>
    <n v="30986"/>
    <n v="130452"/>
  </r>
  <r>
    <s v="ORD1061"/>
    <x v="51"/>
    <s v="Customer_061"/>
    <x v="1"/>
    <x v="0"/>
    <x v="2"/>
    <s v="Laptop"/>
    <n v="26"/>
    <n v="4818"/>
    <n v="127100"/>
    <n v="101020"/>
    <n v="26080"/>
    <n v="125677"/>
  </r>
  <r>
    <s v="ORD1062"/>
    <x v="52"/>
    <s v="Customer_062"/>
    <x v="0"/>
    <x v="3"/>
    <x v="3"/>
    <s v="Rice"/>
    <n v="43"/>
    <n v="2210"/>
    <n v="96800"/>
    <n v="63688"/>
    <n v="33112"/>
    <n v="90743"/>
  </r>
  <r>
    <s v="ORD1063"/>
    <x v="53"/>
    <s v="Customer_063"/>
    <x v="2"/>
    <x v="2"/>
    <x v="2"/>
    <s v="Tablet"/>
    <n v="8"/>
    <n v="4450"/>
    <n v="38300"/>
    <n v="28976"/>
    <n v="9324"/>
    <n v="40921"/>
  </r>
  <r>
    <s v="ORD1064"/>
    <x v="54"/>
    <s v="Customer_064"/>
    <x v="0"/>
    <x v="1"/>
    <x v="2"/>
    <s v="Laptop"/>
    <n v="56"/>
    <n v="3125"/>
    <n v="177300"/>
    <n v="124839"/>
    <n v="52461"/>
    <n v="169925"/>
  </r>
  <r>
    <s v="ORD1065"/>
    <x v="55"/>
    <s v="Customer_065"/>
    <x v="0"/>
    <x v="1"/>
    <x v="1"/>
    <s v="Shirt"/>
    <n v="150"/>
    <n v="717"/>
    <n v="108100"/>
    <n v="84301"/>
    <n v="23799"/>
    <n v="102210"/>
  </r>
  <r>
    <s v="ORD1066"/>
    <x v="56"/>
    <s v="Customer_066"/>
    <x v="0"/>
    <x v="2"/>
    <x v="0"/>
    <s v="Desk"/>
    <n v="27"/>
    <n v="3682"/>
    <n v="102100"/>
    <n v="70127"/>
    <n v="31973"/>
    <n v="97874"/>
  </r>
  <r>
    <s v="ORD1067"/>
    <x v="57"/>
    <s v="Customer_067"/>
    <x v="1"/>
    <x v="2"/>
    <x v="1"/>
    <s v="Shirt"/>
    <n v="13"/>
    <n v="1019"/>
    <n v="13300"/>
    <n v="10250"/>
    <n v="3050"/>
    <n v="15102"/>
  </r>
  <r>
    <s v="ORD1068"/>
    <x v="58"/>
    <s v="Customer_068"/>
    <x v="2"/>
    <x v="1"/>
    <x v="1"/>
    <s v="Jacket"/>
    <n v="10"/>
    <n v="4100"/>
    <n v="43400"/>
    <n v="34712"/>
    <n v="8688"/>
    <n v="43941"/>
  </r>
  <r>
    <s v="ORD1069"/>
    <x v="52"/>
    <s v="Customer_069"/>
    <x v="0"/>
    <x v="3"/>
    <x v="3"/>
    <s v="Tea"/>
    <n v="36"/>
    <n v="4757"/>
    <n v="171600"/>
    <n v="122117"/>
    <n v="49483"/>
    <n v="183590"/>
  </r>
  <r>
    <s v="ORD1070"/>
    <x v="59"/>
    <s v="Customer_070"/>
    <x v="2"/>
    <x v="2"/>
    <x v="1"/>
    <s v="Shirt"/>
    <n v="33"/>
    <n v="4631"/>
    <n v="153000"/>
    <n v="116292"/>
    <n v="36708"/>
    <n v="171606"/>
  </r>
  <r>
    <s v="ORD1071"/>
    <x v="60"/>
    <s v="Customer_071"/>
    <x v="2"/>
    <x v="1"/>
    <x v="0"/>
    <s v="Sofa"/>
    <n v="31"/>
    <n v="2485"/>
    <n v="77400"/>
    <n v="55170"/>
    <n v="22230"/>
    <n v="87192"/>
  </r>
  <r>
    <s v="ORD1072"/>
    <x v="60"/>
    <s v="Customer_072"/>
    <x v="0"/>
    <x v="1"/>
    <x v="3"/>
    <s v="Snacks"/>
    <n v="47"/>
    <n v="2690"/>
    <n v="127000"/>
    <n v="100327"/>
    <n v="26673"/>
    <n v="108151"/>
  </r>
  <r>
    <s v="ORD1073"/>
    <x v="61"/>
    <s v="Customer_073"/>
    <x v="2"/>
    <x v="1"/>
    <x v="0"/>
    <s v="Cabinet"/>
    <n v="43"/>
    <n v="3834"/>
    <n v="167800"/>
    <n v="127223"/>
    <n v="40577"/>
    <n v="180722"/>
  </r>
  <r>
    <s v="ORD1074"/>
    <x v="62"/>
    <s v="Customer_074"/>
    <x v="0"/>
    <x v="3"/>
    <x v="2"/>
    <s v="Tablet"/>
    <n v="13"/>
    <n v="3635"/>
    <n v="49900"/>
    <n v="33892"/>
    <n v="16008"/>
    <n v="52582"/>
  </r>
  <r>
    <s v="ORD1075"/>
    <x v="63"/>
    <s v="Customer_075"/>
    <x v="0"/>
    <x v="3"/>
    <x v="1"/>
    <s v="Shoes"/>
    <n v="99"/>
    <n v="836"/>
    <n v="83400"/>
    <n v="57732"/>
    <n v="25668"/>
    <n v="80780"/>
  </r>
  <r>
    <s v="ORD1076"/>
    <x v="60"/>
    <s v="Customer_076"/>
    <x v="1"/>
    <x v="0"/>
    <x v="3"/>
    <s v="Rice"/>
    <n v="40"/>
    <n v="3044"/>
    <n v="122000"/>
    <n v="91352"/>
    <n v="30648"/>
    <n v="118122"/>
  </r>
  <r>
    <s v="ORD1077"/>
    <x v="64"/>
    <s v="Customer_077"/>
    <x v="1"/>
    <x v="3"/>
    <x v="3"/>
    <s v="Rice"/>
    <n v="37"/>
    <n v="4688"/>
    <n v="175900"/>
    <n v="139222"/>
    <n v="36678"/>
    <n v="189489"/>
  </r>
  <r>
    <s v="ORD1078"/>
    <x v="65"/>
    <s v="Customer_078"/>
    <x v="2"/>
    <x v="3"/>
    <x v="2"/>
    <s v="Monitor"/>
    <n v="46"/>
    <n v="3871"/>
    <n v="178200"/>
    <n v="119771"/>
    <n v="58429"/>
    <n v="204233"/>
  </r>
  <r>
    <s v="ORD1079"/>
    <x v="60"/>
    <s v="Customer_079"/>
    <x v="2"/>
    <x v="3"/>
    <x v="3"/>
    <s v="Oil"/>
    <n v="41"/>
    <n v="4537"/>
    <n v="188000"/>
    <n v="139856"/>
    <n v="48144"/>
    <n v="212433"/>
  </r>
  <r>
    <s v="ORD1080"/>
    <x v="60"/>
    <s v="Customer_080"/>
    <x v="0"/>
    <x v="0"/>
    <x v="0"/>
    <s v="Cabinet"/>
    <n v="84"/>
    <n v="1628"/>
    <n v="137500"/>
    <n v="92015"/>
    <n v="45485"/>
    <n v="146006"/>
  </r>
  <r>
    <s v="ORD1081"/>
    <x v="66"/>
    <s v="Customer_081"/>
    <x v="2"/>
    <x v="3"/>
    <x v="0"/>
    <s v="Sofa"/>
    <n v="39"/>
    <n v="3752"/>
    <n v="148800"/>
    <n v="100316"/>
    <n v="48484"/>
    <n v="145654"/>
  </r>
  <r>
    <s v="ORD1082"/>
    <x v="67"/>
    <s v="Customer_082"/>
    <x v="2"/>
    <x v="1"/>
    <x v="3"/>
    <s v="Rice"/>
    <n v="206"/>
    <n v="854"/>
    <n v="176000"/>
    <n v="119144"/>
    <n v="56856"/>
    <n v="190819"/>
  </r>
  <r>
    <s v="ORD1083"/>
    <x v="68"/>
    <s v="Customer_083"/>
    <x v="2"/>
    <x v="2"/>
    <x v="2"/>
    <s v="Tablet"/>
    <n v="124"/>
    <n v="1279"/>
    <n v="158900"/>
    <n v="115868"/>
    <n v="43032"/>
    <n v="178986"/>
  </r>
  <r>
    <s v="ORD1084"/>
    <x v="69"/>
    <s v="Customer_084"/>
    <x v="1"/>
    <x v="3"/>
    <x v="2"/>
    <s v="Mobile"/>
    <n v="28"/>
    <n v="1918"/>
    <n v="55500"/>
    <n v="39676"/>
    <n v="15824"/>
    <n v="59178"/>
  </r>
  <r>
    <s v="ORD1085"/>
    <x v="68"/>
    <s v="Customer_085"/>
    <x v="2"/>
    <x v="3"/>
    <x v="2"/>
    <s v="Tablet"/>
    <n v="69"/>
    <n v="1464"/>
    <n v="102400"/>
    <n v="74033"/>
    <n v="28367"/>
    <n v="113300"/>
  </r>
  <r>
    <s v="ORD1086"/>
    <x v="66"/>
    <s v="Customer_086"/>
    <x v="0"/>
    <x v="3"/>
    <x v="2"/>
    <s v="Tablet"/>
    <n v="40"/>
    <n v="1840"/>
    <n v="75000"/>
    <n v="55058"/>
    <n v="19942"/>
    <n v="78584"/>
  </r>
  <r>
    <s v="ORD1087"/>
    <x v="70"/>
    <s v="Customer_087"/>
    <x v="0"/>
    <x v="2"/>
    <x v="2"/>
    <s v="Monitor"/>
    <n v="43"/>
    <n v="2273"/>
    <n v="98200"/>
    <n v="74781"/>
    <n v="23419"/>
    <n v="90963"/>
  </r>
  <r>
    <s v="ORD1088"/>
    <x v="71"/>
    <s v="Customer_088"/>
    <x v="0"/>
    <x v="2"/>
    <x v="0"/>
    <s v="Desk"/>
    <n v="63"/>
    <n v="1913"/>
    <n v="122100"/>
    <n v="88062"/>
    <n v="34038"/>
    <n v="109480"/>
  </r>
  <r>
    <s v="ORD1089"/>
    <x v="72"/>
    <s v="Customer_089"/>
    <x v="1"/>
    <x v="0"/>
    <x v="1"/>
    <s v="Jacket"/>
    <n v="63"/>
    <n v="2197"/>
    <n v="139600"/>
    <n v="104714"/>
    <n v="34886"/>
    <n v="145027"/>
  </r>
  <r>
    <s v="ORD1090"/>
    <x v="73"/>
    <s v="Customer_090"/>
    <x v="0"/>
    <x v="2"/>
    <x v="0"/>
    <s v="Chair"/>
    <n v="68"/>
    <n v="2409"/>
    <n v="165000"/>
    <n v="127518"/>
    <n v="37482"/>
    <n v="165677"/>
  </r>
  <r>
    <s v="ORD1091"/>
    <x v="74"/>
    <s v="Customer_091"/>
    <x v="1"/>
    <x v="0"/>
    <x v="0"/>
    <s v="Sofa"/>
    <n v="2"/>
    <n v="3850"/>
    <n v="8500"/>
    <n v="6470"/>
    <n v="2030"/>
    <n v="7637"/>
  </r>
  <r>
    <s v="ORD1092"/>
    <x v="75"/>
    <s v="Customer_092"/>
    <x v="0"/>
    <x v="3"/>
    <x v="2"/>
    <s v="Mobile"/>
    <n v="32"/>
    <n v="2512"/>
    <n v="80800"/>
    <n v="55123"/>
    <n v="25677"/>
    <n v="88644"/>
  </r>
  <r>
    <s v="ORD1093"/>
    <x v="76"/>
    <s v="Customer_093"/>
    <x v="1"/>
    <x v="3"/>
    <x v="1"/>
    <s v="Jeans"/>
    <n v="29"/>
    <n v="4097"/>
    <n v="122600"/>
    <n v="85799"/>
    <n v="36801"/>
    <n v="131659"/>
  </r>
  <r>
    <s v="ORD1094"/>
    <x v="77"/>
    <s v="Customer_094"/>
    <x v="1"/>
    <x v="1"/>
    <x v="0"/>
    <s v="Chair"/>
    <n v="70"/>
    <n v="1750"/>
    <n v="123700"/>
    <n v="82287"/>
    <n v="41413"/>
    <n v="127168"/>
  </r>
  <r>
    <s v="ORD1095"/>
    <x v="78"/>
    <s v="Customer_095"/>
    <x v="0"/>
    <x v="2"/>
    <x v="2"/>
    <s v="Mobile"/>
    <n v="22"/>
    <n v="3741"/>
    <n v="85500"/>
    <n v="61343"/>
    <n v="24157"/>
    <n v="88971"/>
  </r>
  <r>
    <s v="ORD1096"/>
    <x v="79"/>
    <s v="Customer_096"/>
    <x v="0"/>
    <x v="1"/>
    <x v="1"/>
    <s v="Shirt"/>
    <n v="75"/>
    <n v="1552"/>
    <n v="117700"/>
    <n v="77601"/>
    <n v="40099"/>
    <n v="121684"/>
  </r>
  <r>
    <s v="ORD1097"/>
    <x v="78"/>
    <s v="Customer_097"/>
    <x v="1"/>
    <x v="2"/>
    <x v="2"/>
    <s v="Laptop"/>
    <n v="8"/>
    <n v="3798"/>
    <n v="30700"/>
    <n v="21206"/>
    <n v="9494"/>
    <n v="30287"/>
  </r>
  <r>
    <s v="ORD1098"/>
    <x v="80"/>
    <s v="Customer_098"/>
    <x v="0"/>
    <x v="2"/>
    <x v="0"/>
    <s v="Desk"/>
    <n v="14"/>
    <n v="3964"/>
    <n v="57300"/>
    <n v="37298"/>
    <n v="20002"/>
    <n v="54066"/>
  </r>
  <r>
    <s v="ORD1099"/>
    <x v="81"/>
    <s v="Customer_099"/>
    <x v="2"/>
    <x v="1"/>
    <x v="1"/>
    <s v="Shoes"/>
    <n v="259"/>
    <n v="608"/>
    <n v="158000"/>
    <n v="109741"/>
    <n v="48259"/>
    <n v="156843"/>
  </r>
  <r>
    <s v="ORD1100"/>
    <x v="79"/>
    <s v="Customer_100"/>
    <x v="0"/>
    <x v="3"/>
    <x v="0"/>
    <s v="Chair"/>
    <n v="21"/>
    <n v="4874"/>
    <n v="102500"/>
    <n v="73435"/>
    <n v="29065"/>
    <n v="116850"/>
  </r>
  <r>
    <s v="ORD1101"/>
    <x v="82"/>
    <s v="Customer_101"/>
    <x v="0"/>
    <x v="2"/>
    <x v="1"/>
    <s v="Shirt"/>
    <n v="38"/>
    <n v="2889"/>
    <n v="109900"/>
    <n v="79979"/>
    <n v="29921"/>
    <n v="99278"/>
  </r>
  <r>
    <s v="ORD1102"/>
    <x v="83"/>
    <s v="Customer_102"/>
    <x v="2"/>
    <x v="2"/>
    <x v="1"/>
    <s v="Jeans"/>
    <n v="54"/>
    <n v="1664"/>
    <n v="90100"/>
    <n v="65107"/>
    <n v="24993"/>
    <n v="96417"/>
  </r>
  <r>
    <s v="ORD1103"/>
    <x v="84"/>
    <s v="Customer_103"/>
    <x v="0"/>
    <x v="1"/>
    <x v="3"/>
    <s v="Oil"/>
    <n v="92"/>
    <n v="1957"/>
    <n v="182000"/>
    <n v="139458"/>
    <n v="42542"/>
    <n v="193439"/>
  </r>
  <r>
    <s v="ORD1104"/>
    <x v="85"/>
    <s v="Customer_104"/>
    <x v="2"/>
    <x v="1"/>
    <x v="1"/>
    <s v="Shirt"/>
    <n v="18"/>
    <n v="4916"/>
    <n v="89100"/>
    <n v="60276"/>
    <n v="28824"/>
    <n v="93549"/>
  </r>
  <r>
    <s v="ORD1105"/>
    <x v="86"/>
    <s v="Customer_105"/>
    <x v="2"/>
    <x v="3"/>
    <x v="2"/>
    <s v="Tablet"/>
    <n v="47"/>
    <n v="2278"/>
    <n v="108500"/>
    <n v="86699"/>
    <n v="21801"/>
    <n v="105780"/>
  </r>
  <r>
    <s v="ORD1106"/>
    <x v="87"/>
    <s v="Customer_106"/>
    <x v="1"/>
    <x v="2"/>
    <x v="2"/>
    <s v="Tablet"/>
    <n v="22"/>
    <n v="2855"/>
    <n v="65200"/>
    <n v="51977"/>
    <n v="13223"/>
    <n v="73907"/>
  </r>
  <r>
    <s v="ORD1107"/>
    <x v="88"/>
    <s v="Customer_107"/>
    <x v="0"/>
    <x v="0"/>
    <x v="2"/>
    <s v="Tablet"/>
    <n v="22"/>
    <n v="3428"/>
    <n v="78100"/>
    <n v="52837"/>
    <n v="25263"/>
    <n v="88690"/>
  </r>
  <r>
    <s v="ORD1108"/>
    <x v="85"/>
    <s v="Customer_108"/>
    <x v="1"/>
    <x v="2"/>
    <x v="0"/>
    <s v="Chair"/>
    <n v="4"/>
    <n v="4195"/>
    <n v="17100"/>
    <n v="11794"/>
    <n v="5306"/>
    <n v="16403"/>
  </r>
  <r>
    <s v="ORD1109"/>
    <x v="89"/>
    <s v="Customer_109"/>
    <x v="1"/>
    <x v="3"/>
    <x v="1"/>
    <s v="Jeans"/>
    <n v="21"/>
    <n v="4448"/>
    <n v="96800"/>
    <n v="75331"/>
    <n v="21469"/>
    <n v="92925"/>
  </r>
  <r>
    <s v="ORD1110"/>
    <x v="82"/>
    <s v="Customer_110"/>
    <x v="1"/>
    <x v="1"/>
    <x v="3"/>
    <s v="Oil"/>
    <n v="106"/>
    <n v="615"/>
    <n v="65500"/>
    <n v="43668"/>
    <n v="21832"/>
    <n v="57273"/>
  </r>
  <r>
    <s v="ORD1111"/>
    <x v="90"/>
    <s v="Customer_111"/>
    <x v="0"/>
    <x v="2"/>
    <x v="2"/>
    <s v="Monitor"/>
    <n v="2"/>
    <n v="2018"/>
    <n v="5400"/>
    <n v="3603"/>
    <n v="1797"/>
    <n v="5728"/>
  </r>
  <r>
    <s v="ORD1112"/>
    <x v="91"/>
    <s v="Customer_112"/>
    <x v="1"/>
    <x v="0"/>
    <x v="1"/>
    <s v="Jacket"/>
    <n v="41"/>
    <n v="3989"/>
    <n v="165300"/>
    <n v="119394"/>
    <n v="45906"/>
    <n v="164398"/>
  </r>
  <r>
    <s v="ORD1113"/>
    <x v="92"/>
    <s v="Customer_113"/>
    <x v="1"/>
    <x v="2"/>
    <x v="1"/>
    <s v="Shirt"/>
    <n v="120"/>
    <n v="1159"/>
    <n v="139600"/>
    <n v="94841"/>
    <n v="44759"/>
    <n v="131434"/>
  </r>
  <r>
    <s v="ORD1114"/>
    <x v="93"/>
    <s v="Customer_114"/>
    <x v="2"/>
    <x v="0"/>
    <x v="0"/>
    <s v="Cabinet"/>
    <n v="46"/>
    <n v="2499"/>
    <n v="115600"/>
    <n v="79149"/>
    <n v="36451"/>
    <n v="106764"/>
  </r>
  <r>
    <s v="ORD1115"/>
    <x v="94"/>
    <s v="Customer_115"/>
    <x v="2"/>
    <x v="0"/>
    <x v="2"/>
    <s v="Laptop"/>
    <n v="17"/>
    <n v="1393"/>
    <n v="24700"/>
    <n v="17625"/>
    <n v="7075"/>
    <n v="22020"/>
  </r>
  <r>
    <s v="ORD1116"/>
    <x v="95"/>
    <s v="Customer_116"/>
    <x v="0"/>
    <x v="3"/>
    <x v="2"/>
    <s v="Tablet"/>
    <n v="106"/>
    <n v="1537"/>
    <n v="163700"/>
    <n v="113875"/>
    <n v="49825"/>
    <n v="167144"/>
  </r>
  <r>
    <s v="ORD1117"/>
    <x v="96"/>
    <s v="Customer_117"/>
    <x v="1"/>
    <x v="1"/>
    <x v="2"/>
    <s v="Mobile"/>
    <n v="17"/>
    <n v="1621"/>
    <n v="28000"/>
    <n v="20614"/>
    <n v="7386"/>
    <n v="30736"/>
  </r>
  <r>
    <s v="ORD1118"/>
    <x v="95"/>
    <s v="Customer_118"/>
    <x v="1"/>
    <x v="1"/>
    <x v="1"/>
    <s v="Jacket"/>
    <n v="13"/>
    <n v="3233"/>
    <n v="42600"/>
    <n v="29406"/>
    <n v="13194"/>
    <n v="39726"/>
  </r>
  <r>
    <s v="ORD1119"/>
    <x v="97"/>
    <s v="Customer_119"/>
    <x v="1"/>
    <x v="0"/>
    <x v="2"/>
    <s v="Mobile"/>
    <n v="30"/>
    <n v="1447"/>
    <n v="44800"/>
    <n v="33585"/>
    <n v="11215"/>
    <n v="40725"/>
  </r>
  <r>
    <s v="ORD1120"/>
    <x v="98"/>
    <s v="Customer_120"/>
    <x v="1"/>
    <x v="2"/>
    <x v="3"/>
    <s v="Rice"/>
    <n v="36"/>
    <n v="3967"/>
    <n v="145200"/>
    <n v="94459"/>
    <n v="50741"/>
    <n v="1289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350BC-8551-4EBC-8FD8-7D2DF35DF8DC}" name="PivotTable2"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Months">
  <location ref="B28:C40" firstHeaderRow="1" firstDataRow="1" firstDataCol="1"/>
  <pivotFields count="15">
    <pivotField showAll="0"/>
    <pivotField numFmtId="164" showAll="0">
      <items count="100">
        <item x="2"/>
        <item x="0"/>
        <item x="9"/>
        <item x="5"/>
        <item x="4"/>
        <item x="1"/>
        <item x="3"/>
        <item x="8"/>
        <item x="6"/>
        <item x="7"/>
        <item x="11"/>
        <item x="13"/>
        <item x="18"/>
        <item x="16"/>
        <item x="10"/>
        <item x="12"/>
        <item x="15"/>
        <item x="17"/>
        <item x="14"/>
        <item x="21"/>
        <item x="23"/>
        <item x="24"/>
        <item x="25"/>
        <item x="22"/>
        <item x="27"/>
        <item x="19"/>
        <item x="26"/>
        <item x="20"/>
        <item x="28"/>
        <item x="29"/>
        <item x="32"/>
        <item x="35"/>
        <item x="31"/>
        <item x="30"/>
        <item x="34"/>
        <item x="33"/>
        <item x="42"/>
        <item x="38"/>
        <item x="40"/>
        <item x="41"/>
        <item x="43"/>
        <item x="37"/>
        <item x="36"/>
        <item x="39"/>
        <item x="46"/>
        <item x="49"/>
        <item x="47"/>
        <item x="50"/>
        <item x="44"/>
        <item x="45"/>
        <item x="48"/>
        <item x="56"/>
        <item x="58"/>
        <item x="53"/>
        <item x="54"/>
        <item x="59"/>
        <item x="57"/>
        <item x="55"/>
        <item x="52"/>
        <item x="51"/>
        <item x="65"/>
        <item x="63"/>
        <item x="62"/>
        <item x="64"/>
        <item x="61"/>
        <item x="60"/>
        <item x="71"/>
        <item x="69"/>
        <item x="73"/>
        <item x="67"/>
        <item x="68"/>
        <item x="72"/>
        <item x="70"/>
        <item x="66"/>
        <item x="79"/>
        <item x="76"/>
        <item x="77"/>
        <item x="74"/>
        <item x="80"/>
        <item x="75"/>
        <item x="78"/>
        <item x="81"/>
        <item x="87"/>
        <item x="83"/>
        <item x="84"/>
        <item x="85"/>
        <item x="88"/>
        <item x="82"/>
        <item x="89"/>
        <item x="86"/>
        <item x="90"/>
        <item x="91"/>
        <item x="95"/>
        <item x="93"/>
        <item x="97"/>
        <item x="98"/>
        <item x="94"/>
        <item x="92"/>
        <item x="96"/>
        <item t="default"/>
      </items>
    </pivotField>
    <pivotField showAll="0"/>
    <pivotField showAll="0">
      <items count="4">
        <item x="0"/>
        <item x="2"/>
        <item x="1"/>
        <item t="default"/>
      </items>
    </pivotField>
    <pivotField showAll="0">
      <items count="5">
        <item x="1"/>
        <item x="2"/>
        <item x="3"/>
        <item x="0"/>
        <item t="default"/>
      </items>
    </pivotField>
    <pivotField showAll="0">
      <items count="5">
        <item x="1"/>
        <item x="2"/>
        <item x="3"/>
        <item x="0"/>
        <item t="default"/>
      </items>
    </pivotField>
    <pivotField showAll="0"/>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2">
    <i>
      <x v="1"/>
    </i>
    <i>
      <x v="2"/>
    </i>
    <i>
      <x v="3"/>
    </i>
    <i>
      <x v="4"/>
    </i>
    <i>
      <x v="5"/>
    </i>
    <i>
      <x v="6"/>
    </i>
    <i>
      <x v="7"/>
    </i>
    <i>
      <x v="8"/>
    </i>
    <i>
      <x v="9"/>
    </i>
    <i>
      <x v="10"/>
    </i>
    <i>
      <x v="11"/>
    </i>
    <i>
      <x v="12"/>
    </i>
  </rowItems>
  <colItems count="1">
    <i/>
  </colItems>
  <dataFields count="1">
    <dataField name="Sum of Revenue" fld="9" baseField="0" baseItem="0"/>
  </dataFields>
  <formats count="1">
    <format dxfId="9">
      <pivotArea dataOnly="0" fieldPosition="0">
        <references count="1">
          <reference field="14"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3C15BB-0030-40D7-A96A-C8BFB3A1B52D}" name="PivotTable1" cacheId="4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Region">
  <location ref="B12:C16" firstHeaderRow="1" firstDataRow="1" firstDataCol="1"/>
  <pivotFields count="15">
    <pivotField showAll="0"/>
    <pivotField numFmtId="164" showAll="0">
      <items count="100">
        <item x="2"/>
        <item x="0"/>
        <item x="9"/>
        <item x="5"/>
        <item x="4"/>
        <item x="1"/>
        <item x="3"/>
        <item x="8"/>
        <item x="6"/>
        <item x="7"/>
        <item x="11"/>
        <item x="13"/>
        <item x="18"/>
        <item x="16"/>
        <item x="10"/>
        <item x="12"/>
        <item x="15"/>
        <item x="17"/>
        <item x="14"/>
        <item x="21"/>
        <item x="23"/>
        <item x="24"/>
        <item x="25"/>
        <item x="22"/>
        <item x="27"/>
        <item x="19"/>
        <item x="26"/>
        <item x="20"/>
        <item x="28"/>
        <item x="29"/>
        <item x="32"/>
        <item x="35"/>
        <item x="31"/>
        <item x="30"/>
        <item x="34"/>
        <item x="33"/>
        <item x="42"/>
        <item x="38"/>
        <item x="40"/>
        <item x="41"/>
        <item x="43"/>
        <item x="37"/>
        <item x="36"/>
        <item x="39"/>
        <item x="46"/>
        <item x="49"/>
        <item x="47"/>
        <item x="50"/>
        <item x="44"/>
        <item x="45"/>
        <item x="48"/>
        <item x="56"/>
        <item x="58"/>
        <item x="53"/>
        <item x="54"/>
        <item x="59"/>
        <item x="57"/>
        <item x="55"/>
        <item x="52"/>
        <item x="51"/>
        <item x="65"/>
        <item x="63"/>
        <item x="62"/>
        <item x="64"/>
        <item x="61"/>
        <item x="60"/>
        <item x="71"/>
        <item x="69"/>
        <item x="73"/>
        <item x="67"/>
        <item x="68"/>
        <item x="72"/>
        <item x="70"/>
        <item x="66"/>
        <item x="79"/>
        <item x="76"/>
        <item x="77"/>
        <item x="74"/>
        <item x="80"/>
        <item x="75"/>
        <item x="78"/>
        <item x="81"/>
        <item x="87"/>
        <item x="83"/>
        <item x="84"/>
        <item x="85"/>
        <item x="88"/>
        <item x="82"/>
        <item x="89"/>
        <item x="86"/>
        <item x="90"/>
        <item x="91"/>
        <item x="95"/>
        <item x="93"/>
        <item x="97"/>
        <item x="98"/>
        <item x="94"/>
        <item x="92"/>
        <item x="96"/>
        <item t="default"/>
      </items>
    </pivotField>
    <pivotField showAll="0"/>
    <pivotField showAll="0">
      <items count="4">
        <item x="0"/>
        <item x="2"/>
        <item x="1"/>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v="2"/>
    </i>
    <i>
      <x/>
    </i>
    <i>
      <x v="3"/>
    </i>
    <i>
      <x v="1"/>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805482-F6D9-4279-9200-11CA4B824890}" sourceName="Region">
  <pivotTables>
    <pivotTable tabId="3" name="PivotTable2"/>
    <pivotTable tabId="3" name="PivotTable1"/>
  </pivotTables>
  <data>
    <tabular pivotCacheId="1481898483">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2FBD6F-3577-4847-8107-94A3312E9B42}" sourceName="Category">
  <pivotTables>
    <pivotTable tabId="3" name="PivotTable2"/>
    <pivotTable tabId="3" name="PivotTable1"/>
  </pivotTables>
  <data>
    <tabular pivotCacheId="1481898483">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C41CEA2-6F33-49E8-9C68-57F6394D62DC}" sourceName="Customer_Segment">
  <pivotTables>
    <pivotTable tabId="3" name="PivotTable2"/>
    <pivotTable tabId="3" name="PivotTable1"/>
  </pivotTables>
  <data>
    <tabular pivotCacheId="148189848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C4C7957-7D26-44B3-8576-482766A3DD7E}" cache="Slicer_Region" caption="Region" style="SlicerStyleDark1" rowHeight="252000"/>
  <slicer name="Category 1" xr10:uid="{26360045-F018-4036-B00A-CCDEFE51F56C}" cache="Slicer_Category" caption="Category" style="SlicerStyleDark1" rowHeight="252000"/>
  <slicer name="Customer_Segment 1" xr10:uid="{4FE3007B-1F08-4A43-AD27-49EED74E3F42}" cache="Slicer_Customer_Segment" caption="Customer_Segment" style="SlicerStyleDark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73C5E53-BAC5-4EA6-BCD9-18540CDB2FC9}" cache="Slicer_Region" caption="Region" rowHeight="180000"/>
  <slicer name="Category" xr10:uid="{0031AB3C-4C2C-4251-A474-C2AADD8F31BF}" cache="Slicer_Category" caption="Category" rowHeight="180000"/>
  <slicer name="Customer_Segment" xr10:uid="{E2621C5D-EAA2-4DD1-A2D3-A22FBD6C543D}" cache="Slicer_Customer_Segment" caption="Customer_Segment"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EAA771-AEFB-4663-B238-2DB573D796F5}" name="SalesData" displayName="SalesData" ref="A1:M121" totalsRowShown="0" headerRowDxfId="10">
  <autoFilter ref="A1:M121" xr:uid="{E9EAA771-AEFB-4663-B238-2DB573D796F5}"/>
  <tableColumns count="13">
    <tableColumn id="1" xr3:uid="{DC46F41B-6485-4309-9918-749A1A8C54B5}" name="OrderID"/>
    <tableColumn id="2" xr3:uid="{51729D1D-C01C-44D9-ACCD-942442E7F555}" name="Order_Date" dataDxfId="11"/>
    <tableColumn id="3" xr3:uid="{E2330224-AEB8-4E16-87D4-A179FB9C5EC7}" name="Customer_Name"/>
    <tableColumn id="4" xr3:uid="{CB29EF4B-9832-4915-9EB4-EA38ACDC5D57}" name="Customer_Segment"/>
    <tableColumn id="5" xr3:uid="{AC4C3343-6A76-48B6-9996-34BD1C8AD67B}" name="Region"/>
    <tableColumn id="6" xr3:uid="{AB692933-45E7-4010-9C9F-8CFBFE796874}" name="Category"/>
    <tableColumn id="7" xr3:uid="{60607150-42D7-4CFB-A370-8FE949B7BA60}" name="Product"/>
    <tableColumn id="8" xr3:uid="{DF3242A3-3680-4D9E-ACC2-08258A2B1586}" name="Units"/>
    <tableColumn id="9" xr3:uid="{E0388275-0530-43E5-A55C-D7A35E0A6C00}" name="Unit_Price"/>
    <tableColumn id="10" xr3:uid="{6C8ADC46-A436-479B-838D-9B29CE6F0B87}" name="Revenue"/>
    <tableColumn id="11" xr3:uid="{07BAE910-FB1D-46AA-ACA5-70985BE11731}" name="Cost"/>
    <tableColumn id="12" xr3:uid="{1A575C6B-2A69-43A3-8478-8E7CE007C653}" name="Profit"/>
    <tableColumn id="13" xr3:uid="{CF5B57D4-5AB2-4B4E-A058-22F955329839}" name="Sales_Targe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
  <sheetViews>
    <sheetView workbookViewId="0">
      <selection activeCell="B1" sqref="B1:B1048576"/>
    </sheetView>
  </sheetViews>
  <sheetFormatPr defaultRowHeight="14.4" x14ac:dyDescent="0.3"/>
  <cols>
    <col min="1" max="1" width="9.77734375" customWidth="1"/>
    <col min="2" max="2" width="12.88671875" customWidth="1"/>
    <col min="3" max="3" width="17.33203125" customWidth="1"/>
    <col min="4" max="4" width="19.88671875" customWidth="1"/>
    <col min="6" max="6" width="10.5546875" customWidth="1"/>
    <col min="7" max="7" width="9.5546875" customWidth="1"/>
    <col min="9" max="9" width="12" customWidth="1"/>
    <col min="10" max="10" width="10.5546875" customWidth="1"/>
    <col min="13" max="13" width="13.777343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s="2">
        <v>45664</v>
      </c>
      <c r="C2" t="s">
        <v>14</v>
      </c>
      <c r="D2" t="s">
        <v>15</v>
      </c>
      <c r="E2" t="s">
        <v>16</v>
      </c>
      <c r="F2" t="s">
        <v>17</v>
      </c>
      <c r="G2" t="s">
        <v>18</v>
      </c>
      <c r="H2">
        <v>5</v>
      </c>
      <c r="I2">
        <v>4626</v>
      </c>
      <c r="J2">
        <v>24300</v>
      </c>
      <c r="K2">
        <v>16028</v>
      </c>
      <c r="L2">
        <v>8272</v>
      </c>
      <c r="M2">
        <v>22234</v>
      </c>
    </row>
    <row r="3" spans="1:13" x14ac:dyDescent="0.3">
      <c r="A3" t="s">
        <v>19</v>
      </c>
      <c r="B3" s="2">
        <v>45673</v>
      </c>
      <c r="C3" t="s">
        <v>20</v>
      </c>
      <c r="D3" t="s">
        <v>15</v>
      </c>
      <c r="E3" t="s">
        <v>21</v>
      </c>
      <c r="F3" t="s">
        <v>22</v>
      </c>
      <c r="G3" t="s">
        <v>23</v>
      </c>
      <c r="H3">
        <v>146</v>
      </c>
      <c r="I3">
        <v>1143</v>
      </c>
      <c r="J3">
        <v>167000</v>
      </c>
      <c r="K3">
        <v>131429</v>
      </c>
      <c r="L3">
        <v>35571</v>
      </c>
      <c r="M3">
        <v>183761</v>
      </c>
    </row>
    <row r="4" spans="1:13" x14ac:dyDescent="0.3">
      <c r="A4" t="s">
        <v>24</v>
      </c>
      <c r="B4" s="2">
        <v>45659</v>
      </c>
      <c r="C4" t="s">
        <v>25</v>
      </c>
      <c r="D4" t="s">
        <v>15</v>
      </c>
      <c r="E4" t="s">
        <v>26</v>
      </c>
      <c r="F4" t="s">
        <v>27</v>
      </c>
      <c r="G4" t="s">
        <v>28</v>
      </c>
      <c r="H4">
        <v>38</v>
      </c>
      <c r="I4">
        <v>1842</v>
      </c>
      <c r="J4">
        <v>70700</v>
      </c>
      <c r="K4">
        <v>55718</v>
      </c>
      <c r="L4">
        <v>14982</v>
      </c>
      <c r="M4">
        <v>60601</v>
      </c>
    </row>
    <row r="5" spans="1:13" x14ac:dyDescent="0.3">
      <c r="A5" t="s">
        <v>29</v>
      </c>
      <c r="B5" s="2">
        <v>45675</v>
      </c>
      <c r="C5" t="s">
        <v>30</v>
      </c>
      <c r="D5" t="s">
        <v>31</v>
      </c>
      <c r="E5" t="s">
        <v>26</v>
      </c>
      <c r="F5" t="s">
        <v>27</v>
      </c>
      <c r="G5" t="s">
        <v>32</v>
      </c>
      <c r="H5">
        <v>27</v>
      </c>
      <c r="I5">
        <v>2355</v>
      </c>
      <c r="J5">
        <v>65900</v>
      </c>
      <c r="K5">
        <v>48318</v>
      </c>
      <c r="L5">
        <v>17582</v>
      </c>
      <c r="M5">
        <v>57264</v>
      </c>
    </row>
    <row r="6" spans="1:13" x14ac:dyDescent="0.3">
      <c r="A6" t="s">
        <v>33</v>
      </c>
      <c r="B6" s="2">
        <v>45672</v>
      </c>
      <c r="C6" t="s">
        <v>34</v>
      </c>
      <c r="D6" t="s">
        <v>15</v>
      </c>
      <c r="E6" t="s">
        <v>35</v>
      </c>
      <c r="F6" t="s">
        <v>27</v>
      </c>
      <c r="G6" t="s">
        <v>32</v>
      </c>
      <c r="H6">
        <v>21</v>
      </c>
      <c r="I6">
        <v>4987</v>
      </c>
      <c r="J6">
        <v>106800</v>
      </c>
      <c r="K6">
        <v>74306</v>
      </c>
      <c r="L6">
        <v>32494</v>
      </c>
      <c r="M6">
        <v>113128</v>
      </c>
    </row>
    <row r="7" spans="1:13" x14ac:dyDescent="0.3">
      <c r="A7" t="s">
        <v>36</v>
      </c>
      <c r="B7" s="2">
        <v>45671</v>
      </c>
      <c r="C7" t="s">
        <v>37</v>
      </c>
      <c r="D7" t="s">
        <v>15</v>
      </c>
      <c r="E7" t="s">
        <v>26</v>
      </c>
      <c r="F7" t="s">
        <v>38</v>
      </c>
      <c r="G7" t="s">
        <v>39</v>
      </c>
      <c r="H7">
        <v>3</v>
      </c>
      <c r="I7">
        <v>2124</v>
      </c>
      <c r="J7">
        <v>7000</v>
      </c>
      <c r="K7">
        <v>4628</v>
      </c>
      <c r="L7">
        <v>2372</v>
      </c>
      <c r="M7">
        <v>6771</v>
      </c>
    </row>
    <row r="8" spans="1:13" x14ac:dyDescent="0.3">
      <c r="A8" t="s">
        <v>40</v>
      </c>
      <c r="B8" s="2">
        <v>45681</v>
      </c>
      <c r="C8" t="s">
        <v>41</v>
      </c>
      <c r="D8" t="s">
        <v>42</v>
      </c>
      <c r="E8" t="s">
        <v>16</v>
      </c>
      <c r="F8" t="s">
        <v>17</v>
      </c>
      <c r="G8" t="s">
        <v>43</v>
      </c>
      <c r="H8">
        <v>4</v>
      </c>
      <c r="I8">
        <v>4079</v>
      </c>
      <c r="J8">
        <v>17900</v>
      </c>
      <c r="K8">
        <v>13727</v>
      </c>
      <c r="L8">
        <v>4173</v>
      </c>
      <c r="M8">
        <v>20239</v>
      </c>
    </row>
    <row r="9" spans="1:13" x14ac:dyDescent="0.3">
      <c r="A9" t="s">
        <v>44</v>
      </c>
      <c r="B9" s="2">
        <v>45685</v>
      </c>
      <c r="C9" t="s">
        <v>45</v>
      </c>
      <c r="D9" t="s">
        <v>15</v>
      </c>
      <c r="E9" t="s">
        <v>26</v>
      </c>
      <c r="F9" t="s">
        <v>38</v>
      </c>
      <c r="G9" t="s">
        <v>46</v>
      </c>
      <c r="H9">
        <v>3</v>
      </c>
      <c r="I9">
        <v>3924</v>
      </c>
      <c r="J9">
        <v>12700</v>
      </c>
      <c r="K9">
        <v>9943</v>
      </c>
      <c r="L9">
        <v>2757</v>
      </c>
      <c r="M9">
        <v>13932</v>
      </c>
    </row>
    <row r="10" spans="1:13" x14ac:dyDescent="0.3">
      <c r="A10" t="s">
        <v>47</v>
      </c>
      <c r="B10" s="2">
        <v>45679</v>
      </c>
      <c r="C10" t="s">
        <v>48</v>
      </c>
      <c r="D10" t="s">
        <v>42</v>
      </c>
      <c r="E10" t="s">
        <v>16</v>
      </c>
      <c r="F10" t="s">
        <v>22</v>
      </c>
      <c r="G10" t="s">
        <v>49</v>
      </c>
      <c r="H10">
        <v>22</v>
      </c>
      <c r="I10">
        <v>4387</v>
      </c>
      <c r="J10">
        <v>99700</v>
      </c>
      <c r="K10">
        <v>77437</v>
      </c>
      <c r="L10">
        <v>22263</v>
      </c>
      <c r="M10">
        <v>97374</v>
      </c>
    </row>
    <row r="11" spans="1:13" x14ac:dyDescent="0.3">
      <c r="A11" t="s">
        <v>50</v>
      </c>
      <c r="B11" s="2">
        <v>45669</v>
      </c>
      <c r="C11" t="s">
        <v>51</v>
      </c>
      <c r="D11" t="s">
        <v>15</v>
      </c>
      <c r="E11" t="s">
        <v>21</v>
      </c>
      <c r="F11" t="s">
        <v>27</v>
      </c>
      <c r="G11" t="s">
        <v>28</v>
      </c>
      <c r="H11">
        <v>24</v>
      </c>
      <c r="I11">
        <v>1917</v>
      </c>
      <c r="J11">
        <v>47500</v>
      </c>
      <c r="K11">
        <v>34126</v>
      </c>
      <c r="L11">
        <v>13374</v>
      </c>
      <c r="M11">
        <v>51246</v>
      </c>
    </row>
    <row r="12" spans="1:13" x14ac:dyDescent="0.3">
      <c r="A12" t="s">
        <v>52</v>
      </c>
      <c r="B12" s="2">
        <v>45704</v>
      </c>
      <c r="C12" t="s">
        <v>53</v>
      </c>
      <c r="D12" t="s">
        <v>15</v>
      </c>
      <c r="E12" t="s">
        <v>35</v>
      </c>
      <c r="F12" t="s">
        <v>17</v>
      </c>
      <c r="G12" t="s">
        <v>18</v>
      </c>
      <c r="H12">
        <v>20</v>
      </c>
      <c r="I12">
        <v>3100</v>
      </c>
      <c r="J12">
        <v>63200</v>
      </c>
      <c r="K12">
        <v>44462</v>
      </c>
      <c r="L12">
        <v>18738</v>
      </c>
      <c r="M12">
        <v>55072</v>
      </c>
    </row>
    <row r="13" spans="1:13" x14ac:dyDescent="0.3">
      <c r="A13" t="s">
        <v>54</v>
      </c>
      <c r="B13" s="2">
        <v>45694</v>
      </c>
      <c r="C13" t="s">
        <v>55</v>
      </c>
      <c r="D13" t="s">
        <v>31</v>
      </c>
      <c r="E13" t="s">
        <v>16</v>
      </c>
      <c r="F13" t="s">
        <v>27</v>
      </c>
      <c r="G13" t="s">
        <v>28</v>
      </c>
      <c r="H13">
        <v>26</v>
      </c>
      <c r="I13">
        <v>4200</v>
      </c>
      <c r="J13">
        <v>111000</v>
      </c>
      <c r="K13">
        <v>85853</v>
      </c>
      <c r="L13">
        <v>25147</v>
      </c>
      <c r="M13">
        <v>102590</v>
      </c>
    </row>
    <row r="14" spans="1:13" x14ac:dyDescent="0.3">
      <c r="A14" t="s">
        <v>56</v>
      </c>
      <c r="B14" s="2">
        <v>45707</v>
      </c>
      <c r="C14" t="s">
        <v>57</v>
      </c>
      <c r="D14" t="s">
        <v>15</v>
      </c>
      <c r="E14" t="s">
        <v>16</v>
      </c>
      <c r="F14" t="s">
        <v>17</v>
      </c>
      <c r="G14" t="s">
        <v>43</v>
      </c>
      <c r="H14">
        <v>111</v>
      </c>
      <c r="I14">
        <v>1656</v>
      </c>
      <c r="J14">
        <v>184200</v>
      </c>
      <c r="K14">
        <v>127525</v>
      </c>
      <c r="L14">
        <v>56675</v>
      </c>
      <c r="M14">
        <v>182191</v>
      </c>
    </row>
    <row r="15" spans="1:13" x14ac:dyDescent="0.3">
      <c r="A15" t="s">
        <v>58</v>
      </c>
      <c r="B15" s="2">
        <v>45695</v>
      </c>
      <c r="C15" t="s">
        <v>59</v>
      </c>
      <c r="D15" t="s">
        <v>15</v>
      </c>
      <c r="E15" t="s">
        <v>35</v>
      </c>
      <c r="F15" t="s">
        <v>17</v>
      </c>
      <c r="G15" t="s">
        <v>43</v>
      </c>
      <c r="H15">
        <v>143</v>
      </c>
      <c r="I15">
        <v>1037</v>
      </c>
      <c r="J15">
        <v>149300</v>
      </c>
      <c r="K15">
        <v>114888</v>
      </c>
      <c r="L15">
        <v>34412</v>
      </c>
      <c r="M15">
        <v>167725</v>
      </c>
    </row>
    <row r="16" spans="1:13" x14ac:dyDescent="0.3">
      <c r="A16" t="s">
        <v>60</v>
      </c>
      <c r="B16" s="2">
        <v>45712</v>
      </c>
      <c r="C16" t="s">
        <v>61</v>
      </c>
      <c r="D16" t="s">
        <v>31</v>
      </c>
      <c r="E16" t="s">
        <v>35</v>
      </c>
      <c r="F16" t="s">
        <v>17</v>
      </c>
      <c r="G16" t="s">
        <v>62</v>
      </c>
      <c r="H16">
        <v>57</v>
      </c>
      <c r="I16">
        <v>1924</v>
      </c>
      <c r="J16">
        <v>110900</v>
      </c>
      <c r="K16">
        <v>82959</v>
      </c>
      <c r="L16">
        <v>27941</v>
      </c>
      <c r="M16">
        <v>108055</v>
      </c>
    </row>
    <row r="17" spans="1:13" x14ac:dyDescent="0.3">
      <c r="A17" t="s">
        <v>63</v>
      </c>
      <c r="B17" s="2">
        <v>45709</v>
      </c>
      <c r="C17" t="s">
        <v>64</v>
      </c>
      <c r="D17" t="s">
        <v>31</v>
      </c>
      <c r="E17" t="s">
        <v>26</v>
      </c>
      <c r="F17" t="s">
        <v>38</v>
      </c>
      <c r="G17" t="s">
        <v>65</v>
      </c>
      <c r="H17">
        <v>89</v>
      </c>
      <c r="I17">
        <v>1390</v>
      </c>
      <c r="J17">
        <v>124000</v>
      </c>
      <c r="K17">
        <v>90835</v>
      </c>
      <c r="L17">
        <v>33165</v>
      </c>
      <c r="M17">
        <v>108456</v>
      </c>
    </row>
    <row r="18" spans="1:13" x14ac:dyDescent="0.3">
      <c r="A18" t="s">
        <v>66</v>
      </c>
      <c r="B18" s="2">
        <v>45702</v>
      </c>
      <c r="C18" t="s">
        <v>67</v>
      </c>
      <c r="D18" t="s">
        <v>31</v>
      </c>
      <c r="E18" t="s">
        <v>21</v>
      </c>
      <c r="F18" t="s">
        <v>27</v>
      </c>
      <c r="G18" t="s">
        <v>68</v>
      </c>
      <c r="H18">
        <v>194</v>
      </c>
      <c r="I18">
        <v>942</v>
      </c>
      <c r="J18">
        <v>182800</v>
      </c>
      <c r="K18">
        <v>120981</v>
      </c>
      <c r="L18">
        <v>61819</v>
      </c>
      <c r="M18">
        <v>183770</v>
      </c>
    </row>
    <row r="19" spans="1:13" x14ac:dyDescent="0.3">
      <c r="A19" t="s">
        <v>69</v>
      </c>
      <c r="B19" s="2">
        <v>45694</v>
      </c>
      <c r="C19" t="s">
        <v>70</v>
      </c>
      <c r="D19" t="s">
        <v>15</v>
      </c>
      <c r="E19" t="s">
        <v>35</v>
      </c>
      <c r="F19" t="s">
        <v>22</v>
      </c>
      <c r="G19" t="s">
        <v>71</v>
      </c>
      <c r="H19">
        <v>40</v>
      </c>
      <c r="I19">
        <v>3326</v>
      </c>
      <c r="J19">
        <v>134100</v>
      </c>
      <c r="K19">
        <v>91055</v>
      </c>
      <c r="L19">
        <v>43045</v>
      </c>
      <c r="M19">
        <v>120318</v>
      </c>
    </row>
    <row r="20" spans="1:13" x14ac:dyDescent="0.3">
      <c r="A20" t="s">
        <v>72</v>
      </c>
      <c r="B20" s="2">
        <v>45710</v>
      </c>
      <c r="C20" t="s">
        <v>73</v>
      </c>
      <c r="D20" t="s">
        <v>42</v>
      </c>
      <c r="E20" t="s">
        <v>16</v>
      </c>
      <c r="F20" t="s">
        <v>17</v>
      </c>
      <c r="G20" t="s">
        <v>74</v>
      </c>
      <c r="H20">
        <v>43</v>
      </c>
      <c r="I20">
        <v>4108</v>
      </c>
      <c r="J20">
        <v>179800</v>
      </c>
      <c r="K20">
        <v>140455</v>
      </c>
      <c r="L20">
        <v>39345</v>
      </c>
      <c r="M20">
        <v>187106</v>
      </c>
    </row>
    <row r="21" spans="1:13" x14ac:dyDescent="0.3">
      <c r="A21" t="s">
        <v>75</v>
      </c>
      <c r="B21" s="2">
        <v>45698</v>
      </c>
      <c r="C21" t="s">
        <v>76</v>
      </c>
      <c r="D21" t="s">
        <v>15</v>
      </c>
      <c r="E21" t="s">
        <v>26</v>
      </c>
      <c r="F21" t="s">
        <v>27</v>
      </c>
      <c r="G21" t="s">
        <v>77</v>
      </c>
      <c r="H21">
        <v>14</v>
      </c>
      <c r="I21">
        <v>1545</v>
      </c>
      <c r="J21">
        <v>22300</v>
      </c>
      <c r="K21">
        <v>16415</v>
      </c>
      <c r="L21">
        <v>5885</v>
      </c>
      <c r="M21">
        <v>24990</v>
      </c>
    </row>
    <row r="22" spans="1:13" x14ac:dyDescent="0.3">
      <c r="A22" t="s">
        <v>78</v>
      </c>
      <c r="B22" s="2">
        <v>45738</v>
      </c>
      <c r="C22" t="s">
        <v>79</v>
      </c>
      <c r="D22" t="s">
        <v>31</v>
      </c>
      <c r="E22" t="s">
        <v>21</v>
      </c>
      <c r="F22" t="s">
        <v>17</v>
      </c>
      <c r="G22" t="s">
        <v>62</v>
      </c>
      <c r="H22">
        <v>9</v>
      </c>
      <c r="I22">
        <v>4690</v>
      </c>
      <c r="J22">
        <v>45400</v>
      </c>
      <c r="K22">
        <v>30867</v>
      </c>
      <c r="L22">
        <v>14533</v>
      </c>
      <c r="M22">
        <v>48093</v>
      </c>
    </row>
    <row r="23" spans="1:13" x14ac:dyDescent="0.3">
      <c r="A23" t="s">
        <v>80</v>
      </c>
      <c r="B23" s="2">
        <v>45743</v>
      </c>
      <c r="C23" t="s">
        <v>81</v>
      </c>
      <c r="D23" t="s">
        <v>31</v>
      </c>
      <c r="E23" t="s">
        <v>21</v>
      </c>
      <c r="F23" t="s">
        <v>27</v>
      </c>
      <c r="G23" t="s">
        <v>77</v>
      </c>
      <c r="H23">
        <v>5</v>
      </c>
      <c r="I23">
        <v>2411</v>
      </c>
      <c r="J23">
        <v>12900</v>
      </c>
      <c r="K23">
        <v>8567</v>
      </c>
      <c r="L23">
        <v>4333</v>
      </c>
      <c r="M23">
        <v>11192</v>
      </c>
    </row>
    <row r="24" spans="1:13" x14ac:dyDescent="0.3">
      <c r="A24" t="s">
        <v>82</v>
      </c>
      <c r="B24" s="2">
        <v>45718</v>
      </c>
      <c r="C24" t="s">
        <v>83</v>
      </c>
      <c r="D24" t="s">
        <v>31</v>
      </c>
      <c r="E24" t="s">
        <v>16</v>
      </c>
      <c r="F24" t="s">
        <v>22</v>
      </c>
      <c r="G24" t="s">
        <v>49</v>
      </c>
      <c r="H24">
        <v>33</v>
      </c>
      <c r="I24">
        <v>4120</v>
      </c>
      <c r="J24">
        <v>138200</v>
      </c>
      <c r="K24">
        <v>94813</v>
      </c>
      <c r="L24">
        <v>43387</v>
      </c>
      <c r="M24">
        <v>139300</v>
      </c>
    </row>
    <row r="25" spans="1:13" x14ac:dyDescent="0.3">
      <c r="A25" t="s">
        <v>84</v>
      </c>
      <c r="B25" s="2">
        <v>45736</v>
      </c>
      <c r="C25" t="s">
        <v>85</v>
      </c>
      <c r="D25" t="s">
        <v>42</v>
      </c>
      <c r="E25" t="s">
        <v>21</v>
      </c>
      <c r="F25" t="s">
        <v>38</v>
      </c>
      <c r="G25" t="s">
        <v>46</v>
      </c>
      <c r="H25">
        <v>27</v>
      </c>
      <c r="I25">
        <v>4016</v>
      </c>
      <c r="J25">
        <v>111900</v>
      </c>
      <c r="K25">
        <v>87062</v>
      </c>
      <c r="L25">
        <v>24838</v>
      </c>
      <c r="M25">
        <v>105273</v>
      </c>
    </row>
    <row r="26" spans="1:13" x14ac:dyDescent="0.3">
      <c r="A26" t="s">
        <v>86</v>
      </c>
      <c r="B26" s="2">
        <v>45722</v>
      </c>
      <c r="C26" t="s">
        <v>87</v>
      </c>
      <c r="D26" t="s">
        <v>31</v>
      </c>
      <c r="E26" t="s">
        <v>16</v>
      </c>
      <c r="F26" t="s">
        <v>17</v>
      </c>
      <c r="G26" t="s">
        <v>18</v>
      </c>
      <c r="H26">
        <v>32</v>
      </c>
      <c r="I26">
        <v>2802</v>
      </c>
      <c r="J26">
        <v>90600</v>
      </c>
      <c r="K26">
        <v>67832</v>
      </c>
      <c r="L26">
        <v>22768</v>
      </c>
      <c r="M26">
        <v>99508</v>
      </c>
    </row>
    <row r="27" spans="1:13" x14ac:dyDescent="0.3">
      <c r="A27" t="s">
        <v>88</v>
      </c>
      <c r="B27" s="2">
        <v>45724</v>
      </c>
      <c r="C27" t="s">
        <v>89</v>
      </c>
      <c r="D27" t="s">
        <v>31</v>
      </c>
      <c r="E27" t="s">
        <v>16</v>
      </c>
      <c r="F27" t="s">
        <v>17</v>
      </c>
      <c r="G27" t="s">
        <v>62</v>
      </c>
      <c r="H27">
        <v>15</v>
      </c>
      <c r="I27">
        <v>3494</v>
      </c>
      <c r="J27">
        <v>53800</v>
      </c>
      <c r="K27">
        <v>40925</v>
      </c>
      <c r="L27">
        <v>12875</v>
      </c>
      <c r="M27">
        <v>60553</v>
      </c>
    </row>
    <row r="28" spans="1:13" x14ac:dyDescent="0.3">
      <c r="A28" t="s">
        <v>90</v>
      </c>
      <c r="B28" s="2">
        <v>45733</v>
      </c>
      <c r="C28" t="s">
        <v>91</v>
      </c>
      <c r="D28" t="s">
        <v>42</v>
      </c>
      <c r="E28" t="s">
        <v>21</v>
      </c>
      <c r="F28" t="s">
        <v>17</v>
      </c>
      <c r="G28" t="s">
        <v>74</v>
      </c>
      <c r="H28">
        <v>28</v>
      </c>
      <c r="I28">
        <v>4913</v>
      </c>
      <c r="J28">
        <v>141500</v>
      </c>
      <c r="K28">
        <v>109921</v>
      </c>
      <c r="L28">
        <v>31579</v>
      </c>
      <c r="M28">
        <v>159303</v>
      </c>
    </row>
    <row r="29" spans="1:13" x14ac:dyDescent="0.3">
      <c r="A29" t="s">
        <v>92</v>
      </c>
      <c r="B29" s="2">
        <v>45739</v>
      </c>
      <c r="C29" t="s">
        <v>93</v>
      </c>
      <c r="D29" t="s">
        <v>31</v>
      </c>
      <c r="E29" t="s">
        <v>26</v>
      </c>
      <c r="F29" t="s">
        <v>17</v>
      </c>
      <c r="G29" t="s">
        <v>74</v>
      </c>
      <c r="H29">
        <v>12</v>
      </c>
      <c r="I29">
        <v>4420</v>
      </c>
      <c r="J29">
        <v>57200</v>
      </c>
      <c r="K29">
        <v>38550</v>
      </c>
      <c r="L29">
        <v>18650</v>
      </c>
      <c r="M29">
        <v>58901</v>
      </c>
    </row>
    <row r="30" spans="1:13" x14ac:dyDescent="0.3">
      <c r="A30" t="s">
        <v>94</v>
      </c>
      <c r="B30" s="2">
        <v>45738</v>
      </c>
      <c r="C30" t="s">
        <v>95</v>
      </c>
      <c r="D30" t="s">
        <v>31</v>
      </c>
      <c r="E30" t="s">
        <v>16</v>
      </c>
      <c r="F30" t="s">
        <v>38</v>
      </c>
      <c r="G30" t="s">
        <v>39</v>
      </c>
      <c r="H30">
        <v>32</v>
      </c>
      <c r="I30">
        <v>3591</v>
      </c>
      <c r="J30">
        <v>116000</v>
      </c>
      <c r="K30">
        <v>80127</v>
      </c>
      <c r="L30">
        <v>35873</v>
      </c>
      <c r="M30">
        <v>106616</v>
      </c>
    </row>
    <row r="31" spans="1:13" x14ac:dyDescent="0.3">
      <c r="A31" t="s">
        <v>96</v>
      </c>
      <c r="B31" s="2">
        <v>45737</v>
      </c>
      <c r="C31" t="s">
        <v>97</v>
      </c>
      <c r="D31" t="s">
        <v>31</v>
      </c>
      <c r="E31" t="s">
        <v>21</v>
      </c>
      <c r="F31" t="s">
        <v>17</v>
      </c>
      <c r="G31" t="s">
        <v>18</v>
      </c>
      <c r="H31">
        <v>26</v>
      </c>
      <c r="I31">
        <v>4962</v>
      </c>
      <c r="J31">
        <v>133800</v>
      </c>
      <c r="K31">
        <v>106471</v>
      </c>
      <c r="L31">
        <v>27329</v>
      </c>
      <c r="M31">
        <v>131647</v>
      </c>
    </row>
    <row r="32" spans="1:13" x14ac:dyDescent="0.3">
      <c r="A32" t="s">
        <v>98</v>
      </c>
      <c r="B32" s="2">
        <v>45748</v>
      </c>
      <c r="C32" t="s">
        <v>99</v>
      </c>
      <c r="D32" t="s">
        <v>42</v>
      </c>
      <c r="E32" t="s">
        <v>21</v>
      </c>
      <c r="F32" t="s">
        <v>17</v>
      </c>
      <c r="G32" t="s">
        <v>62</v>
      </c>
      <c r="H32">
        <v>41</v>
      </c>
      <c r="I32">
        <v>3045</v>
      </c>
      <c r="J32">
        <v>126600</v>
      </c>
      <c r="K32">
        <v>85258</v>
      </c>
      <c r="L32">
        <v>41342</v>
      </c>
      <c r="M32">
        <v>123572</v>
      </c>
    </row>
    <row r="33" spans="1:13" x14ac:dyDescent="0.3">
      <c r="A33" t="s">
        <v>100</v>
      </c>
      <c r="B33" s="2">
        <v>45751</v>
      </c>
      <c r="C33" t="s">
        <v>101</v>
      </c>
      <c r="D33" t="s">
        <v>15</v>
      </c>
      <c r="E33" t="s">
        <v>35</v>
      </c>
      <c r="F33" t="s">
        <v>22</v>
      </c>
      <c r="G33" t="s">
        <v>102</v>
      </c>
      <c r="H33">
        <v>26</v>
      </c>
      <c r="I33">
        <v>4254</v>
      </c>
      <c r="J33">
        <v>112900</v>
      </c>
      <c r="K33">
        <v>83967</v>
      </c>
      <c r="L33">
        <v>28933</v>
      </c>
      <c r="M33">
        <v>98692</v>
      </c>
    </row>
    <row r="34" spans="1:13" x14ac:dyDescent="0.3">
      <c r="A34" t="s">
        <v>103</v>
      </c>
      <c r="B34" s="2">
        <v>45767</v>
      </c>
      <c r="C34" t="s">
        <v>104</v>
      </c>
      <c r="D34" t="s">
        <v>15</v>
      </c>
      <c r="E34" t="s">
        <v>35</v>
      </c>
      <c r="F34" t="s">
        <v>17</v>
      </c>
      <c r="G34" t="s">
        <v>18</v>
      </c>
      <c r="H34">
        <v>78</v>
      </c>
      <c r="I34">
        <v>1152</v>
      </c>
      <c r="J34">
        <v>90800</v>
      </c>
      <c r="K34">
        <v>61254</v>
      </c>
      <c r="L34">
        <v>29546</v>
      </c>
      <c r="M34">
        <v>84507</v>
      </c>
    </row>
    <row r="35" spans="1:13" x14ac:dyDescent="0.3">
      <c r="A35" t="s">
        <v>105</v>
      </c>
      <c r="B35" s="2">
        <v>45764</v>
      </c>
      <c r="C35" t="s">
        <v>106</v>
      </c>
      <c r="D35" t="s">
        <v>15</v>
      </c>
      <c r="E35" t="s">
        <v>35</v>
      </c>
      <c r="F35" t="s">
        <v>27</v>
      </c>
      <c r="G35" t="s">
        <v>28</v>
      </c>
      <c r="H35">
        <v>33</v>
      </c>
      <c r="I35">
        <v>4151</v>
      </c>
      <c r="J35">
        <v>138800</v>
      </c>
      <c r="K35">
        <v>110358</v>
      </c>
      <c r="L35">
        <v>28442</v>
      </c>
      <c r="M35">
        <v>127876</v>
      </c>
    </row>
    <row r="36" spans="1:13" x14ac:dyDescent="0.3">
      <c r="A36" t="s">
        <v>107</v>
      </c>
      <c r="B36" s="2">
        <v>45759</v>
      </c>
      <c r="C36" t="s">
        <v>108</v>
      </c>
      <c r="D36" t="s">
        <v>15</v>
      </c>
      <c r="E36" t="s">
        <v>16</v>
      </c>
      <c r="F36" t="s">
        <v>22</v>
      </c>
      <c r="G36" t="s">
        <v>71</v>
      </c>
      <c r="H36">
        <v>74</v>
      </c>
      <c r="I36">
        <v>2183</v>
      </c>
      <c r="J36">
        <v>162200</v>
      </c>
      <c r="K36">
        <v>128012</v>
      </c>
      <c r="L36">
        <v>34188</v>
      </c>
      <c r="M36">
        <v>138879</v>
      </c>
    </row>
    <row r="37" spans="1:13" x14ac:dyDescent="0.3">
      <c r="A37" t="s">
        <v>109</v>
      </c>
      <c r="B37" s="2">
        <v>45775</v>
      </c>
      <c r="C37" t="s">
        <v>110</v>
      </c>
      <c r="D37" t="s">
        <v>42</v>
      </c>
      <c r="E37" t="s">
        <v>21</v>
      </c>
      <c r="F37" t="s">
        <v>27</v>
      </c>
      <c r="G37" t="s">
        <v>32</v>
      </c>
      <c r="H37">
        <v>35</v>
      </c>
      <c r="I37">
        <v>3643</v>
      </c>
      <c r="J37">
        <v>128900</v>
      </c>
      <c r="K37">
        <v>102497</v>
      </c>
      <c r="L37">
        <v>26403</v>
      </c>
      <c r="M37">
        <v>136791</v>
      </c>
    </row>
    <row r="38" spans="1:13" x14ac:dyDescent="0.3">
      <c r="A38" t="s">
        <v>111</v>
      </c>
      <c r="B38" s="2">
        <v>45769</v>
      </c>
      <c r="C38" t="s">
        <v>112</v>
      </c>
      <c r="D38" t="s">
        <v>15</v>
      </c>
      <c r="E38" t="s">
        <v>21</v>
      </c>
      <c r="F38" t="s">
        <v>38</v>
      </c>
      <c r="G38" t="s">
        <v>113</v>
      </c>
      <c r="H38">
        <v>37</v>
      </c>
      <c r="I38">
        <v>3768</v>
      </c>
      <c r="J38">
        <v>139600</v>
      </c>
      <c r="K38">
        <v>108198</v>
      </c>
      <c r="L38">
        <v>31402</v>
      </c>
      <c r="M38">
        <v>124488</v>
      </c>
    </row>
    <row r="39" spans="1:13" x14ac:dyDescent="0.3">
      <c r="A39" t="s">
        <v>114</v>
      </c>
      <c r="B39" s="2">
        <v>45759</v>
      </c>
      <c r="C39" t="s">
        <v>115</v>
      </c>
      <c r="D39" t="s">
        <v>31</v>
      </c>
      <c r="E39" t="s">
        <v>16</v>
      </c>
      <c r="F39" t="s">
        <v>27</v>
      </c>
      <c r="G39" t="s">
        <v>28</v>
      </c>
      <c r="H39">
        <v>29</v>
      </c>
      <c r="I39">
        <v>2619</v>
      </c>
      <c r="J39">
        <v>76500</v>
      </c>
      <c r="K39">
        <v>51341</v>
      </c>
      <c r="L39">
        <v>25159</v>
      </c>
      <c r="M39">
        <v>86865</v>
      </c>
    </row>
    <row r="40" spans="1:13" x14ac:dyDescent="0.3">
      <c r="A40" t="s">
        <v>116</v>
      </c>
      <c r="B40" s="2">
        <v>45763</v>
      </c>
      <c r="C40" t="s">
        <v>117</v>
      </c>
      <c r="D40" t="s">
        <v>42</v>
      </c>
      <c r="E40" t="s">
        <v>35</v>
      </c>
      <c r="F40" t="s">
        <v>22</v>
      </c>
      <c r="G40" t="s">
        <v>71</v>
      </c>
      <c r="H40">
        <v>19</v>
      </c>
      <c r="I40">
        <v>4283</v>
      </c>
      <c r="J40">
        <v>85500</v>
      </c>
      <c r="K40">
        <v>57648</v>
      </c>
      <c r="L40">
        <v>27852</v>
      </c>
      <c r="M40">
        <v>72835</v>
      </c>
    </row>
    <row r="41" spans="1:13" x14ac:dyDescent="0.3">
      <c r="A41" t="s">
        <v>118</v>
      </c>
      <c r="B41" s="2">
        <v>45769</v>
      </c>
      <c r="C41" t="s">
        <v>119</v>
      </c>
      <c r="D41" t="s">
        <v>42</v>
      </c>
      <c r="E41" t="s">
        <v>16</v>
      </c>
      <c r="F41" t="s">
        <v>27</v>
      </c>
      <c r="G41" t="s">
        <v>68</v>
      </c>
      <c r="H41">
        <v>46</v>
      </c>
      <c r="I41">
        <v>3531</v>
      </c>
      <c r="J41">
        <v>162800</v>
      </c>
      <c r="K41">
        <v>117097</v>
      </c>
      <c r="L41">
        <v>45703</v>
      </c>
      <c r="M41">
        <v>138953</v>
      </c>
    </row>
    <row r="42" spans="1:13" x14ac:dyDescent="0.3">
      <c r="A42" t="s">
        <v>120</v>
      </c>
      <c r="B42" s="2">
        <v>45798</v>
      </c>
      <c r="C42" t="s">
        <v>121</v>
      </c>
      <c r="D42" t="s">
        <v>15</v>
      </c>
      <c r="E42" t="s">
        <v>26</v>
      </c>
      <c r="F42" t="s">
        <v>27</v>
      </c>
      <c r="G42" t="s">
        <v>77</v>
      </c>
      <c r="H42">
        <v>99</v>
      </c>
      <c r="I42">
        <v>1816</v>
      </c>
      <c r="J42">
        <v>180000</v>
      </c>
      <c r="K42">
        <v>121472</v>
      </c>
      <c r="L42">
        <v>58528</v>
      </c>
      <c r="M42">
        <v>162711</v>
      </c>
    </row>
    <row r="43" spans="1:13" x14ac:dyDescent="0.3">
      <c r="A43" t="s">
        <v>122</v>
      </c>
      <c r="B43" s="2">
        <v>45796</v>
      </c>
      <c r="C43" t="s">
        <v>123</v>
      </c>
      <c r="D43" t="s">
        <v>15</v>
      </c>
      <c r="E43" t="s">
        <v>21</v>
      </c>
      <c r="F43" t="s">
        <v>27</v>
      </c>
      <c r="G43" t="s">
        <v>32</v>
      </c>
      <c r="H43">
        <v>37</v>
      </c>
      <c r="I43">
        <v>1658</v>
      </c>
      <c r="J43">
        <v>61700</v>
      </c>
      <c r="K43">
        <v>44306</v>
      </c>
      <c r="L43">
        <v>17394</v>
      </c>
      <c r="M43">
        <v>61210</v>
      </c>
    </row>
    <row r="44" spans="1:13" x14ac:dyDescent="0.3">
      <c r="A44" t="s">
        <v>124</v>
      </c>
      <c r="B44" s="2">
        <v>45779</v>
      </c>
      <c r="C44" t="s">
        <v>125</v>
      </c>
      <c r="D44" t="s">
        <v>15</v>
      </c>
      <c r="E44" t="s">
        <v>21</v>
      </c>
      <c r="F44" t="s">
        <v>27</v>
      </c>
      <c r="G44" t="s">
        <v>68</v>
      </c>
      <c r="H44">
        <v>54</v>
      </c>
      <c r="I44">
        <v>2813</v>
      </c>
      <c r="J44">
        <v>153300</v>
      </c>
      <c r="K44">
        <v>108294</v>
      </c>
      <c r="L44">
        <v>45006</v>
      </c>
      <c r="M44">
        <v>153290</v>
      </c>
    </row>
    <row r="45" spans="1:13" x14ac:dyDescent="0.3">
      <c r="A45" t="s">
        <v>126</v>
      </c>
      <c r="B45" s="2">
        <v>45805</v>
      </c>
      <c r="C45" t="s">
        <v>127</v>
      </c>
      <c r="D45" t="s">
        <v>15</v>
      </c>
      <c r="E45" t="s">
        <v>26</v>
      </c>
      <c r="F45" t="s">
        <v>27</v>
      </c>
      <c r="G45" t="s">
        <v>68</v>
      </c>
      <c r="H45">
        <v>78</v>
      </c>
      <c r="I45">
        <v>2345</v>
      </c>
      <c r="J45">
        <v>183600</v>
      </c>
      <c r="K45">
        <v>146176</v>
      </c>
      <c r="L45">
        <v>37424</v>
      </c>
      <c r="M45">
        <v>163516</v>
      </c>
    </row>
    <row r="46" spans="1:13" x14ac:dyDescent="0.3">
      <c r="A46" t="s">
        <v>128</v>
      </c>
      <c r="B46" s="2">
        <v>45784</v>
      </c>
      <c r="C46" t="s">
        <v>129</v>
      </c>
      <c r="D46" t="s">
        <v>42</v>
      </c>
      <c r="E46" t="s">
        <v>21</v>
      </c>
      <c r="F46" t="s">
        <v>22</v>
      </c>
      <c r="G46" t="s">
        <v>49</v>
      </c>
      <c r="H46">
        <v>55</v>
      </c>
      <c r="I46">
        <v>1437</v>
      </c>
      <c r="J46">
        <v>79600</v>
      </c>
      <c r="K46">
        <v>60179</v>
      </c>
      <c r="L46">
        <v>19421</v>
      </c>
      <c r="M46">
        <v>70029</v>
      </c>
    </row>
    <row r="47" spans="1:13" x14ac:dyDescent="0.3">
      <c r="A47" t="s">
        <v>130</v>
      </c>
      <c r="B47" s="2">
        <v>45784</v>
      </c>
      <c r="C47" t="s">
        <v>131</v>
      </c>
      <c r="D47" t="s">
        <v>42</v>
      </c>
      <c r="E47" t="s">
        <v>35</v>
      </c>
      <c r="F47" t="s">
        <v>22</v>
      </c>
      <c r="G47" t="s">
        <v>23</v>
      </c>
      <c r="H47">
        <v>58</v>
      </c>
      <c r="I47">
        <v>2460</v>
      </c>
      <c r="J47">
        <v>144600</v>
      </c>
      <c r="K47">
        <v>100608</v>
      </c>
      <c r="L47">
        <v>43992</v>
      </c>
      <c r="M47">
        <v>154527</v>
      </c>
    </row>
    <row r="48" spans="1:13" x14ac:dyDescent="0.3">
      <c r="A48" t="s">
        <v>132</v>
      </c>
      <c r="B48" s="2">
        <v>45786</v>
      </c>
      <c r="C48" t="s">
        <v>133</v>
      </c>
      <c r="D48" t="s">
        <v>42</v>
      </c>
      <c r="E48" t="s">
        <v>35</v>
      </c>
      <c r="F48" t="s">
        <v>27</v>
      </c>
      <c r="G48" t="s">
        <v>77</v>
      </c>
      <c r="H48">
        <v>33</v>
      </c>
      <c r="I48">
        <v>4201</v>
      </c>
      <c r="J48">
        <v>141200</v>
      </c>
      <c r="K48">
        <v>101494</v>
      </c>
      <c r="L48">
        <v>39706</v>
      </c>
      <c r="M48">
        <v>156699</v>
      </c>
    </row>
    <row r="49" spans="1:13" x14ac:dyDescent="0.3">
      <c r="A49" t="s">
        <v>134</v>
      </c>
      <c r="B49" s="2">
        <v>45778</v>
      </c>
      <c r="C49" t="s">
        <v>135</v>
      </c>
      <c r="D49" t="s">
        <v>42</v>
      </c>
      <c r="E49" t="s">
        <v>16</v>
      </c>
      <c r="F49" t="s">
        <v>22</v>
      </c>
      <c r="G49" t="s">
        <v>71</v>
      </c>
      <c r="H49">
        <v>31</v>
      </c>
      <c r="I49">
        <v>4350</v>
      </c>
      <c r="J49">
        <v>138600</v>
      </c>
      <c r="K49">
        <v>93077</v>
      </c>
      <c r="L49">
        <v>45523</v>
      </c>
      <c r="M49">
        <v>118288</v>
      </c>
    </row>
    <row r="50" spans="1:13" x14ac:dyDescent="0.3">
      <c r="A50" t="s">
        <v>136</v>
      </c>
      <c r="B50" s="2">
        <v>45790</v>
      </c>
      <c r="C50" t="s">
        <v>137</v>
      </c>
      <c r="D50" t="s">
        <v>42</v>
      </c>
      <c r="E50" t="s">
        <v>35</v>
      </c>
      <c r="F50" t="s">
        <v>22</v>
      </c>
      <c r="G50" t="s">
        <v>102</v>
      </c>
      <c r="H50">
        <v>107</v>
      </c>
      <c r="I50">
        <v>637</v>
      </c>
      <c r="J50">
        <v>68300</v>
      </c>
      <c r="K50">
        <v>52642</v>
      </c>
      <c r="L50">
        <v>15658</v>
      </c>
      <c r="M50">
        <v>62270</v>
      </c>
    </row>
    <row r="51" spans="1:13" x14ac:dyDescent="0.3">
      <c r="A51" t="s">
        <v>138</v>
      </c>
      <c r="B51" s="2">
        <v>45796</v>
      </c>
      <c r="C51" t="s">
        <v>139</v>
      </c>
      <c r="D51" t="s">
        <v>42</v>
      </c>
      <c r="E51" t="s">
        <v>16</v>
      </c>
      <c r="F51" t="s">
        <v>17</v>
      </c>
      <c r="G51" t="s">
        <v>74</v>
      </c>
      <c r="H51">
        <v>6</v>
      </c>
      <c r="I51">
        <v>4759</v>
      </c>
      <c r="J51">
        <v>28800</v>
      </c>
      <c r="K51">
        <v>21394</v>
      </c>
      <c r="L51">
        <v>7406</v>
      </c>
      <c r="M51">
        <v>32426</v>
      </c>
    </row>
    <row r="52" spans="1:13" x14ac:dyDescent="0.3">
      <c r="A52" t="s">
        <v>140</v>
      </c>
      <c r="B52" s="2">
        <v>45833</v>
      </c>
      <c r="C52" t="s">
        <v>141</v>
      </c>
      <c r="D52" t="s">
        <v>31</v>
      </c>
      <c r="E52" t="s">
        <v>26</v>
      </c>
      <c r="F52" t="s">
        <v>27</v>
      </c>
      <c r="G52" t="s">
        <v>68</v>
      </c>
      <c r="H52">
        <v>16</v>
      </c>
      <c r="I52">
        <v>3957</v>
      </c>
      <c r="J52">
        <v>63500</v>
      </c>
      <c r="K52">
        <v>43113</v>
      </c>
      <c r="L52">
        <v>20387</v>
      </c>
      <c r="M52">
        <v>71685</v>
      </c>
    </row>
    <row r="53" spans="1:13" x14ac:dyDescent="0.3">
      <c r="A53" t="s">
        <v>142</v>
      </c>
      <c r="B53" s="2">
        <v>45834</v>
      </c>
      <c r="C53" t="s">
        <v>143</v>
      </c>
      <c r="D53" t="s">
        <v>15</v>
      </c>
      <c r="E53" t="s">
        <v>16</v>
      </c>
      <c r="F53" t="s">
        <v>22</v>
      </c>
      <c r="G53" t="s">
        <v>71</v>
      </c>
      <c r="H53">
        <v>46</v>
      </c>
      <c r="I53">
        <v>4051</v>
      </c>
      <c r="J53">
        <v>189900</v>
      </c>
      <c r="K53">
        <v>123871</v>
      </c>
      <c r="L53">
        <v>66029</v>
      </c>
      <c r="M53">
        <v>201008</v>
      </c>
    </row>
    <row r="54" spans="1:13" x14ac:dyDescent="0.3">
      <c r="A54" t="s">
        <v>144</v>
      </c>
      <c r="B54" s="2">
        <v>45815</v>
      </c>
      <c r="C54" t="s">
        <v>145</v>
      </c>
      <c r="D54" t="s">
        <v>42</v>
      </c>
      <c r="E54" t="s">
        <v>26</v>
      </c>
      <c r="F54" t="s">
        <v>17</v>
      </c>
      <c r="G54" t="s">
        <v>74</v>
      </c>
      <c r="H54">
        <v>7</v>
      </c>
      <c r="I54">
        <v>3701</v>
      </c>
      <c r="J54">
        <v>28000</v>
      </c>
      <c r="K54">
        <v>20667</v>
      </c>
      <c r="L54">
        <v>7333</v>
      </c>
      <c r="M54">
        <v>32055</v>
      </c>
    </row>
    <row r="55" spans="1:13" x14ac:dyDescent="0.3">
      <c r="A55" t="s">
        <v>146</v>
      </c>
      <c r="B55" s="2">
        <v>45825</v>
      </c>
      <c r="C55" t="s">
        <v>147</v>
      </c>
      <c r="D55" t="s">
        <v>15</v>
      </c>
      <c r="E55" t="s">
        <v>16</v>
      </c>
      <c r="F55" t="s">
        <v>27</v>
      </c>
      <c r="G55" t="s">
        <v>32</v>
      </c>
      <c r="H55">
        <v>20</v>
      </c>
      <c r="I55">
        <v>1791</v>
      </c>
      <c r="J55">
        <v>37200</v>
      </c>
      <c r="K55">
        <v>27989</v>
      </c>
      <c r="L55">
        <v>9211</v>
      </c>
      <c r="M55">
        <v>34655</v>
      </c>
    </row>
    <row r="56" spans="1:13" x14ac:dyDescent="0.3">
      <c r="A56" t="s">
        <v>148</v>
      </c>
      <c r="B56" s="2">
        <v>45815</v>
      </c>
      <c r="C56" t="s">
        <v>149</v>
      </c>
      <c r="D56" t="s">
        <v>31</v>
      </c>
      <c r="E56" t="s">
        <v>35</v>
      </c>
      <c r="F56" t="s">
        <v>27</v>
      </c>
      <c r="G56" t="s">
        <v>32</v>
      </c>
      <c r="H56">
        <v>42</v>
      </c>
      <c r="I56">
        <v>3574</v>
      </c>
      <c r="J56">
        <v>151300</v>
      </c>
      <c r="K56">
        <v>116953</v>
      </c>
      <c r="L56">
        <v>34347</v>
      </c>
      <c r="M56">
        <v>150793</v>
      </c>
    </row>
    <row r="57" spans="1:13" x14ac:dyDescent="0.3">
      <c r="A57" t="s">
        <v>150</v>
      </c>
      <c r="B57" s="2">
        <v>45836</v>
      </c>
      <c r="C57" t="s">
        <v>151</v>
      </c>
      <c r="D57" t="s">
        <v>42</v>
      </c>
      <c r="E57" t="s">
        <v>16</v>
      </c>
      <c r="F57" t="s">
        <v>27</v>
      </c>
      <c r="G57" t="s">
        <v>32</v>
      </c>
      <c r="H57">
        <v>43</v>
      </c>
      <c r="I57">
        <v>4535</v>
      </c>
      <c r="J57">
        <v>197900</v>
      </c>
      <c r="K57">
        <v>153216</v>
      </c>
      <c r="L57">
        <v>44684</v>
      </c>
      <c r="M57">
        <v>222238</v>
      </c>
    </row>
    <row r="58" spans="1:13" x14ac:dyDescent="0.3">
      <c r="A58" t="s">
        <v>152</v>
      </c>
      <c r="B58" s="2">
        <v>45833</v>
      </c>
      <c r="C58" t="s">
        <v>153</v>
      </c>
      <c r="D58" t="s">
        <v>15</v>
      </c>
      <c r="E58" t="s">
        <v>26</v>
      </c>
      <c r="F58" t="s">
        <v>22</v>
      </c>
      <c r="G58" t="s">
        <v>71</v>
      </c>
      <c r="H58">
        <v>15</v>
      </c>
      <c r="I58">
        <v>2759</v>
      </c>
      <c r="J58">
        <v>41600</v>
      </c>
      <c r="K58">
        <v>27282</v>
      </c>
      <c r="L58">
        <v>14318</v>
      </c>
      <c r="M58">
        <v>45281</v>
      </c>
    </row>
    <row r="59" spans="1:13" x14ac:dyDescent="0.3">
      <c r="A59" t="s">
        <v>154</v>
      </c>
      <c r="B59" s="2">
        <v>45820</v>
      </c>
      <c r="C59" t="s">
        <v>155</v>
      </c>
      <c r="D59" t="s">
        <v>31</v>
      </c>
      <c r="E59" t="s">
        <v>16</v>
      </c>
      <c r="F59" t="s">
        <v>38</v>
      </c>
      <c r="G59" t="s">
        <v>46</v>
      </c>
      <c r="H59">
        <v>131</v>
      </c>
      <c r="I59">
        <v>851</v>
      </c>
      <c r="J59">
        <v>112000</v>
      </c>
      <c r="K59">
        <v>81958</v>
      </c>
      <c r="L59">
        <v>30042</v>
      </c>
      <c r="M59">
        <v>116027</v>
      </c>
    </row>
    <row r="60" spans="1:13" x14ac:dyDescent="0.3">
      <c r="A60" t="s">
        <v>156</v>
      </c>
      <c r="B60" s="2">
        <v>45833</v>
      </c>
      <c r="C60" t="s">
        <v>157</v>
      </c>
      <c r="D60" t="s">
        <v>31</v>
      </c>
      <c r="E60" t="s">
        <v>16</v>
      </c>
      <c r="F60" t="s">
        <v>22</v>
      </c>
      <c r="G60" t="s">
        <v>49</v>
      </c>
      <c r="H60">
        <v>21</v>
      </c>
      <c r="I60">
        <v>3404</v>
      </c>
      <c r="J60">
        <v>72600</v>
      </c>
      <c r="K60">
        <v>53553</v>
      </c>
      <c r="L60">
        <v>19047</v>
      </c>
      <c r="M60">
        <v>67727</v>
      </c>
    </row>
    <row r="61" spans="1:13" x14ac:dyDescent="0.3">
      <c r="A61" t="s">
        <v>158</v>
      </c>
      <c r="B61" s="2">
        <v>45826</v>
      </c>
      <c r="C61" t="s">
        <v>159</v>
      </c>
      <c r="D61" t="s">
        <v>31</v>
      </c>
      <c r="E61" t="s">
        <v>21</v>
      </c>
      <c r="F61" t="s">
        <v>38</v>
      </c>
      <c r="G61" t="s">
        <v>113</v>
      </c>
      <c r="H61">
        <v>94</v>
      </c>
      <c r="I61">
        <v>1451</v>
      </c>
      <c r="J61">
        <v>137000</v>
      </c>
      <c r="K61">
        <v>106014</v>
      </c>
      <c r="L61">
        <v>30986</v>
      </c>
      <c r="M61">
        <v>130452</v>
      </c>
    </row>
    <row r="62" spans="1:13" x14ac:dyDescent="0.3">
      <c r="A62" t="s">
        <v>160</v>
      </c>
      <c r="B62" s="2">
        <v>45865</v>
      </c>
      <c r="C62" t="s">
        <v>161</v>
      </c>
      <c r="D62" t="s">
        <v>31</v>
      </c>
      <c r="E62" t="s">
        <v>16</v>
      </c>
      <c r="F62" t="s">
        <v>27</v>
      </c>
      <c r="G62" t="s">
        <v>77</v>
      </c>
      <c r="H62">
        <v>26</v>
      </c>
      <c r="I62">
        <v>4818</v>
      </c>
      <c r="J62">
        <v>127100</v>
      </c>
      <c r="K62">
        <v>101020</v>
      </c>
      <c r="L62">
        <v>26080</v>
      </c>
      <c r="M62">
        <v>125677</v>
      </c>
    </row>
    <row r="63" spans="1:13" x14ac:dyDescent="0.3">
      <c r="A63" t="s">
        <v>162</v>
      </c>
      <c r="B63" s="2">
        <v>45862</v>
      </c>
      <c r="C63" t="s">
        <v>163</v>
      </c>
      <c r="D63" t="s">
        <v>15</v>
      </c>
      <c r="E63" t="s">
        <v>35</v>
      </c>
      <c r="F63" t="s">
        <v>38</v>
      </c>
      <c r="G63" t="s">
        <v>65</v>
      </c>
      <c r="H63">
        <v>43</v>
      </c>
      <c r="I63">
        <v>2210</v>
      </c>
      <c r="J63">
        <v>96800</v>
      </c>
      <c r="K63">
        <v>63688</v>
      </c>
      <c r="L63">
        <v>33112</v>
      </c>
      <c r="M63">
        <v>90743</v>
      </c>
    </row>
    <row r="64" spans="1:13" x14ac:dyDescent="0.3">
      <c r="A64" t="s">
        <v>164</v>
      </c>
      <c r="B64" s="2">
        <v>45846</v>
      </c>
      <c r="C64" t="s">
        <v>165</v>
      </c>
      <c r="D64" t="s">
        <v>42</v>
      </c>
      <c r="E64" t="s">
        <v>26</v>
      </c>
      <c r="F64" t="s">
        <v>27</v>
      </c>
      <c r="G64" t="s">
        <v>68</v>
      </c>
      <c r="H64">
        <v>8</v>
      </c>
      <c r="I64">
        <v>4450</v>
      </c>
      <c r="J64">
        <v>38300</v>
      </c>
      <c r="K64">
        <v>28976</v>
      </c>
      <c r="L64">
        <v>9324</v>
      </c>
      <c r="M64">
        <v>40921</v>
      </c>
    </row>
    <row r="65" spans="1:13" x14ac:dyDescent="0.3">
      <c r="A65" t="s">
        <v>166</v>
      </c>
      <c r="B65" s="2">
        <v>45848</v>
      </c>
      <c r="C65" t="s">
        <v>167</v>
      </c>
      <c r="D65" t="s">
        <v>15</v>
      </c>
      <c r="E65" t="s">
        <v>21</v>
      </c>
      <c r="F65" t="s">
        <v>27</v>
      </c>
      <c r="G65" t="s">
        <v>77</v>
      </c>
      <c r="H65">
        <v>56</v>
      </c>
      <c r="I65">
        <v>3125</v>
      </c>
      <c r="J65">
        <v>177300</v>
      </c>
      <c r="K65">
        <v>124839</v>
      </c>
      <c r="L65">
        <v>52461</v>
      </c>
      <c r="M65">
        <v>169925</v>
      </c>
    </row>
    <row r="66" spans="1:13" x14ac:dyDescent="0.3">
      <c r="A66" t="s">
        <v>168</v>
      </c>
      <c r="B66" s="2">
        <v>45859</v>
      </c>
      <c r="C66" t="s">
        <v>169</v>
      </c>
      <c r="D66" t="s">
        <v>15</v>
      </c>
      <c r="E66" t="s">
        <v>21</v>
      </c>
      <c r="F66" t="s">
        <v>22</v>
      </c>
      <c r="G66" t="s">
        <v>23</v>
      </c>
      <c r="H66">
        <v>150</v>
      </c>
      <c r="I66">
        <v>717</v>
      </c>
      <c r="J66">
        <v>108100</v>
      </c>
      <c r="K66">
        <v>84301</v>
      </c>
      <c r="L66">
        <v>23799</v>
      </c>
      <c r="M66">
        <v>102210</v>
      </c>
    </row>
    <row r="67" spans="1:13" x14ac:dyDescent="0.3">
      <c r="A67" t="s">
        <v>170</v>
      </c>
      <c r="B67" s="2">
        <v>45842</v>
      </c>
      <c r="C67" t="s">
        <v>171</v>
      </c>
      <c r="D67" t="s">
        <v>15</v>
      </c>
      <c r="E67" t="s">
        <v>26</v>
      </c>
      <c r="F67" t="s">
        <v>17</v>
      </c>
      <c r="G67" t="s">
        <v>62</v>
      </c>
      <c r="H67">
        <v>27</v>
      </c>
      <c r="I67">
        <v>3682</v>
      </c>
      <c r="J67">
        <v>102100</v>
      </c>
      <c r="K67">
        <v>70127</v>
      </c>
      <c r="L67">
        <v>31973</v>
      </c>
      <c r="M67">
        <v>97874</v>
      </c>
    </row>
    <row r="68" spans="1:13" x14ac:dyDescent="0.3">
      <c r="A68" t="s">
        <v>172</v>
      </c>
      <c r="B68" s="2">
        <v>45857</v>
      </c>
      <c r="C68" t="s">
        <v>173</v>
      </c>
      <c r="D68" t="s">
        <v>31</v>
      </c>
      <c r="E68" t="s">
        <v>26</v>
      </c>
      <c r="F68" t="s">
        <v>22</v>
      </c>
      <c r="G68" t="s">
        <v>23</v>
      </c>
      <c r="H68">
        <v>13</v>
      </c>
      <c r="I68">
        <v>1019</v>
      </c>
      <c r="J68">
        <v>13300</v>
      </c>
      <c r="K68">
        <v>10250</v>
      </c>
      <c r="L68">
        <v>3050</v>
      </c>
      <c r="M68">
        <v>15102</v>
      </c>
    </row>
    <row r="69" spans="1:13" x14ac:dyDescent="0.3">
      <c r="A69" t="s">
        <v>174</v>
      </c>
      <c r="B69" s="2">
        <v>45844</v>
      </c>
      <c r="C69" t="s">
        <v>175</v>
      </c>
      <c r="D69" t="s">
        <v>42</v>
      </c>
      <c r="E69" t="s">
        <v>21</v>
      </c>
      <c r="F69" t="s">
        <v>22</v>
      </c>
      <c r="G69" t="s">
        <v>49</v>
      </c>
      <c r="H69">
        <v>10</v>
      </c>
      <c r="I69">
        <v>4100</v>
      </c>
      <c r="J69">
        <v>43400</v>
      </c>
      <c r="K69">
        <v>34712</v>
      </c>
      <c r="L69">
        <v>8688</v>
      </c>
      <c r="M69">
        <v>43941</v>
      </c>
    </row>
    <row r="70" spans="1:13" x14ac:dyDescent="0.3">
      <c r="A70" t="s">
        <v>176</v>
      </c>
      <c r="B70" s="2">
        <v>45862</v>
      </c>
      <c r="C70" t="s">
        <v>177</v>
      </c>
      <c r="D70" t="s">
        <v>15</v>
      </c>
      <c r="E70" t="s">
        <v>35</v>
      </c>
      <c r="F70" t="s">
        <v>38</v>
      </c>
      <c r="G70" t="s">
        <v>39</v>
      </c>
      <c r="H70">
        <v>36</v>
      </c>
      <c r="I70">
        <v>4757</v>
      </c>
      <c r="J70">
        <v>171600</v>
      </c>
      <c r="K70">
        <v>122117</v>
      </c>
      <c r="L70">
        <v>49483</v>
      </c>
      <c r="M70">
        <v>183590</v>
      </c>
    </row>
    <row r="71" spans="1:13" x14ac:dyDescent="0.3">
      <c r="A71" t="s">
        <v>178</v>
      </c>
      <c r="B71" s="2">
        <v>45854</v>
      </c>
      <c r="C71" t="s">
        <v>179</v>
      </c>
      <c r="D71" t="s">
        <v>42</v>
      </c>
      <c r="E71" t="s">
        <v>26</v>
      </c>
      <c r="F71" t="s">
        <v>22</v>
      </c>
      <c r="G71" t="s">
        <v>23</v>
      </c>
      <c r="H71">
        <v>33</v>
      </c>
      <c r="I71">
        <v>4631</v>
      </c>
      <c r="J71">
        <v>153000</v>
      </c>
      <c r="K71">
        <v>116292</v>
      </c>
      <c r="L71">
        <v>36708</v>
      </c>
      <c r="M71">
        <v>171606</v>
      </c>
    </row>
    <row r="72" spans="1:13" x14ac:dyDescent="0.3">
      <c r="A72" t="s">
        <v>180</v>
      </c>
      <c r="B72" s="2">
        <v>45896</v>
      </c>
      <c r="C72" t="s">
        <v>181</v>
      </c>
      <c r="D72" t="s">
        <v>42</v>
      </c>
      <c r="E72" t="s">
        <v>21</v>
      </c>
      <c r="F72" t="s">
        <v>17</v>
      </c>
      <c r="G72" t="s">
        <v>74</v>
      </c>
      <c r="H72">
        <v>31</v>
      </c>
      <c r="I72">
        <v>2485</v>
      </c>
      <c r="J72">
        <v>77400</v>
      </c>
      <c r="K72">
        <v>55170</v>
      </c>
      <c r="L72">
        <v>22230</v>
      </c>
      <c r="M72">
        <v>87192</v>
      </c>
    </row>
    <row r="73" spans="1:13" x14ac:dyDescent="0.3">
      <c r="A73" t="s">
        <v>182</v>
      </c>
      <c r="B73" s="2">
        <v>45896</v>
      </c>
      <c r="C73" t="s">
        <v>183</v>
      </c>
      <c r="D73" t="s">
        <v>15</v>
      </c>
      <c r="E73" t="s">
        <v>21</v>
      </c>
      <c r="F73" t="s">
        <v>38</v>
      </c>
      <c r="G73" t="s">
        <v>113</v>
      </c>
      <c r="H73">
        <v>47</v>
      </c>
      <c r="I73">
        <v>2690</v>
      </c>
      <c r="J73">
        <v>127000</v>
      </c>
      <c r="K73">
        <v>100327</v>
      </c>
      <c r="L73">
        <v>26673</v>
      </c>
      <c r="M73">
        <v>108151</v>
      </c>
    </row>
    <row r="74" spans="1:13" x14ac:dyDescent="0.3">
      <c r="A74" t="s">
        <v>184</v>
      </c>
      <c r="B74" s="2">
        <v>45893</v>
      </c>
      <c r="C74" t="s">
        <v>185</v>
      </c>
      <c r="D74" t="s">
        <v>42</v>
      </c>
      <c r="E74" t="s">
        <v>21</v>
      </c>
      <c r="F74" t="s">
        <v>17</v>
      </c>
      <c r="G74" t="s">
        <v>18</v>
      </c>
      <c r="H74">
        <v>43</v>
      </c>
      <c r="I74">
        <v>3834</v>
      </c>
      <c r="J74">
        <v>167800</v>
      </c>
      <c r="K74">
        <v>127223</v>
      </c>
      <c r="L74">
        <v>40577</v>
      </c>
      <c r="M74">
        <v>180722</v>
      </c>
    </row>
    <row r="75" spans="1:13" x14ac:dyDescent="0.3">
      <c r="A75" t="s">
        <v>186</v>
      </c>
      <c r="B75" s="2">
        <v>45883</v>
      </c>
      <c r="C75" t="s">
        <v>187</v>
      </c>
      <c r="D75" t="s">
        <v>15</v>
      </c>
      <c r="E75" t="s">
        <v>35</v>
      </c>
      <c r="F75" t="s">
        <v>27</v>
      </c>
      <c r="G75" t="s">
        <v>68</v>
      </c>
      <c r="H75">
        <v>13</v>
      </c>
      <c r="I75">
        <v>3635</v>
      </c>
      <c r="J75">
        <v>49900</v>
      </c>
      <c r="K75">
        <v>33892</v>
      </c>
      <c r="L75">
        <v>16008</v>
      </c>
      <c r="M75">
        <v>52582</v>
      </c>
    </row>
    <row r="76" spans="1:13" x14ac:dyDescent="0.3">
      <c r="A76" t="s">
        <v>188</v>
      </c>
      <c r="B76" s="2">
        <v>45880</v>
      </c>
      <c r="C76" t="s">
        <v>189</v>
      </c>
      <c r="D76" t="s">
        <v>15</v>
      </c>
      <c r="E76" t="s">
        <v>35</v>
      </c>
      <c r="F76" t="s">
        <v>22</v>
      </c>
      <c r="G76" t="s">
        <v>71</v>
      </c>
      <c r="H76">
        <v>99</v>
      </c>
      <c r="I76">
        <v>836</v>
      </c>
      <c r="J76">
        <v>83400</v>
      </c>
      <c r="K76">
        <v>57732</v>
      </c>
      <c r="L76">
        <v>25668</v>
      </c>
      <c r="M76">
        <v>80780</v>
      </c>
    </row>
    <row r="77" spans="1:13" x14ac:dyDescent="0.3">
      <c r="A77" t="s">
        <v>190</v>
      </c>
      <c r="B77" s="2">
        <v>45896</v>
      </c>
      <c r="C77" t="s">
        <v>191</v>
      </c>
      <c r="D77" t="s">
        <v>31</v>
      </c>
      <c r="E77" t="s">
        <v>16</v>
      </c>
      <c r="F77" t="s">
        <v>38</v>
      </c>
      <c r="G77" t="s">
        <v>65</v>
      </c>
      <c r="H77">
        <v>40</v>
      </c>
      <c r="I77">
        <v>3044</v>
      </c>
      <c r="J77">
        <v>122000</v>
      </c>
      <c r="K77">
        <v>91352</v>
      </c>
      <c r="L77">
        <v>30648</v>
      </c>
      <c r="M77">
        <v>118122</v>
      </c>
    </row>
    <row r="78" spans="1:13" x14ac:dyDescent="0.3">
      <c r="A78" t="s">
        <v>192</v>
      </c>
      <c r="B78" s="2">
        <v>45890</v>
      </c>
      <c r="C78" t="s">
        <v>193</v>
      </c>
      <c r="D78" t="s">
        <v>31</v>
      </c>
      <c r="E78" t="s">
        <v>35</v>
      </c>
      <c r="F78" t="s">
        <v>38</v>
      </c>
      <c r="G78" t="s">
        <v>65</v>
      </c>
      <c r="H78">
        <v>37</v>
      </c>
      <c r="I78">
        <v>4688</v>
      </c>
      <c r="J78">
        <v>175900</v>
      </c>
      <c r="K78">
        <v>139222</v>
      </c>
      <c r="L78">
        <v>36678</v>
      </c>
      <c r="M78">
        <v>189489</v>
      </c>
    </row>
    <row r="79" spans="1:13" x14ac:dyDescent="0.3">
      <c r="A79" t="s">
        <v>194</v>
      </c>
      <c r="B79" s="2">
        <v>45875</v>
      </c>
      <c r="C79" t="s">
        <v>195</v>
      </c>
      <c r="D79" t="s">
        <v>42</v>
      </c>
      <c r="E79" t="s">
        <v>35</v>
      </c>
      <c r="F79" t="s">
        <v>27</v>
      </c>
      <c r="G79" t="s">
        <v>28</v>
      </c>
      <c r="H79">
        <v>46</v>
      </c>
      <c r="I79">
        <v>3871</v>
      </c>
      <c r="J79">
        <v>178200</v>
      </c>
      <c r="K79">
        <v>119771</v>
      </c>
      <c r="L79">
        <v>58429</v>
      </c>
      <c r="M79">
        <v>204233</v>
      </c>
    </row>
    <row r="80" spans="1:13" x14ac:dyDescent="0.3">
      <c r="A80" t="s">
        <v>196</v>
      </c>
      <c r="B80" s="2">
        <v>45896</v>
      </c>
      <c r="C80" t="s">
        <v>197</v>
      </c>
      <c r="D80" t="s">
        <v>42</v>
      </c>
      <c r="E80" t="s">
        <v>35</v>
      </c>
      <c r="F80" t="s">
        <v>38</v>
      </c>
      <c r="G80" t="s">
        <v>46</v>
      </c>
      <c r="H80">
        <v>41</v>
      </c>
      <c r="I80">
        <v>4537</v>
      </c>
      <c r="J80">
        <v>188000</v>
      </c>
      <c r="K80">
        <v>139856</v>
      </c>
      <c r="L80">
        <v>48144</v>
      </c>
      <c r="M80">
        <v>212433</v>
      </c>
    </row>
    <row r="81" spans="1:13" x14ac:dyDescent="0.3">
      <c r="A81" t="s">
        <v>198</v>
      </c>
      <c r="B81" s="2">
        <v>45896</v>
      </c>
      <c r="C81" t="s">
        <v>199</v>
      </c>
      <c r="D81" t="s">
        <v>15</v>
      </c>
      <c r="E81" t="s">
        <v>16</v>
      </c>
      <c r="F81" t="s">
        <v>17</v>
      </c>
      <c r="G81" t="s">
        <v>18</v>
      </c>
      <c r="H81">
        <v>84</v>
      </c>
      <c r="I81">
        <v>1628</v>
      </c>
      <c r="J81">
        <v>137500</v>
      </c>
      <c r="K81">
        <v>92015</v>
      </c>
      <c r="L81">
        <v>45485</v>
      </c>
      <c r="M81">
        <v>146006</v>
      </c>
    </row>
    <row r="82" spans="1:13" x14ac:dyDescent="0.3">
      <c r="A82" t="s">
        <v>200</v>
      </c>
      <c r="B82" s="2">
        <v>45916</v>
      </c>
      <c r="C82" t="s">
        <v>201</v>
      </c>
      <c r="D82" t="s">
        <v>42</v>
      </c>
      <c r="E82" t="s">
        <v>35</v>
      </c>
      <c r="F82" t="s">
        <v>17</v>
      </c>
      <c r="G82" t="s">
        <v>74</v>
      </c>
      <c r="H82">
        <v>39</v>
      </c>
      <c r="I82">
        <v>3752</v>
      </c>
      <c r="J82">
        <v>148800</v>
      </c>
      <c r="K82">
        <v>100316</v>
      </c>
      <c r="L82">
        <v>48484</v>
      </c>
      <c r="M82">
        <v>145654</v>
      </c>
    </row>
    <row r="83" spans="1:13" x14ac:dyDescent="0.3">
      <c r="A83" t="s">
        <v>202</v>
      </c>
      <c r="B83" s="2">
        <v>45904</v>
      </c>
      <c r="C83" t="s">
        <v>203</v>
      </c>
      <c r="D83" t="s">
        <v>42</v>
      </c>
      <c r="E83" t="s">
        <v>21</v>
      </c>
      <c r="F83" t="s">
        <v>38</v>
      </c>
      <c r="G83" t="s">
        <v>65</v>
      </c>
      <c r="H83">
        <v>206</v>
      </c>
      <c r="I83">
        <v>854</v>
      </c>
      <c r="J83">
        <v>176000</v>
      </c>
      <c r="K83">
        <v>119144</v>
      </c>
      <c r="L83">
        <v>56856</v>
      </c>
      <c r="M83">
        <v>190819</v>
      </c>
    </row>
    <row r="84" spans="1:13" x14ac:dyDescent="0.3">
      <c r="A84" t="s">
        <v>204</v>
      </c>
      <c r="B84" s="2">
        <v>45909</v>
      </c>
      <c r="C84" t="s">
        <v>205</v>
      </c>
      <c r="D84" t="s">
        <v>42</v>
      </c>
      <c r="E84" t="s">
        <v>26</v>
      </c>
      <c r="F84" t="s">
        <v>27</v>
      </c>
      <c r="G84" t="s">
        <v>68</v>
      </c>
      <c r="H84">
        <v>124</v>
      </c>
      <c r="I84">
        <v>1279</v>
      </c>
      <c r="J84">
        <v>158900</v>
      </c>
      <c r="K84">
        <v>115868</v>
      </c>
      <c r="L84">
        <v>43032</v>
      </c>
      <c r="M84">
        <v>178986</v>
      </c>
    </row>
    <row r="85" spans="1:13" x14ac:dyDescent="0.3">
      <c r="A85" t="s">
        <v>206</v>
      </c>
      <c r="B85" s="2">
        <v>45902</v>
      </c>
      <c r="C85" t="s">
        <v>207</v>
      </c>
      <c r="D85" t="s">
        <v>31</v>
      </c>
      <c r="E85" t="s">
        <v>35</v>
      </c>
      <c r="F85" t="s">
        <v>27</v>
      </c>
      <c r="G85" t="s">
        <v>32</v>
      </c>
      <c r="H85">
        <v>28</v>
      </c>
      <c r="I85">
        <v>1918</v>
      </c>
      <c r="J85">
        <v>55500</v>
      </c>
      <c r="K85">
        <v>39676</v>
      </c>
      <c r="L85">
        <v>15824</v>
      </c>
      <c r="M85">
        <v>59178</v>
      </c>
    </row>
    <row r="86" spans="1:13" x14ac:dyDescent="0.3">
      <c r="A86" t="s">
        <v>208</v>
      </c>
      <c r="B86" s="2">
        <v>45909</v>
      </c>
      <c r="C86" t="s">
        <v>209</v>
      </c>
      <c r="D86" t="s">
        <v>42</v>
      </c>
      <c r="E86" t="s">
        <v>35</v>
      </c>
      <c r="F86" t="s">
        <v>27</v>
      </c>
      <c r="G86" t="s">
        <v>68</v>
      </c>
      <c r="H86">
        <v>69</v>
      </c>
      <c r="I86">
        <v>1464</v>
      </c>
      <c r="J86">
        <v>102400</v>
      </c>
      <c r="K86">
        <v>74033</v>
      </c>
      <c r="L86">
        <v>28367</v>
      </c>
      <c r="M86">
        <v>113300</v>
      </c>
    </row>
    <row r="87" spans="1:13" x14ac:dyDescent="0.3">
      <c r="A87" t="s">
        <v>210</v>
      </c>
      <c r="B87" s="2">
        <v>45916</v>
      </c>
      <c r="C87" t="s">
        <v>211</v>
      </c>
      <c r="D87" t="s">
        <v>15</v>
      </c>
      <c r="E87" t="s">
        <v>35</v>
      </c>
      <c r="F87" t="s">
        <v>27</v>
      </c>
      <c r="G87" t="s">
        <v>68</v>
      </c>
      <c r="H87">
        <v>40</v>
      </c>
      <c r="I87">
        <v>1840</v>
      </c>
      <c r="J87">
        <v>75000</v>
      </c>
      <c r="K87">
        <v>55058</v>
      </c>
      <c r="L87">
        <v>19942</v>
      </c>
      <c r="M87">
        <v>78584</v>
      </c>
    </row>
    <row r="88" spans="1:13" x14ac:dyDescent="0.3">
      <c r="A88" t="s">
        <v>212</v>
      </c>
      <c r="B88" s="2">
        <v>45913</v>
      </c>
      <c r="C88" t="s">
        <v>213</v>
      </c>
      <c r="D88" t="s">
        <v>15</v>
      </c>
      <c r="E88" t="s">
        <v>26</v>
      </c>
      <c r="F88" t="s">
        <v>27</v>
      </c>
      <c r="G88" t="s">
        <v>28</v>
      </c>
      <c r="H88">
        <v>43</v>
      </c>
      <c r="I88">
        <v>2273</v>
      </c>
      <c r="J88">
        <v>98200</v>
      </c>
      <c r="K88">
        <v>74781</v>
      </c>
      <c r="L88">
        <v>23419</v>
      </c>
      <c r="M88">
        <v>90963</v>
      </c>
    </row>
    <row r="89" spans="1:13" x14ac:dyDescent="0.3">
      <c r="A89" t="s">
        <v>214</v>
      </c>
      <c r="B89" s="2">
        <v>45901</v>
      </c>
      <c r="C89" t="s">
        <v>215</v>
      </c>
      <c r="D89" t="s">
        <v>15</v>
      </c>
      <c r="E89" t="s">
        <v>26</v>
      </c>
      <c r="F89" t="s">
        <v>17</v>
      </c>
      <c r="G89" t="s">
        <v>62</v>
      </c>
      <c r="H89">
        <v>63</v>
      </c>
      <c r="I89">
        <v>1913</v>
      </c>
      <c r="J89">
        <v>122100</v>
      </c>
      <c r="K89">
        <v>88062</v>
      </c>
      <c r="L89">
        <v>34038</v>
      </c>
      <c r="M89">
        <v>109480</v>
      </c>
    </row>
    <row r="90" spans="1:13" x14ac:dyDescent="0.3">
      <c r="A90" t="s">
        <v>216</v>
      </c>
      <c r="B90" s="2">
        <v>45910</v>
      </c>
      <c r="C90" t="s">
        <v>217</v>
      </c>
      <c r="D90" t="s">
        <v>31</v>
      </c>
      <c r="E90" t="s">
        <v>16</v>
      </c>
      <c r="F90" t="s">
        <v>22</v>
      </c>
      <c r="G90" t="s">
        <v>49</v>
      </c>
      <c r="H90">
        <v>63</v>
      </c>
      <c r="I90">
        <v>2197</v>
      </c>
      <c r="J90">
        <v>139600</v>
      </c>
      <c r="K90">
        <v>104714</v>
      </c>
      <c r="L90">
        <v>34886</v>
      </c>
      <c r="M90">
        <v>145027</v>
      </c>
    </row>
    <row r="91" spans="1:13" x14ac:dyDescent="0.3">
      <c r="A91" t="s">
        <v>218</v>
      </c>
      <c r="B91" s="2">
        <v>45903</v>
      </c>
      <c r="C91" t="s">
        <v>219</v>
      </c>
      <c r="D91" t="s">
        <v>15</v>
      </c>
      <c r="E91" t="s">
        <v>26</v>
      </c>
      <c r="F91" t="s">
        <v>17</v>
      </c>
      <c r="G91" t="s">
        <v>43</v>
      </c>
      <c r="H91">
        <v>68</v>
      </c>
      <c r="I91">
        <v>2409</v>
      </c>
      <c r="J91">
        <v>165000</v>
      </c>
      <c r="K91">
        <v>127518</v>
      </c>
      <c r="L91">
        <v>37482</v>
      </c>
      <c r="M91">
        <v>165677</v>
      </c>
    </row>
    <row r="92" spans="1:13" x14ac:dyDescent="0.3">
      <c r="A92" t="s">
        <v>220</v>
      </c>
      <c r="B92" s="2">
        <v>45944</v>
      </c>
      <c r="C92" t="s">
        <v>221</v>
      </c>
      <c r="D92" t="s">
        <v>31</v>
      </c>
      <c r="E92" t="s">
        <v>16</v>
      </c>
      <c r="F92" t="s">
        <v>17</v>
      </c>
      <c r="G92" t="s">
        <v>74</v>
      </c>
      <c r="H92">
        <v>2</v>
      </c>
      <c r="I92">
        <v>3850</v>
      </c>
      <c r="J92">
        <v>8500</v>
      </c>
      <c r="K92">
        <v>6470</v>
      </c>
      <c r="L92">
        <v>2030</v>
      </c>
      <c r="M92">
        <v>7637</v>
      </c>
    </row>
    <row r="93" spans="1:13" x14ac:dyDescent="0.3">
      <c r="A93" t="s">
        <v>222</v>
      </c>
      <c r="B93" s="2">
        <v>45952</v>
      </c>
      <c r="C93" t="s">
        <v>223</v>
      </c>
      <c r="D93" t="s">
        <v>15</v>
      </c>
      <c r="E93" t="s">
        <v>35</v>
      </c>
      <c r="F93" t="s">
        <v>27</v>
      </c>
      <c r="G93" t="s">
        <v>32</v>
      </c>
      <c r="H93">
        <v>32</v>
      </c>
      <c r="I93">
        <v>2512</v>
      </c>
      <c r="J93">
        <v>80800</v>
      </c>
      <c r="K93">
        <v>55123</v>
      </c>
      <c r="L93">
        <v>25677</v>
      </c>
      <c r="M93">
        <v>88644</v>
      </c>
    </row>
    <row r="94" spans="1:13" x14ac:dyDescent="0.3">
      <c r="A94" t="s">
        <v>224</v>
      </c>
      <c r="B94" s="2">
        <v>45937</v>
      </c>
      <c r="C94" t="s">
        <v>225</v>
      </c>
      <c r="D94" t="s">
        <v>31</v>
      </c>
      <c r="E94" t="s">
        <v>35</v>
      </c>
      <c r="F94" t="s">
        <v>22</v>
      </c>
      <c r="G94" t="s">
        <v>102</v>
      </c>
      <c r="H94">
        <v>29</v>
      </c>
      <c r="I94">
        <v>4097</v>
      </c>
      <c r="J94">
        <v>122600</v>
      </c>
      <c r="K94">
        <v>85799</v>
      </c>
      <c r="L94">
        <v>36801</v>
      </c>
      <c r="M94">
        <v>131659</v>
      </c>
    </row>
    <row r="95" spans="1:13" x14ac:dyDescent="0.3">
      <c r="A95" t="s">
        <v>226</v>
      </c>
      <c r="B95" s="2">
        <v>45938</v>
      </c>
      <c r="C95" t="s">
        <v>227</v>
      </c>
      <c r="D95" t="s">
        <v>31</v>
      </c>
      <c r="E95" t="s">
        <v>21</v>
      </c>
      <c r="F95" t="s">
        <v>17</v>
      </c>
      <c r="G95" t="s">
        <v>43</v>
      </c>
      <c r="H95">
        <v>70</v>
      </c>
      <c r="I95">
        <v>1750</v>
      </c>
      <c r="J95">
        <v>123700</v>
      </c>
      <c r="K95">
        <v>82287</v>
      </c>
      <c r="L95">
        <v>41413</v>
      </c>
      <c r="M95">
        <v>127168</v>
      </c>
    </row>
    <row r="96" spans="1:13" x14ac:dyDescent="0.3">
      <c r="A96" t="s">
        <v>228</v>
      </c>
      <c r="B96" s="2">
        <v>45953</v>
      </c>
      <c r="C96" t="s">
        <v>229</v>
      </c>
      <c r="D96" t="s">
        <v>15</v>
      </c>
      <c r="E96" t="s">
        <v>26</v>
      </c>
      <c r="F96" t="s">
        <v>27</v>
      </c>
      <c r="G96" t="s">
        <v>32</v>
      </c>
      <c r="H96">
        <v>22</v>
      </c>
      <c r="I96">
        <v>3741</v>
      </c>
      <c r="J96">
        <v>85500</v>
      </c>
      <c r="K96">
        <v>61343</v>
      </c>
      <c r="L96">
        <v>24157</v>
      </c>
      <c r="M96">
        <v>88971</v>
      </c>
    </row>
    <row r="97" spans="1:13" x14ac:dyDescent="0.3">
      <c r="A97" t="s">
        <v>230</v>
      </c>
      <c r="B97" s="2">
        <v>45931</v>
      </c>
      <c r="C97" t="s">
        <v>231</v>
      </c>
      <c r="D97" t="s">
        <v>15</v>
      </c>
      <c r="E97" t="s">
        <v>21</v>
      </c>
      <c r="F97" t="s">
        <v>22</v>
      </c>
      <c r="G97" t="s">
        <v>23</v>
      </c>
      <c r="H97">
        <v>75</v>
      </c>
      <c r="I97">
        <v>1552</v>
      </c>
      <c r="J97">
        <v>117700</v>
      </c>
      <c r="K97">
        <v>77601</v>
      </c>
      <c r="L97">
        <v>40099</v>
      </c>
      <c r="M97">
        <v>121684</v>
      </c>
    </row>
    <row r="98" spans="1:13" x14ac:dyDescent="0.3">
      <c r="A98" t="s">
        <v>232</v>
      </c>
      <c r="B98" s="2">
        <v>45953</v>
      </c>
      <c r="C98" t="s">
        <v>233</v>
      </c>
      <c r="D98" t="s">
        <v>31</v>
      </c>
      <c r="E98" t="s">
        <v>26</v>
      </c>
      <c r="F98" t="s">
        <v>27</v>
      </c>
      <c r="G98" t="s">
        <v>77</v>
      </c>
      <c r="H98">
        <v>8</v>
      </c>
      <c r="I98">
        <v>3798</v>
      </c>
      <c r="J98">
        <v>30700</v>
      </c>
      <c r="K98">
        <v>21206</v>
      </c>
      <c r="L98">
        <v>9494</v>
      </c>
      <c r="M98">
        <v>30287</v>
      </c>
    </row>
    <row r="99" spans="1:13" x14ac:dyDescent="0.3">
      <c r="A99" t="s">
        <v>234</v>
      </c>
      <c r="B99" s="2">
        <v>45948</v>
      </c>
      <c r="C99" t="s">
        <v>235</v>
      </c>
      <c r="D99" t="s">
        <v>15</v>
      </c>
      <c r="E99" t="s">
        <v>26</v>
      </c>
      <c r="F99" t="s">
        <v>17</v>
      </c>
      <c r="G99" t="s">
        <v>62</v>
      </c>
      <c r="H99">
        <v>14</v>
      </c>
      <c r="I99">
        <v>3964</v>
      </c>
      <c r="J99">
        <v>57300</v>
      </c>
      <c r="K99">
        <v>37298</v>
      </c>
      <c r="L99">
        <v>20002</v>
      </c>
      <c r="M99">
        <v>54066</v>
      </c>
    </row>
    <row r="100" spans="1:13" x14ac:dyDescent="0.3">
      <c r="A100" t="s">
        <v>236</v>
      </c>
      <c r="B100" s="2">
        <v>45955</v>
      </c>
      <c r="C100" t="s">
        <v>237</v>
      </c>
      <c r="D100" t="s">
        <v>42</v>
      </c>
      <c r="E100" t="s">
        <v>21</v>
      </c>
      <c r="F100" t="s">
        <v>22</v>
      </c>
      <c r="G100" t="s">
        <v>71</v>
      </c>
      <c r="H100">
        <v>259</v>
      </c>
      <c r="I100">
        <v>608</v>
      </c>
      <c r="J100">
        <v>158000</v>
      </c>
      <c r="K100">
        <v>109741</v>
      </c>
      <c r="L100">
        <v>48259</v>
      </c>
      <c r="M100">
        <v>156843</v>
      </c>
    </row>
    <row r="101" spans="1:13" x14ac:dyDescent="0.3">
      <c r="A101" t="s">
        <v>238</v>
      </c>
      <c r="B101" s="2">
        <v>45931</v>
      </c>
      <c r="C101" t="s">
        <v>239</v>
      </c>
      <c r="D101" t="s">
        <v>15</v>
      </c>
      <c r="E101" t="s">
        <v>35</v>
      </c>
      <c r="F101" t="s">
        <v>17</v>
      </c>
      <c r="G101" t="s">
        <v>43</v>
      </c>
      <c r="H101">
        <v>21</v>
      </c>
      <c r="I101">
        <v>4874</v>
      </c>
      <c r="J101">
        <v>102500</v>
      </c>
      <c r="K101">
        <v>73435</v>
      </c>
      <c r="L101">
        <v>29065</v>
      </c>
      <c r="M101">
        <v>116850</v>
      </c>
    </row>
    <row r="102" spans="1:13" x14ac:dyDescent="0.3">
      <c r="A102" t="s">
        <v>240</v>
      </c>
      <c r="B102" s="2">
        <v>45977</v>
      </c>
      <c r="C102" t="s">
        <v>241</v>
      </c>
      <c r="D102" t="s">
        <v>15</v>
      </c>
      <c r="E102" t="s">
        <v>26</v>
      </c>
      <c r="F102" t="s">
        <v>22</v>
      </c>
      <c r="G102" t="s">
        <v>23</v>
      </c>
      <c r="H102">
        <v>38</v>
      </c>
      <c r="I102">
        <v>2889</v>
      </c>
      <c r="J102">
        <v>109900</v>
      </c>
      <c r="K102">
        <v>79979</v>
      </c>
      <c r="L102">
        <v>29921</v>
      </c>
      <c r="M102">
        <v>99278</v>
      </c>
    </row>
    <row r="103" spans="1:13" x14ac:dyDescent="0.3">
      <c r="A103" t="s">
        <v>242</v>
      </c>
      <c r="B103" s="2">
        <v>45972</v>
      </c>
      <c r="C103" t="s">
        <v>243</v>
      </c>
      <c r="D103" t="s">
        <v>42</v>
      </c>
      <c r="E103" t="s">
        <v>26</v>
      </c>
      <c r="F103" t="s">
        <v>22</v>
      </c>
      <c r="G103" t="s">
        <v>102</v>
      </c>
      <c r="H103">
        <v>54</v>
      </c>
      <c r="I103">
        <v>1664</v>
      </c>
      <c r="J103">
        <v>90100</v>
      </c>
      <c r="K103">
        <v>65107</v>
      </c>
      <c r="L103">
        <v>24993</v>
      </c>
      <c r="M103">
        <v>96417</v>
      </c>
    </row>
    <row r="104" spans="1:13" x14ac:dyDescent="0.3">
      <c r="A104" t="s">
        <v>244</v>
      </c>
      <c r="B104" s="2">
        <v>45974</v>
      </c>
      <c r="C104" t="s">
        <v>245</v>
      </c>
      <c r="D104" t="s">
        <v>15</v>
      </c>
      <c r="E104" t="s">
        <v>21</v>
      </c>
      <c r="F104" t="s">
        <v>38</v>
      </c>
      <c r="G104" t="s">
        <v>46</v>
      </c>
      <c r="H104">
        <v>92</v>
      </c>
      <c r="I104">
        <v>1957</v>
      </c>
      <c r="J104">
        <v>182000</v>
      </c>
      <c r="K104">
        <v>139458</v>
      </c>
      <c r="L104">
        <v>42542</v>
      </c>
      <c r="M104">
        <v>193439</v>
      </c>
    </row>
    <row r="105" spans="1:13" x14ac:dyDescent="0.3">
      <c r="A105" t="s">
        <v>246</v>
      </c>
      <c r="B105" s="2">
        <v>45975</v>
      </c>
      <c r="C105" t="s">
        <v>247</v>
      </c>
      <c r="D105" t="s">
        <v>42</v>
      </c>
      <c r="E105" t="s">
        <v>21</v>
      </c>
      <c r="F105" t="s">
        <v>22</v>
      </c>
      <c r="G105" t="s">
        <v>23</v>
      </c>
      <c r="H105">
        <v>18</v>
      </c>
      <c r="I105">
        <v>4916</v>
      </c>
      <c r="J105">
        <v>89100</v>
      </c>
      <c r="K105">
        <v>60276</v>
      </c>
      <c r="L105">
        <v>28824</v>
      </c>
      <c r="M105">
        <v>93549</v>
      </c>
    </row>
    <row r="106" spans="1:13" x14ac:dyDescent="0.3">
      <c r="A106" t="s">
        <v>248</v>
      </c>
      <c r="B106" s="2">
        <v>45988</v>
      </c>
      <c r="C106" t="s">
        <v>249</v>
      </c>
      <c r="D106" t="s">
        <v>42</v>
      </c>
      <c r="E106" t="s">
        <v>35</v>
      </c>
      <c r="F106" t="s">
        <v>27</v>
      </c>
      <c r="G106" t="s">
        <v>68</v>
      </c>
      <c r="H106">
        <v>47</v>
      </c>
      <c r="I106">
        <v>2278</v>
      </c>
      <c r="J106">
        <v>108500</v>
      </c>
      <c r="K106">
        <v>86699</v>
      </c>
      <c r="L106">
        <v>21801</v>
      </c>
      <c r="M106">
        <v>105780</v>
      </c>
    </row>
    <row r="107" spans="1:13" x14ac:dyDescent="0.3">
      <c r="A107" t="s">
        <v>250</v>
      </c>
      <c r="B107" s="2">
        <v>45963</v>
      </c>
      <c r="C107" t="s">
        <v>251</v>
      </c>
      <c r="D107" t="s">
        <v>31</v>
      </c>
      <c r="E107" t="s">
        <v>26</v>
      </c>
      <c r="F107" t="s">
        <v>27</v>
      </c>
      <c r="G107" t="s">
        <v>68</v>
      </c>
      <c r="H107">
        <v>22</v>
      </c>
      <c r="I107">
        <v>2855</v>
      </c>
      <c r="J107">
        <v>65200</v>
      </c>
      <c r="K107">
        <v>51977</v>
      </c>
      <c r="L107">
        <v>13223</v>
      </c>
      <c r="M107">
        <v>73907</v>
      </c>
    </row>
    <row r="108" spans="1:13" x14ac:dyDescent="0.3">
      <c r="A108" t="s">
        <v>252</v>
      </c>
      <c r="B108" s="2">
        <v>45976</v>
      </c>
      <c r="C108" t="s">
        <v>253</v>
      </c>
      <c r="D108" t="s">
        <v>15</v>
      </c>
      <c r="E108" t="s">
        <v>16</v>
      </c>
      <c r="F108" t="s">
        <v>27</v>
      </c>
      <c r="G108" t="s">
        <v>68</v>
      </c>
      <c r="H108">
        <v>22</v>
      </c>
      <c r="I108">
        <v>3428</v>
      </c>
      <c r="J108">
        <v>78100</v>
      </c>
      <c r="K108">
        <v>52837</v>
      </c>
      <c r="L108">
        <v>25263</v>
      </c>
      <c r="M108">
        <v>88690</v>
      </c>
    </row>
    <row r="109" spans="1:13" x14ac:dyDescent="0.3">
      <c r="A109" t="s">
        <v>254</v>
      </c>
      <c r="B109" s="2">
        <v>45975</v>
      </c>
      <c r="C109" t="s">
        <v>255</v>
      </c>
      <c r="D109" t="s">
        <v>31</v>
      </c>
      <c r="E109" t="s">
        <v>26</v>
      </c>
      <c r="F109" t="s">
        <v>17</v>
      </c>
      <c r="G109" t="s">
        <v>43</v>
      </c>
      <c r="H109">
        <v>4</v>
      </c>
      <c r="I109">
        <v>4195</v>
      </c>
      <c r="J109">
        <v>17100</v>
      </c>
      <c r="K109">
        <v>11794</v>
      </c>
      <c r="L109">
        <v>5306</v>
      </c>
      <c r="M109">
        <v>16403</v>
      </c>
    </row>
    <row r="110" spans="1:13" x14ac:dyDescent="0.3">
      <c r="A110" t="s">
        <v>256</v>
      </c>
      <c r="B110" s="2">
        <v>45979</v>
      </c>
      <c r="C110" t="s">
        <v>257</v>
      </c>
      <c r="D110" t="s">
        <v>31</v>
      </c>
      <c r="E110" t="s">
        <v>35</v>
      </c>
      <c r="F110" t="s">
        <v>22</v>
      </c>
      <c r="G110" t="s">
        <v>102</v>
      </c>
      <c r="H110">
        <v>21</v>
      </c>
      <c r="I110">
        <v>4448</v>
      </c>
      <c r="J110">
        <v>96800</v>
      </c>
      <c r="K110">
        <v>75331</v>
      </c>
      <c r="L110">
        <v>21469</v>
      </c>
      <c r="M110">
        <v>92925</v>
      </c>
    </row>
    <row r="111" spans="1:13" x14ac:dyDescent="0.3">
      <c r="A111" t="s">
        <v>258</v>
      </c>
      <c r="B111" s="2">
        <v>45977</v>
      </c>
      <c r="C111" t="s">
        <v>259</v>
      </c>
      <c r="D111" t="s">
        <v>31</v>
      </c>
      <c r="E111" t="s">
        <v>21</v>
      </c>
      <c r="F111" t="s">
        <v>38</v>
      </c>
      <c r="G111" t="s">
        <v>46</v>
      </c>
      <c r="H111">
        <v>106</v>
      </c>
      <c r="I111">
        <v>615</v>
      </c>
      <c r="J111">
        <v>65500</v>
      </c>
      <c r="K111">
        <v>43668</v>
      </c>
      <c r="L111">
        <v>21832</v>
      </c>
      <c r="M111">
        <v>57273</v>
      </c>
    </row>
    <row r="112" spans="1:13" x14ac:dyDescent="0.3">
      <c r="A112" t="s">
        <v>260</v>
      </c>
      <c r="B112" s="2">
        <v>45993</v>
      </c>
      <c r="C112" t="s">
        <v>261</v>
      </c>
      <c r="D112" t="s">
        <v>15</v>
      </c>
      <c r="E112" t="s">
        <v>26</v>
      </c>
      <c r="F112" t="s">
        <v>27</v>
      </c>
      <c r="G112" t="s">
        <v>28</v>
      </c>
      <c r="H112">
        <v>2</v>
      </c>
      <c r="I112">
        <v>2018</v>
      </c>
      <c r="J112">
        <v>5400</v>
      </c>
      <c r="K112">
        <v>3603</v>
      </c>
      <c r="L112">
        <v>1797</v>
      </c>
      <c r="M112">
        <v>5728</v>
      </c>
    </row>
    <row r="113" spans="1:13" x14ac:dyDescent="0.3">
      <c r="A113" t="s">
        <v>262</v>
      </c>
      <c r="B113" s="2">
        <v>45999</v>
      </c>
      <c r="C113" t="s">
        <v>263</v>
      </c>
      <c r="D113" t="s">
        <v>31</v>
      </c>
      <c r="E113" t="s">
        <v>16</v>
      </c>
      <c r="F113" t="s">
        <v>22</v>
      </c>
      <c r="G113" t="s">
        <v>49</v>
      </c>
      <c r="H113">
        <v>41</v>
      </c>
      <c r="I113">
        <v>3989</v>
      </c>
      <c r="J113">
        <v>165300</v>
      </c>
      <c r="K113">
        <v>119394</v>
      </c>
      <c r="L113">
        <v>45906</v>
      </c>
      <c r="M113">
        <v>164398</v>
      </c>
    </row>
    <row r="114" spans="1:13" x14ac:dyDescent="0.3">
      <c r="A114" t="s">
        <v>264</v>
      </c>
      <c r="B114" s="2">
        <v>46017</v>
      </c>
      <c r="C114" t="s">
        <v>265</v>
      </c>
      <c r="D114" t="s">
        <v>31</v>
      </c>
      <c r="E114" t="s">
        <v>26</v>
      </c>
      <c r="F114" t="s">
        <v>22</v>
      </c>
      <c r="G114" t="s">
        <v>23</v>
      </c>
      <c r="H114">
        <v>120</v>
      </c>
      <c r="I114">
        <v>1159</v>
      </c>
      <c r="J114">
        <v>139600</v>
      </c>
      <c r="K114">
        <v>94841</v>
      </c>
      <c r="L114">
        <v>44759</v>
      </c>
      <c r="M114">
        <v>131434</v>
      </c>
    </row>
    <row r="115" spans="1:13" x14ac:dyDescent="0.3">
      <c r="A115" t="s">
        <v>266</v>
      </c>
      <c r="B115" s="2">
        <v>46002</v>
      </c>
      <c r="C115" t="s">
        <v>267</v>
      </c>
      <c r="D115" t="s">
        <v>42</v>
      </c>
      <c r="E115" t="s">
        <v>16</v>
      </c>
      <c r="F115" t="s">
        <v>17</v>
      </c>
      <c r="G115" t="s">
        <v>18</v>
      </c>
      <c r="H115">
        <v>46</v>
      </c>
      <c r="I115">
        <v>2499</v>
      </c>
      <c r="J115">
        <v>115600</v>
      </c>
      <c r="K115">
        <v>79149</v>
      </c>
      <c r="L115">
        <v>36451</v>
      </c>
      <c r="M115">
        <v>106764</v>
      </c>
    </row>
    <row r="116" spans="1:13" x14ac:dyDescent="0.3">
      <c r="A116" t="s">
        <v>268</v>
      </c>
      <c r="B116" s="2">
        <v>46011</v>
      </c>
      <c r="C116" t="s">
        <v>269</v>
      </c>
      <c r="D116" t="s">
        <v>42</v>
      </c>
      <c r="E116" t="s">
        <v>16</v>
      </c>
      <c r="F116" t="s">
        <v>27</v>
      </c>
      <c r="G116" t="s">
        <v>77</v>
      </c>
      <c r="H116">
        <v>17</v>
      </c>
      <c r="I116">
        <v>1393</v>
      </c>
      <c r="J116">
        <v>24700</v>
      </c>
      <c r="K116">
        <v>17625</v>
      </c>
      <c r="L116">
        <v>7075</v>
      </c>
      <c r="M116">
        <v>22020</v>
      </c>
    </row>
    <row r="117" spans="1:13" x14ac:dyDescent="0.3">
      <c r="A117" t="s">
        <v>270</v>
      </c>
      <c r="B117" s="2">
        <v>46000</v>
      </c>
      <c r="C117" t="s">
        <v>271</v>
      </c>
      <c r="D117" t="s">
        <v>15</v>
      </c>
      <c r="E117" t="s">
        <v>35</v>
      </c>
      <c r="F117" t="s">
        <v>27</v>
      </c>
      <c r="G117" t="s">
        <v>68</v>
      </c>
      <c r="H117">
        <v>106</v>
      </c>
      <c r="I117">
        <v>1537</v>
      </c>
      <c r="J117">
        <v>163700</v>
      </c>
      <c r="K117">
        <v>113875</v>
      </c>
      <c r="L117">
        <v>49825</v>
      </c>
      <c r="M117">
        <v>167144</v>
      </c>
    </row>
    <row r="118" spans="1:13" x14ac:dyDescent="0.3">
      <c r="A118" t="s">
        <v>272</v>
      </c>
      <c r="B118" s="2">
        <v>46018</v>
      </c>
      <c r="C118" t="s">
        <v>273</v>
      </c>
      <c r="D118" t="s">
        <v>31</v>
      </c>
      <c r="E118" t="s">
        <v>21</v>
      </c>
      <c r="F118" t="s">
        <v>27</v>
      </c>
      <c r="G118" t="s">
        <v>32</v>
      </c>
      <c r="H118">
        <v>17</v>
      </c>
      <c r="I118">
        <v>1621</v>
      </c>
      <c r="J118">
        <v>28000</v>
      </c>
      <c r="K118">
        <v>20614</v>
      </c>
      <c r="L118">
        <v>7386</v>
      </c>
      <c r="M118">
        <v>30736</v>
      </c>
    </row>
    <row r="119" spans="1:13" x14ac:dyDescent="0.3">
      <c r="A119" t="s">
        <v>274</v>
      </c>
      <c r="B119" s="2">
        <v>46000</v>
      </c>
      <c r="C119" t="s">
        <v>275</v>
      </c>
      <c r="D119" t="s">
        <v>31</v>
      </c>
      <c r="E119" t="s">
        <v>21</v>
      </c>
      <c r="F119" t="s">
        <v>22</v>
      </c>
      <c r="G119" t="s">
        <v>49</v>
      </c>
      <c r="H119">
        <v>13</v>
      </c>
      <c r="I119">
        <v>3233</v>
      </c>
      <c r="J119">
        <v>42600</v>
      </c>
      <c r="K119">
        <v>29406</v>
      </c>
      <c r="L119">
        <v>13194</v>
      </c>
      <c r="M119">
        <v>39726</v>
      </c>
    </row>
    <row r="120" spans="1:13" x14ac:dyDescent="0.3">
      <c r="A120" t="s">
        <v>276</v>
      </c>
      <c r="B120" s="2">
        <v>46005</v>
      </c>
      <c r="C120" t="s">
        <v>277</v>
      </c>
      <c r="D120" t="s">
        <v>31</v>
      </c>
      <c r="E120" t="s">
        <v>16</v>
      </c>
      <c r="F120" t="s">
        <v>27</v>
      </c>
      <c r="G120" t="s">
        <v>32</v>
      </c>
      <c r="H120">
        <v>30</v>
      </c>
      <c r="I120">
        <v>1447</v>
      </c>
      <c r="J120">
        <v>44800</v>
      </c>
      <c r="K120">
        <v>33585</v>
      </c>
      <c r="L120">
        <v>11215</v>
      </c>
      <c r="M120">
        <v>40725</v>
      </c>
    </row>
    <row r="121" spans="1:13" x14ac:dyDescent="0.3">
      <c r="A121" t="s">
        <v>278</v>
      </c>
      <c r="B121" s="2">
        <v>46006</v>
      </c>
      <c r="C121" t="s">
        <v>279</v>
      </c>
      <c r="D121" t="s">
        <v>31</v>
      </c>
      <c r="E121" t="s">
        <v>26</v>
      </c>
      <c r="F121" t="s">
        <v>38</v>
      </c>
      <c r="G121" t="s">
        <v>65</v>
      </c>
      <c r="H121">
        <v>36</v>
      </c>
      <c r="I121">
        <v>3967</v>
      </c>
      <c r="J121">
        <v>145200</v>
      </c>
      <c r="K121">
        <v>94459</v>
      </c>
      <c r="L121">
        <v>50741</v>
      </c>
      <c r="M121">
        <v>128908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B12"/>
  <sheetViews>
    <sheetView showGridLines="0" tabSelected="1" workbookViewId="0">
      <selection activeCell="S37" sqref="S37"/>
    </sheetView>
  </sheetViews>
  <sheetFormatPr defaultRowHeight="14.4" x14ac:dyDescent="0.3"/>
  <cols>
    <col min="28" max="28" width="11.88671875" bestFit="1" customWidth="1"/>
  </cols>
  <sheetData>
    <row r="2" spans="2:28" ht="14.4" customHeight="1" x14ac:dyDescent="0.3">
      <c r="B2" s="4" t="s">
        <v>280</v>
      </c>
      <c r="C2" s="4"/>
      <c r="D2" s="4"/>
      <c r="E2" s="4"/>
      <c r="F2" s="4"/>
      <c r="G2" s="4"/>
      <c r="H2" s="4"/>
      <c r="I2" s="4"/>
      <c r="J2" s="4"/>
      <c r="K2" s="4"/>
      <c r="L2" s="4"/>
      <c r="M2" s="4"/>
      <c r="N2" s="4"/>
      <c r="O2" s="4"/>
      <c r="P2" s="4"/>
      <c r="Q2" s="4"/>
      <c r="R2" s="4"/>
      <c r="S2" s="4"/>
      <c r="T2" s="4"/>
      <c r="U2" s="4"/>
      <c r="V2" s="4"/>
      <c r="W2" s="4"/>
    </row>
    <row r="3" spans="2:28" x14ac:dyDescent="0.3">
      <c r="B3" s="4"/>
      <c r="C3" s="4"/>
      <c r="D3" s="4"/>
      <c r="E3" s="4"/>
      <c r="F3" s="4"/>
      <c r="G3" s="4"/>
      <c r="H3" s="4"/>
      <c r="I3" s="4"/>
      <c r="J3" s="4"/>
      <c r="K3" s="4"/>
      <c r="L3" s="4"/>
      <c r="M3" s="4"/>
      <c r="N3" s="4"/>
      <c r="O3" s="4"/>
      <c r="P3" s="4"/>
      <c r="Q3" s="4"/>
      <c r="R3" s="4"/>
      <c r="S3" s="4"/>
      <c r="T3" s="4"/>
      <c r="U3" s="4"/>
      <c r="V3" s="4"/>
      <c r="W3" s="4"/>
      <c r="AB3" s="6"/>
    </row>
    <row r="4" spans="2:28" x14ac:dyDescent="0.3">
      <c r="AB4" s="7"/>
    </row>
    <row r="6" spans="2:28" ht="19.8" x14ac:dyDescent="0.4">
      <c r="B6" s="5" t="s">
        <v>281</v>
      </c>
      <c r="C6" s="5"/>
      <c r="D6" s="5"/>
      <c r="E6" s="5"/>
      <c r="F6" s="5"/>
      <c r="H6" s="5" t="s">
        <v>282</v>
      </c>
      <c r="I6" s="5"/>
      <c r="J6" s="5"/>
      <c r="K6" s="5"/>
      <c r="L6" s="5"/>
      <c r="N6" s="5" t="s">
        <v>286</v>
      </c>
      <c r="O6" s="5"/>
      <c r="P6" s="5"/>
      <c r="Q6" s="5"/>
      <c r="R6" s="5"/>
    </row>
    <row r="8" spans="2:28" ht="14.4" customHeight="1" x14ac:dyDescent="0.3"/>
    <row r="9" spans="2:28" ht="14.4" customHeight="1" x14ac:dyDescent="0.3"/>
    <row r="10" spans="2:28" ht="14.4" customHeight="1" x14ac:dyDescent="0.3"/>
    <row r="11" spans="2:28" ht="14.4" customHeight="1" x14ac:dyDescent="0.3"/>
    <row r="12" spans="2:28" ht="14.4" customHeight="1" x14ac:dyDescent="0.3"/>
  </sheetData>
  <mergeCells count="4">
    <mergeCell ref="B6:F6"/>
    <mergeCell ref="H6:L6"/>
    <mergeCell ref="N6:R6"/>
    <mergeCell ref="B2:W3"/>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C2C04-308A-4359-B59A-3970615E3F4A}">
  <dimension ref="B1:L40"/>
  <sheetViews>
    <sheetView showGridLines="0" zoomScale="70" zoomScaleNormal="70" workbookViewId="0">
      <selection activeCell="T31" sqref="T31"/>
    </sheetView>
  </sheetViews>
  <sheetFormatPr defaultRowHeight="14.4" x14ac:dyDescent="0.3"/>
  <cols>
    <col min="2" max="2" width="9.109375" bestFit="1" customWidth="1"/>
    <col min="3" max="3" width="15.109375" bestFit="1" customWidth="1"/>
  </cols>
  <sheetData>
    <row r="1" spans="2:12" x14ac:dyDescent="0.3">
      <c r="J1" s="11" t="s">
        <v>285</v>
      </c>
      <c r="K1" s="11"/>
      <c r="L1" s="12" t="str">
        <f>INDEX(G4:G7,MATCH(MAX(H4:H7),H4:H7,0))</f>
        <v>South</v>
      </c>
    </row>
    <row r="2" spans="2:12" x14ac:dyDescent="0.3">
      <c r="B2" s="12" t="s">
        <v>283</v>
      </c>
      <c r="C2" s="13">
        <f>SUM(SalesData[Revenue])</f>
        <v>12461800</v>
      </c>
      <c r="G2" s="8"/>
      <c r="H2" s="8"/>
    </row>
    <row r="3" spans="2:12" x14ac:dyDescent="0.3">
      <c r="B3" s="12" t="s">
        <v>284</v>
      </c>
      <c r="C3" s="14">
        <f>SUM(SalesData[Profit])/SUM(SalesData[Revenue])</f>
        <v>0.27360870821229677</v>
      </c>
      <c r="G3" s="9" t="s">
        <v>4</v>
      </c>
      <c r="H3" s="9" t="s">
        <v>9</v>
      </c>
    </row>
    <row r="4" spans="2:12" x14ac:dyDescent="0.3">
      <c r="G4" s="10" t="s">
        <v>26</v>
      </c>
      <c r="H4" s="10">
        <f>SUMIF(SalesData[Region],G4,SalesData[Revenue])</f>
        <v>2453400</v>
      </c>
    </row>
    <row r="5" spans="2:12" x14ac:dyDescent="0.3">
      <c r="G5" s="10" t="s">
        <v>35</v>
      </c>
      <c r="H5" s="10">
        <f>SUMIF(SalesData[Region],G5,SalesData[Revenue])</f>
        <v>3498100</v>
      </c>
    </row>
    <row r="6" spans="2:12" x14ac:dyDescent="0.3">
      <c r="G6" s="10" t="s">
        <v>21</v>
      </c>
      <c r="H6" s="10">
        <f>SUMIF(SalesData[Region],G6,SalesData[Revenue])</f>
        <v>3353100</v>
      </c>
    </row>
    <row r="7" spans="2:12" x14ac:dyDescent="0.3">
      <c r="G7" s="10" t="s">
        <v>16</v>
      </c>
      <c r="H7" s="10">
        <f>SUMIF(SalesData[Region],G7,SalesData[Revenue])</f>
        <v>3157200</v>
      </c>
    </row>
    <row r="12" spans="2:12" x14ac:dyDescent="0.3">
      <c r="B12" s="15" t="s">
        <v>4</v>
      </c>
      <c r="C12" t="s">
        <v>287</v>
      </c>
    </row>
    <row r="13" spans="2:12" x14ac:dyDescent="0.3">
      <c r="B13" s="16" t="s">
        <v>35</v>
      </c>
      <c r="C13" s="17">
        <v>3498100</v>
      </c>
    </row>
    <row r="14" spans="2:12" x14ac:dyDescent="0.3">
      <c r="B14" s="16" t="s">
        <v>21</v>
      </c>
      <c r="C14" s="17">
        <v>3353100</v>
      </c>
    </row>
    <row r="15" spans="2:12" x14ac:dyDescent="0.3">
      <c r="B15" s="16" t="s">
        <v>16</v>
      </c>
      <c r="C15" s="17">
        <v>3157200</v>
      </c>
    </row>
    <row r="16" spans="2:12" x14ac:dyDescent="0.3">
      <c r="B16" s="16" t="s">
        <v>26</v>
      </c>
      <c r="C16" s="17">
        <v>2453400</v>
      </c>
    </row>
    <row r="28" spans="2:3" x14ac:dyDescent="0.3">
      <c r="B28" s="15" t="s">
        <v>300</v>
      </c>
      <c r="C28" t="s">
        <v>287</v>
      </c>
    </row>
    <row r="29" spans="2:3" x14ac:dyDescent="0.3">
      <c r="B29" s="3" t="s">
        <v>288</v>
      </c>
      <c r="C29" s="18">
        <v>619500</v>
      </c>
    </row>
    <row r="30" spans="2:3" x14ac:dyDescent="0.3">
      <c r="B30" s="3" t="s">
        <v>289</v>
      </c>
      <c r="C30" s="18">
        <v>1261600</v>
      </c>
    </row>
    <row r="31" spans="2:3" x14ac:dyDescent="0.3">
      <c r="B31" s="3" t="s">
        <v>290</v>
      </c>
      <c r="C31" s="18">
        <v>901300</v>
      </c>
    </row>
    <row r="32" spans="2:3" x14ac:dyDescent="0.3">
      <c r="B32" s="3" t="s">
        <v>291</v>
      </c>
      <c r="C32" s="18">
        <v>1224600</v>
      </c>
    </row>
    <row r="33" spans="2:3" x14ac:dyDescent="0.3">
      <c r="B33" s="3" t="s">
        <v>292</v>
      </c>
      <c r="C33" s="18">
        <v>1179700</v>
      </c>
    </row>
    <row r="34" spans="2:3" x14ac:dyDescent="0.3">
      <c r="B34" s="3" t="s">
        <v>293</v>
      </c>
      <c r="C34" s="18">
        <v>1031000</v>
      </c>
    </row>
    <row r="35" spans="2:3" x14ac:dyDescent="0.3">
      <c r="B35" s="3" t="s">
        <v>294</v>
      </c>
      <c r="C35" s="18">
        <v>1031000</v>
      </c>
    </row>
    <row r="36" spans="2:3" x14ac:dyDescent="0.3">
      <c r="B36" s="3" t="s">
        <v>295</v>
      </c>
      <c r="C36" s="18">
        <v>1307100</v>
      </c>
    </row>
    <row r="37" spans="2:3" x14ac:dyDescent="0.3">
      <c r="B37" s="3" t="s">
        <v>296</v>
      </c>
      <c r="C37" s="18">
        <v>1241500</v>
      </c>
    </row>
    <row r="38" spans="2:3" x14ac:dyDescent="0.3">
      <c r="B38" s="3" t="s">
        <v>297</v>
      </c>
      <c r="C38" s="18">
        <v>887300</v>
      </c>
    </row>
    <row r="39" spans="2:3" x14ac:dyDescent="0.3">
      <c r="B39" s="3" t="s">
        <v>298</v>
      </c>
      <c r="C39" s="18">
        <v>902300</v>
      </c>
    </row>
    <row r="40" spans="2:3" x14ac:dyDescent="0.3">
      <c r="B40" s="3" t="s">
        <v>299</v>
      </c>
      <c r="C40" s="18">
        <v>874900</v>
      </c>
    </row>
  </sheetData>
  <mergeCells count="1">
    <mergeCell ref="J1:K1"/>
  </mergeCell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Dashboard</vt:lpstr>
      <vt:lpstr>CALCULATION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saideep pallela</cp:lastModifiedBy>
  <dcterms:created xsi:type="dcterms:W3CDTF">2026-07-23T03:30:15Z</dcterms:created>
  <dcterms:modified xsi:type="dcterms:W3CDTF">2026-07-23T07:04:47Z</dcterms:modified>
</cp:coreProperties>
</file>