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 - Worklog\Advance_Excel_phase4\DAY77\"/>
    </mc:Choice>
  </mc:AlternateContent>
  <xr:revisionPtr revIDLastSave="0" documentId="13_ncr:1_{9977CCDD-8FB8-43EC-80DD-22C3A19C2B49}" xr6:coauthVersionLast="47" xr6:coauthVersionMax="47" xr10:uidLastSave="{00000000-0000-0000-0000-000000000000}"/>
  <bookViews>
    <workbookView xWindow="30600" yWindow="-120" windowWidth="29040" windowHeight="15720" firstSheet="3" activeTab="3" xr2:uid="{00000000-000D-0000-FFFF-FFFF00000000}"/>
  </bookViews>
  <sheets>
    <sheet name="Sales_Data" sheetId="1" r:id="rId1"/>
    <sheet name="Q1_Sales" sheetId="2" r:id="rId2"/>
    <sheet name="Q2_Sales" sheetId="3" r:id="rId3"/>
    <sheet name="Advanced_Arrays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4" i="4" l="1" a="1"/>
  <c r="V24" i="4"/>
  <c r="V4" i="4"/>
  <c r="U6" i="4" a="1"/>
  <c r="U6" i="4" s="1"/>
  <c r="V13" i="4"/>
  <c r="U15" i="4" a="1"/>
  <c r="U15" i="4" s="1"/>
  <c r="L7" i="4" a="1"/>
  <c r="L7" i="4" s="1"/>
  <c r="L6" i="4" a="1"/>
  <c r="L6" i="4" s="1"/>
  <c r="B6" i="4" a="1"/>
  <c r="B6" i="4" s="1"/>
  <c r="B7" i="4" a="1"/>
  <c r="B7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<sst xmlns="http://schemas.openxmlformats.org/spreadsheetml/2006/main" count="5181" uniqueCount="1072">
  <si>
    <t>OrderID</t>
  </si>
  <si>
    <t>Product</t>
  </si>
  <si>
    <t>Category</t>
  </si>
  <si>
    <t>Region</t>
  </si>
  <si>
    <t>Month</t>
  </si>
  <si>
    <t>Sales_Amount</t>
  </si>
  <si>
    <t>Units_Sold</t>
  </si>
  <si>
    <t>Cost_Amount</t>
  </si>
  <si>
    <t>ORD1001</t>
  </si>
  <si>
    <t>Keyboard</t>
  </si>
  <si>
    <t>Peripherals</t>
  </si>
  <si>
    <t>East</t>
  </si>
  <si>
    <t>Apr-2025</t>
  </si>
  <si>
    <t>ORD1002</t>
  </si>
  <si>
    <t>Phone</t>
  </si>
  <si>
    <t>Electronics</t>
  </si>
  <si>
    <t>Aug-2025</t>
  </si>
  <si>
    <t>ORD1003</t>
  </si>
  <si>
    <t>Laptop</t>
  </si>
  <si>
    <t>Jan-2025</t>
  </si>
  <si>
    <t>ORD1004</t>
  </si>
  <si>
    <t>Headphones</t>
  </si>
  <si>
    <t>Accessories</t>
  </si>
  <si>
    <t>West</t>
  </si>
  <si>
    <t>Mar-2025</t>
  </si>
  <si>
    <t>ORD1005</t>
  </si>
  <si>
    <t>ORD1006</t>
  </si>
  <si>
    <t>Oct-2025</t>
  </si>
  <si>
    <t>ORD1007</t>
  </si>
  <si>
    <t>Feb-2025</t>
  </si>
  <si>
    <t>ORD1008</t>
  </si>
  <si>
    <t>North</t>
  </si>
  <si>
    <t>May-2025</t>
  </si>
  <si>
    <t>ORD1009</t>
  </si>
  <si>
    <t>Sep-2025</t>
  </si>
  <si>
    <t>ORD1010</t>
  </si>
  <si>
    <t>Mouse</t>
  </si>
  <si>
    <t>South</t>
  </si>
  <si>
    <t>ORD1011</t>
  </si>
  <si>
    <t>ORD1012</t>
  </si>
  <si>
    <t>Monitor</t>
  </si>
  <si>
    <t>ORD1013</t>
  </si>
  <si>
    <t>Printer</t>
  </si>
  <si>
    <t>Nov-2025</t>
  </si>
  <si>
    <t>ORD1014</t>
  </si>
  <si>
    <t>ORD1015</t>
  </si>
  <si>
    <t>Jul-2025</t>
  </si>
  <si>
    <t>ORD1016</t>
  </si>
  <si>
    <t>Tablet</t>
  </si>
  <si>
    <t>Dec-2025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</si>
  <si>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</si>
  <si>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</si>
  <si>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</si>
  <si>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</si>
  <si>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</si>
  <si>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</si>
  <si>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</si>
  <si>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</si>
  <si>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</si>
  <si>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</si>
  <si>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</si>
  <si>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Jun-2025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</si>
  <si>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</si>
  <si>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</si>
  <si>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</si>
  <si>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</si>
  <si>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</si>
  <si>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</si>
  <si>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</si>
  <si>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</si>
  <si>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</si>
  <si>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</si>
  <si>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</si>
  <si>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</si>
  <si>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</si>
  <si>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</si>
  <si>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</si>
  <si>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</si>
  <si>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</si>
  <si>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</si>
  <si>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</si>
  <si>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</si>
  <si>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</si>
  <si>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</si>
  <si>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</si>
  <si>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</si>
  <si>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</si>
  <si>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</si>
  <si>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</si>
  <si>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</si>
  <si>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</si>
  <si>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</si>
  <si>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</si>
  <si>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</si>
  <si>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</si>
  <si>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</si>
  <si>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</si>
  <si>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</si>
  <si>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</si>
  <si>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</si>
  <si>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</si>
  <si>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</si>
  <si>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</si>
  <si>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</si>
  <si>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</si>
  <si>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</si>
  <si>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</si>
  <si>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</si>
  <si>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</si>
  <si>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</si>
  <si>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</si>
  <si>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</si>
  <si>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</si>
  <si>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</si>
  <si>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</si>
  <si>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</si>
  <si>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</si>
  <si>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</si>
  <si>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</si>
  <si>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</si>
  <si>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</si>
  <si>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</si>
  <si>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</si>
  <si>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</si>
  <si>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</si>
  <si>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</si>
  <si>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</si>
  <si>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</si>
  <si>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</si>
  <si>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</si>
  <si>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</si>
  <si>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</si>
  <si>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</si>
  <si>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</si>
  <si>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</si>
  <si>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</si>
  <si>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</si>
  <si>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</si>
  <si>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</si>
  <si>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</si>
  <si>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</si>
  <si>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</si>
  <si>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</si>
  <si>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</si>
  <si>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</si>
  <si>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</si>
  <si>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</si>
  <si>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</si>
  <si>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</si>
  <si>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</si>
  <si>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</si>
  <si>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</si>
  <si>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</si>
  <si>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</si>
  <si>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</si>
  <si>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</si>
  <si>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</si>
  <si>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</si>
  <si>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</si>
  <si>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</si>
  <si>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</si>
  <si>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</si>
  <si>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</si>
  <si>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</si>
  <si>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</si>
  <si>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</si>
  <si>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</si>
  <si>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</si>
  <si>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</si>
  <si>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</si>
  <si>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</si>
  <si>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</si>
  <si>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</si>
  <si>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</si>
  <si>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</si>
  <si>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</si>
  <si>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</si>
  <si>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</si>
  <si>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</si>
  <si>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</si>
  <si>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</si>
  <si>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</si>
  <si>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</si>
  <si>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</si>
  <si>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</si>
  <si>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</si>
  <si>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</si>
  <si>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</si>
  <si>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</si>
  <si>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</si>
  <si>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</si>
  <si>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</si>
  <si>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</si>
  <si>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</si>
  <si>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</si>
  <si>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</si>
  <si>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</si>
  <si>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</si>
  <si>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</si>
  <si>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</si>
  <si>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</si>
  <si>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</si>
  <si>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</si>
  <si>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</si>
  <si>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</si>
  <si>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</si>
  <si>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</si>
  <si>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</si>
  <si>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</si>
  <si>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</si>
  <si>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</si>
  <si>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</si>
  <si>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</si>
  <si>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</si>
  <si>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</si>
  <si>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</si>
  <si>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</si>
  <si>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</si>
  <si>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</si>
  <si>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</si>
  <si>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</si>
  <si>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</si>
  <si>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</si>
  <si>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</si>
  <si>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</si>
  <si>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</si>
  <si>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</si>
  <si>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</si>
  <si>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</si>
  <si>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</si>
  <si>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</si>
  <si>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</si>
  <si>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</si>
  <si>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</si>
  <si>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</si>
  <si>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</si>
  <si>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</si>
  <si>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</si>
  <si>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</si>
  <si>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</si>
  <si>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</si>
  <si>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</si>
  <si>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</si>
  <si>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</si>
  <si>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</si>
  <si>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</si>
  <si>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</si>
  <si>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</si>
  <si>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</si>
  <si>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</si>
  <si>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</si>
  <si>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</si>
  <si>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</si>
  <si>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</si>
  <si>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</si>
  <si>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</si>
  <si>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</si>
  <si>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</si>
  <si>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</si>
  <si>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</si>
  <si>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</si>
  <si>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</si>
  <si>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</si>
  <si>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</si>
  <si>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</si>
  <si>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</si>
  <si>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</si>
  <si>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</si>
  <si>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</si>
  <si>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</si>
  <si>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</si>
  <si>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</si>
  <si>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</si>
  <si>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</si>
  <si>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</si>
  <si>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</si>
  <si>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</si>
  <si>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</si>
  <si>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</si>
  <si>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</si>
  <si>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</si>
  <si>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</si>
  <si>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</si>
  <si>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</si>
  <si>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</si>
  <si>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</si>
  <si>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</si>
  <si>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</si>
  <si>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</si>
  <si>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</si>
  <si>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</si>
  <si>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</si>
  <si>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</si>
  <si>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</si>
  <si>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</si>
  <si>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</si>
  <si>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</si>
  <si>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</si>
  <si>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</si>
  <si>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</si>
  <si>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</si>
  <si>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</si>
  <si>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</si>
  <si>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</si>
  <si>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</si>
  <si>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</si>
  <si>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</si>
  <si>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</si>
  <si>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</si>
  <si>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</si>
  <si>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</si>
  <si>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</si>
  <si>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</si>
  <si>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</si>
  <si>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</si>
  <si>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</si>
  <si>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</si>
  <si>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</si>
  <si>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</si>
  <si>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</si>
  <si>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</si>
  <si>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</si>
  <si>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</si>
  <si>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</si>
  <si>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</si>
  <si>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</si>
  <si>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</si>
  <si>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</si>
  <si>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</si>
  <si>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</si>
  <si>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</si>
  <si>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</si>
  <si>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</si>
  <si>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</si>
  <si>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</si>
  <si>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</si>
  <si>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</si>
  <si>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</si>
  <si>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</si>
  <si>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</si>
  <si>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</si>
  <si>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</si>
  <si>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</si>
  <si>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</si>
  <si>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</si>
  <si>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</si>
  <si>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</si>
  <si>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</si>
  <si>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</si>
  <si>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</si>
  <si>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</si>
  <si>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</si>
  <si>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</si>
  <si>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</si>
  <si>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</si>
  <si>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</si>
  <si>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</si>
  <si>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</si>
  <si>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</si>
  <si>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</si>
  <si>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</si>
  <si>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</si>
  <si>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</si>
  <si>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</si>
  <si>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</si>
  <si>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</si>
  <si>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</si>
  <si>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</si>
  <si>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</si>
  <si>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</si>
  <si>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</si>
  <si>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</si>
  <si>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</si>
  <si>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</si>
  <si>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</si>
  <si>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</si>
  <si>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</si>
  <si>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</si>
  <si>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</si>
  <si>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</si>
  <si>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</si>
  <si>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</si>
  <si>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</si>
  <si>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</si>
  <si>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</si>
  <si>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</si>
  <si>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</si>
  <si>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</si>
  <si>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</si>
  <si>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</si>
  <si>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</si>
  <si>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</si>
  <si>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</si>
  <si>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</si>
  <si>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</si>
  <si>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</si>
  <si>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</si>
  <si>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</si>
  <si>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</si>
  <si>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</si>
  <si>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</si>
  <si>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</si>
  <si>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</si>
  <si>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</si>
  <si>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</si>
  <si>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</si>
  <si>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</si>
  <si>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</si>
  <si>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</si>
  <si>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</si>
  <si>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</si>
  <si>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</si>
  <si>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</si>
  <si>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</si>
  <si>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</si>
  <si>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</si>
  <si>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</si>
  <si>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</si>
  <si>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</si>
  <si>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</si>
  <si>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</si>
  <si>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</si>
  <si>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</si>
  <si>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</si>
  <si>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</si>
  <si>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</si>
  <si>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</si>
  <si>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</si>
  <si>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</si>
  <si>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</si>
  <si>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</si>
  <si>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</si>
  <si>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</si>
  <si>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</si>
  <si>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</si>
  <si>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</si>
  <si>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</si>
  <si>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</si>
  <si>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</si>
  <si>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</si>
  <si>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</si>
  <si>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</si>
  <si>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</si>
  <si>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</si>
  <si>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</si>
  <si>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</si>
  <si>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</si>
  <si>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</si>
  <si>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</si>
  <si>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</si>
  <si>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</si>
  <si>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</si>
  <si>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</si>
  <si>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</si>
  <si>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</si>
  <si>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</si>
  <si>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</si>
  <si>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</si>
  <si>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</si>
  <si>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</si>
  <si>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</si>
  <si>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</si>
  <si>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</si>
  <si>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</si>
  <si>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</si>
  <si>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</si>
  <si>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</si>
  <si>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</si>
  <si>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</si>
  <si>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</si>
  <si>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</si>
  <si>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</si>
  <si>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</si>
  <si>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</si>
  <si>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</si>
  <si>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</si>
  <si>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</si>
  <si>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</si>
  <si>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</si>
  <si>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</si>
  <si>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</si>
  <si>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</si>
  <si>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</si>
  <si>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</si>
  <si>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</si>
  <si>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</si>
  <si>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</si>
  <si>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</si>
  <si>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</si>
  <si>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</si>
  <si>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</si>
  <si>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</si>
  <si>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</si>
  <si>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</si>
  <si>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</si>
  <si>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</si>
  <si>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</si>
  <si>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</si>
  <si>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</si>
  <si>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</si>
  <si>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</si>
  <si>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</si>
  <si>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</si>
  <si>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</si>
  <si>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</si>
  <si>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</si>
  <si>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</si>
  <si>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</si>
  <si>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</si>
  <si>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</si>
  <si>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</si>
  <si>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</si>
  <si>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</si>
  <si>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</si>
  <si>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</si>
  <si>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</si>
  <si>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</si>
  <si>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</si>
  <si>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</si>
  <si>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</si>
  <si>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</si>
  <si>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</si>
  <si>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</si>
  <si>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</si>
  <si>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</si>
  <si>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</si>
  <si>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</si>
  <si>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</si>
  <si>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</si>
  <si>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</si>
  <si>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</si>
  <si>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</si>
  <si>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</si>
  <si>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</si>
  <si>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</si>
  <si>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</si>
  <si>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</si>
  <si>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</si>
  <si>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</si>
  <si>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</si>
  <si>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</si>
  <si>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</si>
  <si>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</si>
  <si>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</si>
  <si>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</si>
  <si>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</si>
  <si>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</si>
  <si>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</si>
  <si>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</si>
  <si>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</si>
  <si>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</si>
  <si>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</si>
  <si>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</si>
  <si>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</si>
  <si>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</si>
  <si>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</si>
  <si>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</si>
  <si>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</si>
  <si>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</si>
  <si>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</si>
  <si>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</si>
  <si>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</si>
  <si>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</si>
  <si>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</si>
  <si>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</si>
  <si>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</si>
  <si>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</si>
  <si>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</si>
  <si>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</si>
  <si>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</si>
  <si>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</si>
  <si>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</si>
  <si>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</si>
  <si>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</si>
  <si>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</si>
  <si>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</si>
  <si>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</si>
  <si>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</si>
  <si>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</si>
  <si>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</si>
  <si>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</si>
  <si>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</si>
  <si>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</si>
  <si>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</si>
  <si>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</si>
  <si>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</si>
  <si>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</si>
  <si>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</si>
  <si>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</si>
  <si>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</si>
  <si>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</si>
  <si>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</si>
  <si>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</si>
  <si>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</si>
  <si>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</si>
  <si>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</si>
  <si>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</si>
  <si>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</si>
  <si>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</si>
  <si>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</si>
  <si>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</si>
  <si>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</si>
  <si>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</si>
  <si>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</si>
  <si>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</si>
  <si>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</si>
  <si>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</si>
  <si>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</si>
  <si>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</si>
  <si>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</si>
  <si>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</si>
  <si>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</si>
  <si>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</si>
  <si>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</si>
  <si>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</si>
  <si>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</si>
  <si>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</si>
  <si>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</si>
  <si>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</si>
  <si>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</si>
  <si>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</si>
  <si>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</si>
  <si>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</si>
  <si>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</si>
  <si>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</si>
  <si>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</si>
  <si>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</si>
  <si>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</si>
  <si>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</si>
  <si>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</si>
  <si>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</si>
  <si>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</si>
  <si>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</si>
  <si>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</si>
  <si>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</si>
  <si>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</si>
  <si>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</si>
  <si>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</si>
  <si>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</si>
  <si>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</si>
  <si>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</si>
  <si>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</si>
  <si>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</si>
  <si>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</si>
  <si>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</si>
  <si>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</si>
  <si>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</si>
  <si>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</si>
  <si>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</si>
  <si>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</si>
  <si>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</si>
  <si>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</si>
  <si>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</si>
  <si>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</si>
  <si>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</si>
  <si>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</si>
  <si>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</si>
  <si>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</si>
  <si>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</si>
  <si>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</si>
  <si>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</si>
  <si>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</si>
  <si>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</si>
  <si>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</si>
  <si>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</si>
  <si>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</si>
  <si>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</si>
  <si>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</si>
  <si>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</si>
  <si>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</si>
  <si>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</si>
  <si>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</si>
  <si>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</si>
  <si>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</si>
  <si>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</si>
  <si>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</si>
  <si>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</si>
  <si>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</si>
  <si>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</si>
  <si>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</si>
  <si>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</si>
  <si>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</si>
  <si>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</si>
  <si>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</si>
  <si>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</si>
  <si>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</si>
  <si>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</si>
  <si>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</si>
  <si>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</si>
  <si>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</si>
  <si>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</si>
  <si>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</si>
  <si>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</si>
  <si>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</si>
  <si>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</si>
  <si>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</si>
  <si>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</si>
  <si>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</si>
  <si>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</si>
  <si>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</si>
  <si>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</si>
  <si>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</si>
  <si>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</si>
  <si>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</si>
  <si>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</si>
  <si>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</si>
  <si>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</si>
  <si>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</si>
  <si>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</si>
  <si>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</si>
  <si>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</si>
  <si>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</si>
  <si>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</si>
  <si>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</si>
  <si>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</si>
  <si>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</si>
  <si>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</si>
  <si>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</si>
  <si>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</si>
  <si>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</si>
  <si>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</si>
  <si>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</si>
  <si>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</si>
  <si>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</si>
  <si>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</si>
  <si>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</si>
  <si>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</si>
  <si>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</si>
  <si>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</si>
  <si>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</si>
  <si>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</si>
  <si>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</si>
  <si>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</si>
  <si>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</si>
  <si>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</si>
  <si>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</si>
  <si>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</si>
  <si>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</si>
  <si>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</si>
  <si>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</si>
  <si>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</si>
  <si>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</si>
  <si>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</si>
  <si>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</si>
  <si>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</si>
  <si>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</si>
  <si>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</si>
  <si>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</si>
  <si>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</si>
  <si>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</si>
  <si>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</si>
  <si>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</si>
  <si>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</si>
  <si>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</si>
  <si>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</si>
  <si>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</si>
  <si>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</si>
  <si>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</si>
  <si>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</si>
  <si>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</si>
  <si>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</si>
  <si>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</si>
  <si>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</si>
  <si>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</si>
  <si>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</si>
  <si>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</si>
  <si>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</si>
  <si>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</si>
  <si>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</si>
  <si>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</si>
  <si>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</si>
  <si>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</si>
  <si>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</si>
  <si>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</si>
  <si>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</si>
  <si>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</si>
  <si>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</si>
  <si>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</si>
  <si>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</si>
  <si>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</si>
  <si>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</si>
  <si>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</si>
  <si>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</si>
  <si>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</si>
  <si>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</si>
  <si>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</si>
  <si>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</si>
  <si>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</si>
  <si>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</si>
  <si>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</si>
  <si>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</si>
  <si>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</si>
  <si>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</si>
  <si>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</si>
  <si>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</si>
  <si>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</si>
  <si>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</si>
  <si>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</si>
  <si>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</si>
  <si>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</si>
  <si>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</si>
  <si>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</si>
  <si>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</si>
  <si>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</si>
  <si>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</si>
  <si>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</si>
  <si>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</si>
  <si>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</si>
  <si>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</si>
  <si>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</si>
  <si>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</si>
  <si>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</si>
  <si>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</si>
  <si>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</si>
  <si>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</si>
  <si>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</si>
  <si>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</si>
  <si>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</si>
  <si>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</si>
  <si>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</si>
  <si>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</si>
  <si>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</si>
  <si>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</si>
  <si>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</si>
  <si>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</si>
  <si>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</si>
  <si>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</si>
  <si>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</si>
  <si>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</si>
  <si>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</si>
  <si>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</si>
  <si>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</si>
  <si>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</si>
  <si>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</si>
  <si>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</si>
  <si>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</si>
  <si>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</si>
  <si>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</si>
  <si>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</si>
  <si>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</si>
  <si>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</si>
  <si>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</si>
  <si>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</si>
  <si>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</si>
  <si>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</si>
  <si>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</si>
  <si>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</si>
  <si>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</si>
  <si>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</si>
  <si>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</si>
  <si>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</si>
  <si>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</si>
  <si>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</si>
  <si>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</si>
  <si>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</si>
  <si>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</si>
  <si>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</si>
  <si>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</si>
  <si>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</si>
  <si>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</si>
  <si>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</si>
  <si>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</si>
  <si>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</si>
  <si>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</si>
  <si>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</si>
  <si>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</si>
  <si>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</si>
  <si>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</si>
  <si>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</si>
  <si>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</si>
  <si>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</si>
  <si>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</si>
  <si>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</si>
  <si>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</si>
  <si>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</si>
  <si>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</si>
  <si>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</si>
  <si>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</si>
  <si>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</si>
  <si>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</si>
  <si>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</si>
  <si>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</si>
  <si>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</si>
  <si>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</si>
  <si>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</si>
  <si>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</si>
  <si>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</si>
  <si>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</si>
  <si>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</si>
  <si>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</si>
  <si>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</si>
  <si>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</si>
  <si>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</si>
  <si>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</si>
  <si>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</si>
  <si>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</si>
  <si>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</si>
  <si>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</si>
  <si>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</si>
  <si>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</si>
  <si>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</si>
  <si>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</si>
  <si>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</si>
  <si>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</si>
  <si>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</si>
  <si>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</si>
  <si>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</si>
  <si>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</si>
  <si>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</si>
  <si>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</si>
  <si>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</si>
  <si>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</si>
  <si>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</si>
  <si>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</si>
  <si>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</si>
  <si>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</si>
  <si>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</si>
  <si>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</si>
  <si>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</si>
  <si>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</si>
  <si>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</si>
  <si>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</si>
  <si>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</si>
  <si>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</si>
  <si>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</si>
  <si>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</si>
  <si>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</si>
  <si>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</si>
  <si>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</si>
  <si>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</si>
  <si>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</si>
  <si>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</si>
  <si>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</si>
  <si>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</si>
  <si>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</si>
  <si>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</si>
  <si>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</si>
  <si>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</si>
  <si>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</si>
  <si>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</si>
  <si>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</si>
  <si>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</si>
  <si>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</si>
  <si>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</si>
  <si>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</si>
  <si>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</si>
  <si>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</si>
  <si>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</si>
  <si>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</si>
  <si>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</si>
  <si>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</si>
  <si>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</si>
  <si>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</si>
  <si>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</si>
  <si>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</si>
  <si>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</si>
  <si>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</si>
  <si>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</si>
  <si>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</si>
  <si>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</si>
  <si>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</si>
  <si>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</si>
  <si>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</si>
  <si>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</si>
  <si>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</si>
  <si>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</si>
  <si>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</si>
  <si>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</si>
  <si>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</si>
  <si>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</si>
  <si>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</si>
  <si>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</si>
  <si>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</si>
  <si>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</si>
  <si>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</si>
  <si>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</si>
  <si>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</si>
  <si>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</si>
  <si>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</si>
  <si>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</si>
  <si>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</si>
  <si>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</si>
  <si>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</si>
  <si>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</si>
  <si>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</si>
  <si>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</si>
  <si>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</si>
  <si>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</si>
  <si>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</si>
  <si>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</si>
  <si>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</si>
  <si>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</si>
  <si>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</si>
  <si>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</si>
  <si>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</si>
  <si>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</si>
  <si>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</si>
  <si>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</si>
  <si>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</si>
  <si>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</si>
  <si>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</si>
  <si>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</si>
  <si>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</si>
  <si>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</si>
  <si>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</si>
  <si>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</si>
  <si>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</si>
  <si>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</si>
  <si>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</si>
  <si>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</si>
  <si>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</si>
  <si>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</si>
  <si>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</si>
  <si>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</si>
  <si>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</si>
  <si>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</si>
  <si>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</si>
  <si>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</si>
  <si>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</si>
  <si>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</si>
  <si>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</si>
  <si>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</si>
  <si>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</si>
  <si>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</si>
  <si>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</si>
  <si>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</si>
  <si>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</si>
  <si>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</si>
  <si>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</si>
  <si>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</si>
  <si>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</si>
  <si>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</si>
  <si>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</si>
  <si>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</si>
  <si>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</si>
  <si>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</si>
  <si>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</si>
  <si>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</si>
  <si>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</si>
  <si>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</si>
  <si>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</si>
  <si>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</si>
  <si>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</si>
  <si>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</si>
  <si>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</si>
  <si>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</si>
  <si>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</si>
  <si>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</si>
  <si>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</si>
  <si>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</si>
  <si>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</si>
  <si>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</si>
  <si>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</si>
  <si>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</si>
  <si>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</si>
  <si>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</si>
  <si>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</si>
  <si>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</si>
  <si>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</si>
  <si>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</si>
  <si>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</si>
  <si>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</si>
  <si>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</si>
  <si>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</si>
  <si>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</si>
  <si>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Day 77 — Dynamic Arrays Advanced</t>
  </si>
  <si>
    <t>Practice Topics: SORTBY, FILTER AND/OR, TAKE, VSTACK</t>
  </si>
  <si>
    <t>SORTBY Multiple Conditions</t>
  </si>
  <si>
    <t>North AND Sales &gt; 50000</t>
  </si>
  <si>
    <t>Top 5 Sales</t>
  </si>
  <si>
    <t>Bottom 3 Sales</t>
  </si>
  <si>
    <t>Q1 sales + Q2  sales 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</si>
</sst>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/>
    <xf numFmtId="0" fontId="0" fillId="0" borderId="0" xfId="0" applyBorder="1"/>
    <xf numFmtId="0" fontId="0" fillId="5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1001">
  <autoFilter ref="A1:H1001" xr:uid="{00000000-0009-0000-0100-000001000000}"/>
  <tableColumns count="8">
    <tableColumn id="1" xr3:uid="{00000000-0010-0000-0000-000001000000}" name="OrderID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Month"/>
    <tableColumn id="6" xr3:uid="{00000000-0010-0000-0000-000006000000}" name="Sales_Amount"/>
    <tableColumn id="7" xr3:uid="{00000000-0010-0000-0000-000007000000}" name="Units_Sold"/>
    <tableColumn id="8" xr3:uid="{00000000-0010-0000-0000-000008000000}" name="Cost_Am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F17" sqref="F17"/>
    </sheetView>
  </sheetViews>
  <sheetFormatPr defaultRowHeight="14.4" x14ac:dyDescent="0.3"/>
  <cols>
    <col min="1" max="1" width="10" bestFit="1" customWidth="1"/>
    <col min="2" max="2" width="11.77734375" bestFit="1" customWidth="1"/>
    <col min="3" max="3" width="11" bestFit="1" customWidth="1"/>
    <col min="5" max="5" width="11.21875" bestFit="1" customWidth="1"/>
    <col min="6" max="6" width="15.6640625" bestFit="1" customWidth="1"/>
    <col min="7" max="7" width="12.4414062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68043</v>
      </c>
      <c r="G2">
        <v>4</v>
      </c>
      <c r="H2">
        <v>49221</v>
      </c>
    </row>
    <row r="3" spans="1:8" x14ac:dyDescent="0.3">
      <c r="A3" t="s">
        <v>13</v>
      </c>
      <c r="B3" t="s">
        <v>14</v>
      </c>
      <c r="C3" t="s">
        <v>15</v>
      </c>
      <c r="D3" t="s">
        <v>11</v>
      </c>
      <c r="E3" t="s">
        <v>16</v>
      </c>
      <c r="F3">
        <v>67340</v>
      </c>
      <c r="G3">
        <v>3</v>
      </c>
      <c r="H3">
        <v>46019</v>
      </c>
    </row>
    <row r="4" spans="1:8" x14ac:dyDescent="0.3">
      <c r="A4" t="s">
        <v>17</v>
      </c>
      <c r="B4" t="s">
        <v>18</v>
      </c>
      <c r="C4" t="s">
        <v>15</v>
      </c>
      <c r="D4" t="s">
        <v>11</v>
      </c>
      <c r="E4" t="s">
        <v>19</v>
      </c>
      <c r="F4">
        <v>135324</v>
      </c>
      <c r="G4">
        <v>3</v>
      </c>
      <c r="H4">
        <v>97279</v>
      </c>
    </row>
    <row r="5" spans="1:8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91897</v>
      </c>
      <c r="G5">
        <v>6</v>
      </c>
      <c r="H5">
        <v>56755</v>
      </c>
    </row>
    <row r="6" spans="1:8" x14ac:dyDescent="0.3">
      <c r="A6" t="s">
        <v>25</v>
      </c>
      <c r="B6" t="s">
        <v>9</v>
      </c>
      <c r="C6" t="s">
        <v>10</v>
      </c>
      <c r="D6" t="s">
        <v>23</v>
      </c>
      <c r="E6" t="s">
        <v>12</v>
      </c>
      <c r="F6">
        <v>64139</v>
      </c>
      <c r="G6">
        <v>4</v>
      </c>
      <c r="H6">
        <v>39174</v>
      </c>
    </row>
    <row r="7" spans="1:8" x14ac:dyDescent="0.3">
      <c r="A7" t="s">
        <v>26</v>
      </c>
      <c r="B7" t="s">
        <v>21</v>
      </c>
      <c r="C7" t="s">
        <v>22</v>
      </c>
      <c r="D7" t="s">
        <v>23</v>
      </c>
      <c r="E7" t="s">
        <v>27</v>
      </c>
      <c r="F7">
        <v>146228</v>
      </c>
      <c r="G7">
        <v>2</v>
      </c>
      <c r="H7">
        <v>89926</v>
      </c>
    </row>
    <row r="8" spans="1:8" x14ac:dyDescent="0.3">
      <c r="A8" t="s">
        <v>28</v>
      </c>
      <c r="B8" t="s">
        <v>21</v>
      </c>
      <c r="C8" t="s">
        <v>22</v>
      </c>
      <c r="D8" t="s">
        <v>11</v>
      </c>
      <c r="E8" t="s">
        <v>29</v>
      </c>
      <c r="F8">
        <v>29883</v>
      </c>
      <c r="G8">
        <v>10</v>
      </c>
      <c r="H8">
        <v>19997</v>
      </c>
    </row>
    <row r="9" spans="1:8" x14ac:dyDescent="0.3">
      <c r="A9" t="s">
        <v>30</v>
      </c>
      <c r="B9" t="s">
        <v>14</v>
      </c>
      <c r="C9" t="s">
        <v>15</v>
      </c>
      <c r="D9" t="s">
        <v>31</v>
      </c>
      <c r="E9" t="s">
        <v>32</v>
      </c>
      <c r="F9">
        <v>121590</v>
      </c>
      <c r="G9">
        <v>11</v>
      </c>
      <c r="H9">
        <v>87122</v>
      </c>
    </row>
    <row r="10" spans="1:8" x14ac:dyDescent="0.3">
      <c r="A10" t="s">
        <v>33</v>
      </c>
      <c r="B10" t="s">
        <v>14</v>
      </c>
      <c r="C10" t="s">
        <v>15</v>
      </c>
      <c r="D10" t="s">
        <v>11</v>
      </c>
      <c r="E10" t="s">
        <v>34</v>
      </c>
      <c r="F10">
        <v>19783</v>
      </c>
      <c r="G10">
        <v>14</v>
      </c>
      <c r="H10">
        <v>14371</v>
      </c>
    </row>
    <row r="11" spans="1:8" x14ac:dyDescent="0.3">
      <c r="A11" t="s">
        <v>35</v>
      </c>
      <c r="B11" t="s">
        <v>36</v>
      </c>
      <c r="C11" t="s">
        <v>22</v>
      </c>
      <c r="D11" t="s">
        <v>37</v>
      </c>
      <c r="E11" t="s">
        <v>12</v>
      </c>
      <c r="F11">
        <v>128807</v>
      </c>
      <c r="G11">
        <v>7</v>
      </c>
      <c r="H11">
        <v>91546</v>
      </c>
    </row>
    <row r="12" spans="1:8" x14ac:dyDescent="0.3">
      <c r="A12" t="s">
        <v>38</v>
      </c>
      <c r="B12" t="s">
        <v>36</v>
      </c>
      <c r="C12" t="s">
        <v>22</v>
      </c>
      <c r="D12" t="s">
        <v>31</v>
      </c>
      <c r="E12" t="s">
        <v>19</v>
      </c>
      <c r="F12">
        <v>18692</v>
      </c>
      <c r="G12">
        <v>8</v>
      </c>
      <c r="H12">
        <v>12988</v>
      </c>
    </row>
    <row r="13" spans="1:8" x14ac:dyDescent="0.3">
      <c r="A13" t="s">
        <v>39</v>
      </c>
      <c r="B13" t="s">
        <v>40</v>
      </c>
      <c r="C13" t="s">
        <v>10</v>
      </c>
      <c r="D13" t="s">
        <v>23</v>
      </c>
      <c r="E13" t="s">
        <v>29</v>
      </c>
      <c r="F13">
        <v>72119</v>
      </c>
      <c r="G13">
        <v>9</v>
      </c>
      <c r="H13">
        <v>53062</v>
      </c>
    </row>
    <row r="14" spans="1:8" x14ac:dyDescent="0.3">
      <c r="A14" t="s">
        <v>41</v>
      </c>
      <c r="B14" t="s">
        <v>42</v>
      </c>
      <c r="C14" t="s">
        <v>10</v>
      </c>
      <c r="D14" t="s">
        <v>31</v>
      </c>
      <c r="E14" t="s">
        <v>43</v>
      </c>
      <c r="F14">
        <v>128605</v>
      </c>
      <c r="G14">
        <v>14</v>
      </c>
      <c r="H14">
        <v>90511</v>
      </c>
    </row>
    <row r="15" spans="1:8" x14ac:dyDescent="0.3">
      <c r="A15" t="s">
        <v>44</v>
      </c>
      <c r="B15" t="s">
        <v>14</v>
      </c>
      <c r="C15" t="s">
        <v>15</v>
      </c>
      <c r="D15" t="s">
        <v>37</v>
      </c>
      <c r="E15" t="s">
        <v>32</v>
      </c>
      <c r="F15">
        <v>144244</v>
      </c>
      <c r="G15">
        <v>2</v>
      </c>
      <c r="H15">
        <v>86917</v>
      </c>
    </row>
    <row r="16" spans="1:8" x14ac:dyDescent="0.3">
      <c r="A16" t="s">
        <v>45</v>
      </c>
      <c r="B16" t="s">
        <v>42</v>
      </c>
      <c r="C16" t="s">
        <v>10</v>
      </c>
      <c r="D16" t="s">
        <v>11</v>
      </c>
      <c r="E16" t="s">
        <v>46</v>
      </c>
      <c r="F16">
        <v>5186</v>
      </c>
      <c r="G16">
        <v>1</v>
      </c>
      <c r="H16">
        <v>3729</v>
      </c>
    </row>
    <row r="17" spans="1:8" x14ac:dyDescent="0.3">
      <c r="A17" t="s">
        <v>47</v>
      </c>
      <c r="B17" t="s">
        <v>48</v>
      </c>
      <c r="C17" t="s">
        <v>15</v>
      </c>
      <c r="D17" t="s">
        <v>31</v>
      </c>
      <c r="E17" t="s">
        <v>49</v>
      </c>
      <c r="F17">
        <v>7151</v>
      </c>
      <c r="G17">
        <v>4</v>
      </c>
      <c r="H17">
        <v>4385</v>
      </c>
    </row>
    <row r="18" spans="1:8" x14ac:dyDescent="0.3">
      <c r="A18" t="s">
        <v>50</v>
      </c>
      <c r="B18" t="s">
        <v>42</v>
      </c>
      <c r="C18" t="s">
        <v>10</v>
      </c>
      <c r="D18" t="s">
        <v>31</v>
      </c>
      <c r="E18" t="s">
        <v>46</v>
      </c>
      <c r="F18">
        <v>129754</v>
      </c>
      <c r="G18">
        <v>2</v>
      </c>
      <c r="H18">
        <v>95053</v>
      </c>
    </row>
    <row r="19" spans="1:8" x14ac:dyDescent="0.3">
      <c r="A19" t="s">
        <v>51</v>
      </c>
      <c r="B19" t="s">
        <v>48</v>
      </c>
      <c r="C19" t="s">
        <v>15</v>
      </c>
      <c r="D19" t="s">
        <v>37</v>
      </c>
      <c r="E19" t="s">
        <v>32</v>
      </c>
      <c r="F19">
        <v>60032</v>
      </c>
      <c r="G19">
        <v>13</v>
      </c>
      <c r="H19">
        <v>43561</v>
      </c>
    </row>
    <row r="20" spans="1:8" x14ac:dyDescent="0.3">
      <c r="A20" t="s">
        <v>52</v>
      </c>
      <c r="B20" t="s">
        <v>48</v>
      </c>
      <c r="C20" t="s">
        <v>15</v>
      </c>
      <c r="D20" t="s">
        <v>37</v>
      </c>
      <c r="E20" t="s">
        <v>24</v>
      </c>
      <c r="F20">
        <v>11578</v>
      </c>
      <c r="G20">
        <v>1</v>
      </c>
      <c r="H20">
        <v>8611</v>
      </c>
    </row>
    <row r="21" spans="1:8" x14ac:dyDescent="0.3">
      <c r="A21" t="s">
        <v>53</v>
      </c>
      <c r="B21" t="s">
        <v>21</v>
      </c>
      <c r="C21" t="s">
        <v>22</v>
      </c>
      <c r="D21" t="s">
        <v>23</v>
      </c>
      <c r="E21" t="s">
        <v>27</v>
      </c>
      <c r="F21">
        <v>114397</v>
      </c>
      <c r="G21">
        <v>8</v>
      </c>
      <c r="H21">
        <v>77327</v>
      </c>
    </row>
    <row r="22" spans="1:8" x14ac:dyDescent="0.3">
      <c r="A22" t="s">
        <v>54</v>
      </c>
      <c r="B22" t="s">
        <v>14</v>
      </c>
      <c r="C22" t="s">
        <v>15</v>
      </c>
      <c r="D22" t="s">
        <v>23</v>
      </c>
      <c r="E22" t="s">
        <v>27</v>
      </c>
      <c r="F22">
        <v>113793</v>
      </c>
      <c r="G22">
        <v>5</v>
      </c>
      <c r="H22">
        <v>77509</v>
      </c>
    </row>
    <row r="23" spans="1:8" x14ac:dyDescent="0.3">
      <c r="A23" t="s">
        <v>55</v>
      </c>
      <c r="B23" t="s">
        <v>9</v>
      </c>
      <c r="C23" t="s">
        <v>10</v>
      </c>
      <c r="D23" t="s">
        <v>23</v>
      </c>
      <c r="E23" t="s">
        <v>12</v>
      </c>
      <c r="F23">
        <v>9797</v>
      </c>
      <c r="G23">
        <v>10</v>
      </c>
      <c r="H23">
        <v>6593</v>
      </c>
    </row>
    <row r="24" spans="1:8" x14ac:dyDescent="0.3">
      <c r="A24" t="s">
        <v>56</v>
      </c>
      <c r="B24" t="s">
        <v>18</v>
      </c>
      <c r="C24" t="s">
        <v>15</v>
      </c>
      <c r="D24" t="s">
        <v>31</v>
      </c>
      <c r="E24" t="s">
        <v>49</v>
      </c>
      <c r="F24">
        <v>42047</v>
      </c>
      <c r="G24">
        <v>1</v>
      </c>
      <c r="H24">
        <v>25795</v>
      </c>
    </row>
    <row r="25" spans="1:8" x14ac:dyDescent="0.3">
      <c r="A25" t="s">
        <v>57</v>
      </c>
      <c r="B25" t="s">
        <v>14</v>
      </c>
      <c r="C25" t="s">
        <v>15</v>
      </c>
      <c r="D25" t="s">
        <v>37</v>
      </c>
      <c r="E25" t="s">
        <v>43</v>
      </c>
      <c r="F25">
        <v>26780</v>
      </c>
      <c r="G25">
        <v>13</v>
      </c>
      <c r="H25">
        <v>17775</v>
      </c>
    </row>
    <row r="26" spans="1:8" x14ac:dyDescent="0.3">
      <c r="A26" t="s">
        <v>58</v>
      </c>
      <c r="B26" t="s">
        <v>14</v>
      </c>
      <c r="C26" t="s">
        <v>15</v>
      </c>
      <c r="D26" t="s">
        <v>23</v>
      </c>
      <c r="E26" t="s">
        <v>32</v>
      </c>
      <c r="F26">
        <v>125651</v>
      </c>
      <c r="G26">
        <v>15</v>
      </c>
      <c r="H26">
        <v>84594</v>
      </c>
    </row>
    <row r="27" spans="1:8" x14ac:dyDescent="0.3">
      <c r="A27" t="s">
        <v>59</v>
      </c>
      <c r="B27" t="s">
        <v>36</v>
      </c>
      <c r="C27" t="s">
        <v>22</v>
      </c>
      <c r="D27" t="s">
        <v>37</v>
      </c>
      <c r="E27" t="s">
        <v>43</v>
      </c>
      <c r="F27">
        <v>117226</v>
      </c>
      <c r="G27">
        <v>14</v>
      </c>
      <c r="H27">
        <v>74749</v>
      </c>
    </row>
    <row r="28" spans="1:8" x14ac:dyDescent="0.3">
      <c r="A28" t="s">
        <v>60</v>
      </c>
      <c r="B28" t="s">
        <v>14</v>
      </c>
      <c r="C28" t="s">
        <v>15</v>
      </c>
      <c r="D28" t="s">
        <v>11</v>
      </c>
      <c r="E28" t="s">
        <v>61</v>
      </c>
      <c r="F28">
        <v>55810</v>
      </c>
      <c r="G28">
        <v>13</v>
      </c>
      <c r="H28">
        <v>35838</v>
      </c>
    </row>
    <row r="29" spans="1:8" x14ac:dyDescent="0.3">
      <c r="A29" t="s">
        <v>62</v>
      </c>
      <c r="B29" t="s">
        <v>40</v>
      </c>
      <c r="C29" t="s">
        <v>10</v>
      </c>
      <c r="D29" t="s">
        <v>23</v>
      </c>
      <c r="E29" t="s">
        <v>49</v>
      </c>
      <c r="F29">
        <v>142472</v>
      </c>
      <c r="G29">
        <v>7</v>
      </c>
      <c r="H29">
        <v>96261</v>
      </c>
    </row>
    <row r="30" spans="1:8" x14ac:dyDescent="0.3">
      <c r="A30" t="s">
        <v>63</v>
      </c>
      <c r="B30" t="s">
        <v>36</v>
      </c>
      <c r="C30" t="s">
        <v>22</v>
      </c>
      <c r="D30" t="s">
        <v>11</v>
      </c>
      <c r="E30" t="s">
        <v>46</v>
      </c>
      <c r="F30">
        <v>86050</v>
      </c>
      <c r="G30">
        <v>15</v>
      </c>
      <c r="H30">
        <v>52648</v>
      </c>
    </row>
    <row r="31" spans="1:8" x14ac:dyDescent="0.3">
      <c r="A31" t="s">
        <v>64</v>
      </c>
      <c r="B31" t="s">
        <v>14</v>
      </c>
      <c r="C31" t="s">
        <v>15</v>
      </c>
      <c r="D31" t="s">
        <v>37</v>
      </c>
      <c r="E31" t="s">
        <v>24</v>
      </c>
      <c r="F31">
        <v>99256</v>
      </c>
      <c r="G31">
        <v>15</v>
      </c>
      <c r="H31">
        <v>71189</v>
      </c>
    </row>
    <row r="32" spans="1:8" x14ac:dyDescent="0.3">
      <c r="A32" t="s">
        <v>65</v>
      </c>
      <c r="B32" t="s">
        <v>18</v>
      </c>
      <c r="C32" t="s">
        <v>15</v>
      </c>
      <c r="D32" t="s">
        <v>37</v>
      </c>
      <c r="E32" t="s">
        <v>27</v>
      </c>
      <c r="F32">
        <v>19932</v>
      </c>
      <c r="G32">
        <v>9</v>
      </c>
      <c r="H32">
        <v>12025</v>
      </c>
    </row>
    <row r="33" spans="1:8" x14ac:dyDescent="0.3">
      <c r="A33" t="s">
        <v>66</v>
      </c>
      <c r="B33" t="s">
        <v>14</v>
      </c>
      <c r="C33" t="s">
        <v>15</v>
      </c>
      <c r="D33" t="s">
        <v>37</v>
      </c>
      <c r="E33" t="s">
        <v>32</v>
      </c>
      <c r="F33">
        <v>47191</v>
      </c>
      <c r="G33">
        <v>11</v>
      </c>
      <c r="H33">
        <v>35173</v>
      </c>
    </row>
    <row r="34" spans="1:8" x14ac:dyDescent="0.3">
      <c r="A34" t="s">
        <v>67</v>
      </c>
      <c r="B34" t="s">
        <v>18</v>
      </c>
      <c r="C34" t="s">
        <v>15</v>
      </c>
      <c r="D34" t="s">
        <v>23</v>
      </c>
      <c r="E34" t="s">
        <v>29</v>
      </c>
      <c r="F34">
        <v>83754</v>
      </c>
      <c r="G34">
        <v>2</v>
      </c>
      <c r="H34">
        <v>54769</v>
      </c>
    </row>
    <row r="35" spans="1:8" x14ac:dyDescent="0.3">
      <c r="A35" t="s">
        <v>68</v>
      </c>
      <c r="B35" t="s">
        <v>18</v>
      </c>
      <c r="C35" t="s">
        <v>15</v>
      </c>
      <c r="D35" t="s">
        <v>31</v>
      </c>
      <c r="E35" t="s">
        <v>16</v>
      </c>
      <c r="F35">
        <v>44018</v>
      </c>
      <c r="G35">
        <v>8</v>
      </c>
      <c r="H35">
        <v>29082</v>
      </c>
    </row>
    <row r="36" spans="1:8" x14ac:dyDescent="0.3">
      <c r="A36" t="s">
        <v>69</v>
      </c>
      <c r="B36" t="s">
        <v>14</v>
      </c>
      <c r="C36" t="s">
        <v>15</v>
      </c>
      <c r="D36" t="s">
        <v>23</v>
      </c>
      <c r="E36" t="s">
        <v>19</v>
      </c>
      <c r="F36">
        <v>33723</v>
      </c>
      <c r="G36">
        <v>1</v>
      </c>
      <c r="H36">
        <v>22135</v>
      </c>
    </row>
    <row r="37" spans="1:8" x14ac:dyDescent="0.3">
      <c r="A37" t="s">
        <v>70</v>
      </c>
      <c r="B37" t="s">
        <v>48</v>
      </c>
      <c r="C37" t="s">
        <v>15</v>
      </c>
      <c r="D37" t="s">
        <v>31</v>
      </c>
      <c r="E37" t="s">
        <v>43</v>
      </c>
      <c r="F37">
        <v>73595</v>
      </c>
      <c r="G37">
        <v>14</v>
      </c>
      <c r="H37">
        <v>50770</v>
      </c>
    </row>
    <row r="38" spans="1:8" x14ac:dyDescent="0.3">
      <c r="A38" t="s">
        <v>71</v>
      </c>
      <c r="B38" t="s">
        <v>9</v>
      </c>
      <c r="C38" t="s">
        <v>10</v>
      </c>
      <c r="D38" t="s">
        <v>37</v>
      </c>
      <c r="E38" t="s">
        <v>34</v>
      </c>
      <c r="F38">
        <v>28015</v>
      </c>
      <c r="G38">
        <v>2</v>
      </c>
      <c r="H38">
        <v>16998</v>
      </c>
    </row>
    <row r="39" spans="1:8" x14ac:dyDescent="0.3">
      <c r="A39" t="s">
        <v>72</v>
      </c>
      <c r="B39" t="s">
        <v>36</v>
      </c>
      <c r="C39" t="s">
        <v>22</v>
      </c>
      <c r="D39" t="s">
        <v>31</v>
      </c>
      <c r="E39" t="s">
        <v>24</v>
      </c>
      <c r="F39">
        <v>131259</v>
      </c>
      <c r="G39">
        <v>4</v>
      </c>
      <c r="H39">
        <v>89416</v>
      </c>
    </row>
    <row r="40" spans="1:8" x14ac:dyDescent="0.3">
      <c r="A40" t="s">
        <v>73</v>
      </c>
      <c r="B40" t="s">
        <v>40</v>
      </c>
      <c r="C40" t="s">
        <v>10</v>
      </c>
      <c r="D40" t="s">
        <v>11</v>
      </c>
      <c r="E40" t="s">
        <v>16</v>
      </c>
      <c r="F40">
        <v>65200</v>
      </c>
      <c r="G40">
        <v>4</v>
      </c>
      <c r="H40">
        <v>43873</v>
      </c>
    </row>
    <row r="41" spans="1:8" x14ac:dyDescent="0.3">
      <c r="A41" t="s">
        <v>74</v>
      </c>
      <c r="B41" t="s">
        <v>36</v>
      </c>
      <c r="C41" t="s">
        <v>22</v>
      </c>
      <c r="D41" t="s">
        <v>23</v>
      </c>
      <c r="E41" t="s">
        <v>49</v>
      </c>
      <c r="F41">
        <v>56280</v>
      </c>
      <c r="G41">
        <v>7</v>
      </c>
      <c r="H41">
        <v>39646</v>
      </c>
    </row>
    <row r="42" spans="1:8" x14ac:dyDescent="0.3">
      <c r="A42" t="s">
        <v>75</v>
      </c>
      <c r="B42" t="s">
        <v>21</v>
      </c>
      <c r="C42" t="s">
        <v>22</v>
      </c>
      <c r="D42" t="s">
        <v>11</v>
      </c>
      <c r="E42" t="s">
        <v>43</v>
      </c>
      <c r="F42">
        <v>91694</v>
      </c>
      <c r="G42">
        <v>6</v>
      </c>
      <c r="H42">
        <v>68287</v>
      </c>
    </row>
    <row r="43" spans="1:8" x14ac:dyDescent="0.3">
      <c r="A43" t="s">
        <v>76</v>
      </c>
      <c r="B43" t="s">
        <v>36</v>
      </c>
      <c r="C43" t="s">
        <v>22</v>
      </c>
      <c r="D43" t="s">
        <v>37</v>
      </c>
      <c r="E43" t="s">
        <v>34</v>
      </c>
      <c r="F43">
        <v>136249</v>
      </c>
      <c r="G43">
        <v>6</v>
      </c>
      <c r="H43">
        <v>97791</v>
      </c>
    </row>
    <row r="44" spans="1:8" x14ac:dyDescent="0.3">
      <c r="A44" t="s">
        <v>77</v>
      </c>
      <c r="B44" t="s">
        <v>21</v>
      </c>
      <c r="C44" t="s">
        <v>22</v>
      </c>
      <c r="D44" t="s">
        <v>11</v>
      </c>
      <c r="E44" t="s">
        <v>61</v>
      </c>
      <c r="F44">
        <v>64173</v>
      </c>
      <c r="G44">
        <v>3</v>
      </c>
      <c r="H44">
        <v>41822</v>
      </c>
    </row>
    <row r="45" spans="1:8" x14ac:dyDescent="0.3">
      <c r="A45" t="s">
        <v>78</v>
      </c>
      <c r="B45" t="s">
        <v>48</v>
      </c>
      <c r="C45" t="s">
        <v>15</v>
      </c>
      <c r="D45" t="s">
        <v>11</v>
      </c>
      <c r="E45" t="s">
        <v>34</v>
      </c>
      <c r="F45">
        <v>122167</v>
      </c>
      <c r="G45">
        <v>5</v>
      </c>
      <c r="H45">
        <v>78842</v>
      </c>
    </row>
    <row r="46" spans="1:8" x14ac:dyDescent="0.3">
      <c r="A46" t="s">
        <v>79</v>
      </c>
      <c r="B46" t="s">
        <v>21</v>
      </c>
      <c r="C46" t="s">
        <v>22</v>
      </c>
      <c r="D46" t="s">
        <v>31</v>
      </c>
      <c r="E46" t="s">
        <v>16</v>
      </c>
      <c r="F46">
        <v>22817</v>
      </c>
      <c r="G46">
        <v>5</v>
      </c>
      <c r="H46">
        <v>14680</v>
      </c>
    </row>
    <row r="47" spans="1:8" x14ac:dyDescent="0.3">
      <c r="A47" t="s">
        <v>80</v>
      </c>
      <c r="B47" t="s">
        <v>18</v>
      </c>
      <c r="C47" t="s">
        <v>15</v>
      </c>
      <c r="D47" t="s">
        <v>11</v>
      </c>
      <c r="E47" t="s">
        <v>27</v>
      </c>
      <c r="F47">
        <v>114846</v>
      </c>
      <c r="G47">
        <v>7</v>
      </c>
      <c r="H47">
        <v>77887</v>
      </c>
    </row>
    <row r="48" spans="1:8" x14ac:dyDescent="0.3">
      <c r="A48" t="s">
        <v>81</v>
      </c>
      <c r="B48" t="s">
        <v>36</v>
      </c>
      <c r="C48" t="s">
        <v>22</v>
      </c>
      <c r="D48" t="s">
        <v>23</v>
      </c>
      <c r="E48" t="s">
        <v>29</v>
      </c>
      <c r="F48">
        <v>120426</v>
      </c>
      <c r="G48">
        <v>13</v>
      </c>
      <c r="H48">
        <v>87823</v>
      </c>
    </row>
    <row r="49" spans="1:8" x14ac:dyDescent="0.3">
      <c r="A49" t="s">
        <v>82</v>
      </c>
      <c r="B49" t="s">
        <v>40</v>
      </c>
      <c r="C49" t="s">
        <v>10</v>
      </c>
      <c r="D49" t="s">
        <v>23</v>
      </c>
      <c r="E49" t="s">
        <v>16</v>
      </c>
      <c r="F49">
        <v>105320</v>
      </c>
      <c r="G49">
        <v>15</v>
      </c>
      <c r="H49">
        <v>65870</v>
      </c>
    </row>
    <row r="50" spans="1:8" x14ac:dyDescent="0.3">
      <c r="A50" t="s">
        <v>83</v>
      </c>
      <c r="B50" t="s">
        <v>36</v>
      </c>
      <c r="C50" t="s">
        <v>22</v>
      </c>
      <c r="D50" t="s">
        <v>23</v>
      </c>
      <c r="E50" t="s">
        <v>27</v>
      </c>
      <c r="F50">
        <v>73452</v>
      </c>
      <c r="G50">
        <v>1</v>
      </c>
      <c r="H50">
        <v>54728</v>
      </c>
    </row>
    <row r="51" spans="1:8" x14ac:dyDescent="0.3">
      <c r="A51" t="s">
        <v>84</v>
      </c>
      <c r="B51" t="s">
        <v>9</v>
      </c>
      <c r="C51" t="s">
        <v>10</v>
      </c>
      <c r="D51" t="s">
        <v>11</v>
      </c>
      <c r="E51" t="s">
        <v>16</v>
      </c>
      <c r="F51">
        <v>139008</v>
      </c>
      <c r="G51">
        <v>14</v>
      </c>
      <c r="H51">
        <v>92617</v>
      </c>
    </row>
    <row r="52" spans="1:8" x14ac:dyDescent="0.3">
      <c r="A52" t="s">
        <v>85</v>
      </c>
      <c r="B52" t="s">
        <v>18</v>
      </c>
      <c r="C52" t="s">
        <v>15</v>
      </c>
      <c r="D52" t="s">
        <v>31</v>
      </c>
      <c r="E52" t="s">
        <v>46</v>
      </c>
      <c r="F52">
        <v>91665</v>
      </c>
      <c r="G52">
        <v>15</v>
      </c>
      <c r="H52">
        <v>68355</v>
      </c>
    </row>
    <row r="53" spans="1:8" x14ac:dyDescent="0.3">
      <c r="A53" t="s">
        <v>86</v>
      </c>
      <c r="B53" t="s">
        <v>9</v>
      </c>
      <c r="C53" t="s">
        <v>10</v>
      </c>
      <c r="D53" t="s">
        <v>31</v>
      </c>
      <c r="E53" t="s">
        <v>61</v>
      </c>
      <c r="F53">
        <v>98392</v>
      </c>
      <c r="G53">
        <v>3</v>
      </c>
      <c r="H53">
        <v>60852</v>
      </c>
    </row>
    <row r="54" spans="1:8" x14ac:dyDescent="0.3">
      <c r="A54" t="s">
        <v>87</v>
      </c>
      <c r="B54" t="s">
        <v>48</v>
      </c>
      <c r="C54" t="s">
        <v>15</v>
      </c>
      <c r="D54" t="s">
        <v>37</v>
      </c>
      <c r="E54" t="s">
        <v>19</v>
      </c>
      <c r="F54">
        <v>134187</v>
      </c>
      <c r="G54">
        <v>10</v>
      </c>
      <c r="H54">
        <v>86430</v>
      </c>
    </row>
    <row r="55" spans="1:8" x14ac:dyDescent="0.3">
      <c r="A55" t="s">
        <v>88</v>
      </c>
      <c r="B55" t="s">
        <v>40</v>
      </c>
      <c r="C55" t="s">
        <v>10</v>
      </c>
      <c r="D55" t="s">
        <v>31</v>
      </c>
      <c r="E55" t="s">
        <v>43</v>
      </c>
      <c r="F55">
        <v>72091</v>
      </c>
      <c r="G55">
        <v>13</v>
      </c>
      <c r="H55">
        <v>51787</v>
      </c>
    </row>
    <row r="56" spans="1:8" x14ac:dyDescent="0.3">
      <c r="A56" t="s">
        <v>89</v>
      </c>
      <c r="B56" t="s">
        <v>48</v>
      </c>
      <c r="C56" t="s">
        <v>15</v>
      </c>
      <c r="D56" t="s">
        <v>11</v>
      </c>
      <c r="E56" t="s">
        <v>46</v>
      </c>
      <c r="F56">
        <v>11398</v>
      </c>
      <c r="G56">
        <v>8</v>
      </c>
      <c r="H56">
        <v>7844</v>
      </c>
    </row>
    <row r="57" spans="1:8" x14ac:dyDescent="0.3">
      <c r="A57" t="s">
        <v>90</v>
      </c>
      <c r="B57" t="s">
        <v>36</v>
      </c>
      <c r="C57" t="s">
        <v>22</v>
      </c>
      <c r="D57" t="s">
        <v>37</v>
      </c>
      <c r="E57" t="s">
        <v>12</v>
      </c>
      <c r="F57">
        <v>14335</v>
      </c>
      <c r="G57">
        <v>15</v>
      </c>
      <c r="H57">
        <v>10604</v>
      </c>
    </row>
    <row r="58" spans="1:8" x14ac:dyDescent="0.3">
      <c r="A58" t="s">
        <v>91</v>
      </c>
      <c r="B58" t="s">
        <v>14</v>
      </c>
      <c r="C58" t="s">
        <v>15</v>
      </c>
      <c r="D58" t="s">
        <v>23</v>
      </c>
      <c r="E58" t="s">
        <v>19</v>
      </c>
      <c r="F58">
        <v>28804</v>
      </c>
      <c r="G58">
        <v>1</v>
      </c>
      <c r="H58">
        <v>17533</v>
      </c>
    </row>
    <row r="59" spans="1:8" x14ac:dyDescent="0.3">
      <c r="A59" t="s">
        <v>92</v>
      </c>
      <c r="B59" t="s">
        <v>40</v>
      </c>
      <c r="C59" t="s">
        <v>10</v>
      </c>
      <c r="D59" t="s">
        <v>23</v>
      </c>
      <c r="E59" t="s">
        <v>16</v>
      </c>
      <c r="F59">
        <v>77842</v>
      </c>
      <c r="G59">
        <v>7</v>
      </c>
      <c r="H59">
        <v>52983</v>
      </c>
    </row>
    <row r="60" spans="1:8" x14ac:dyDescent="0.3">
      <c r="A60" t="s">
        <v>93</v>
      </c>
      <c r="B60" t="s">
        <v>21</v>
      </c>
      <c r="C60" t="s">
        <v>22</v>
      </c>
      <c r="D60" t="s">
        <v>11</v>
      </c>
      <c r="E60" t="s">
        <v>34</v>
      </c>
      <c r="F60">
        <v>65448</v>
      </c>
      <c r="G60">
        <v>10</v>
      </c>
      <c r="H60">
        <v>47912</v>
      </c>
    </row>
    <row r="61" spans="1:8" x14ac:dyDescent="0.3">
      <c r="A61" t="s">
        <v>94</v>
      </c>
      <c r="B61" t="s">
        <v>18</v>
      </c>
      <c r="C61" t="s">
        <v>15</v>
      </c>
      <c r="D61" t="s">
        <v>37</v>
      </c>
      <c r="E61" t="s">
        <v>24</v>
      </c>
      <c r="F61">
        <v>60834</v>
      </c>
      <c r="G61">
        <v>5</v>
      </c>
      <c r="H61">
        <v>39700</v>
      </c>
    </row>
    <row r="62" spans="1:8" x14ac:dyDescent="0.3">
      <c r="A62" t="s">
        <v>95</v>
      </c>
      <c r="B62" t="s">
        <v>9</v>
      </c>
      <c r="C62" t="s">
        <v>10</v>
      </c>
      <c r="D62" t="s">
        <v>31</v>
      </c>
      <c r="E62" t="s">
        <v>49</v>
      </c>
      <c r="F62">
        <v>147973</v>
      </c>
      <c r="G62">
        <v>9</v>
      </c>
      <c r="H62">
        <v>90703</v>
      </c>
    </row>
    <row r="63" spans="1:8" x14ac:dyDescent="0.3">
      <c r="A63" t="s">
        <v>96</v>
      </c>
      <c r="B63" t="s">
        <v>21</v>
      </c>
      <c r="C63" t="s">
        <v>22</v>
      </c>
      <c r="D63" t="s">
        <v>11</v>
      </c>
      <c r="E63" t="s">
        <v>43</v>
      </c>
      <c r="F63">
        <v>122985</v>
      </c>
      <c r="G63">
        <v>12</v>
      </c>
      <c r="H63">
        <v>85938</v>
      </c>
    </row>
    <row r="64" spans="1:8" x14ac:dyDescent="0.3">
      <c r="A64" t="s">
        <v>97</v>
      </c>
      <c r="B64" t="s">
        <v>21</v>
      </c>
      <c r="C64" t="s">
        <v>22</v>
      </c>
      <c r="D64" t="s">
        <v>31</v>
      </c>
      <c r="E64" t="s">
        <v>34</v>
      </c>
      <c r="F64">
        <v>130698</v>
      </c>
      <c r="G64">
        <v>8</v>
      </c>
      <c r="H64">
        <v>92773</v>
      </c>
    </row>
    <row r="65" spans="1:8" x14ac:dyDescent="0.3">
      <c r="A65" t="s">
        <v>98</v>
      </c>
      <c r="B65" t="s">
        <v>36</v>
      </c>
      <c r="C65" t="s">
        <v>22</v>
      </c>
      <c r="D65" t="s">
        <v>23</v>
      </c>
      <c r="E65" t="s">
        <v>29</v>
      </c>
      <c r="F65">
        <v>101929</v>
      </c>
      <c r="G65">
        <v>3</v>
      </c>
      <c r="H65">
        <v>63028</v>
      </c>
    </row>
    <row r="66" spans="1:8" x14ac:dyDescent="0.3">
      <c r="A66" t="s">
        <v>99</v>
      </c>
      <c r="B66" t="s">
        <v>42</v>
      </c>
      <c r="C66" t="s">
        <v>10</v>
      </c>
      <c r="D66" t="s">
        <v>37</v>
      </c>
      <c r="E66" t="s">
        <v>32</v>
      </c>
      <c r="F66">
        <v>138021</v>
      </c>
      <c r="G66">
        <v>6</v>
      </c>
      <c r="H66">
        <v>98243</v>
      </c>
    </row>
    <row r="67" spans="1:8" x14ac:dyDescent="0.3">
      <c r="A67" t="s">
        <v>100</v>
      </c>
      <c r="B67" t="s">
        <v>40</v>
      </c>
      <c r="C67" t="s">
        <v>10</v>
      </c>
      <c r="D67" t="s">
        <v>23</v>
      </c>
      <c r="E67" t="s">
        <v>61</v>
      </c>
      <c r="F67">
        <v>87480</v>
      </c>
      <c r="G67">
        <v>4</v>
      </c>
      <c r="H67">
        <v>64328</v>
      </c>
    </row>
    <row r="68" spans="1:8" x14ac:dyDescent="0.3">
      <c r="A68" t="s">
        <v>101</v>
      </c>
      <c r="B68" t="s">
        <v>18</v>
      </c>
      <c r="C68" t="s">
        <v>15</v>
      </c>
      <c r="D68" t="s">
        <v>31</v>
      </c>
      <c r="E68" t="s">
        <v>19</v>
      </c>
      <c r="F68">
        <v>70496</v>
      </c>
      <c r="G68">
        <v>13</v>
      </c>
      <c r="H68">
        <v>52515</v>
      </c>
    </row>
    <row r="69" spans="1:8" x14ac:dyDescent="0.3">
      <c r="A69" t="s">
        <v>102</v>
      </c>
      <c r="B69" t="s">
        <v>18</v>
      </c>
      <c r="C69" t="s">
        <v>15</v>
      </c>
      <c r="D69" t="s">
        <v>23</v>
      </c>
      <c r="E69" t="s">
        <v>29</v>
      </c>
      <c r="F69">
        <v>58987</v>
      </c>
      <c r="G69">
        <v>12</v>
      </c>
      <c r="H69">
        <v>41993</v>
      </c>
    </row>
    <row r="70" spans="1:8" x14ac:dyDescent="0.3">
      <c r="A70" t="s">
        <v>103</v>
      </c>
      <c r="B70" t="s">
        <v>36</v>
      </c>
      <c r="C70" t="s">
        <v>22</v>
      </c>
      <c r="D70" t="s">
        <v>37</v>
      </c>
      <c r="E70" t="s">
        <v>27</v>
      </c>
      <c r="F70">
        <v>132620</v>
      </c>
      <c r="G70">
        <v>12</v>
      </c>
      <c r="H70">
        <v>95104</v>
      </c>
    </row>
    <row r="71" spans="1:8" x14ac:dyDescent="0.3">
      <c r="A71" t="s">
        <v>104</v>
      </c>
      <c r="B71" t="s">
        <v>9</v>
      </c>
      <c r="C71" t="s">
        <v>10</v>
      </c>
      <c r="D71" t="s">
        <v>11</v>
      </c>
      <c r="E71" t="s">
        <v>12</v>
      </c>
      <c r="F71">
        <v>35595</v>
      </c>
      <c r="G71">
        <v>11</v>
      </c>
      <c r="H71">
        <v>23137</v>
      </c>
    </row>
    <row r="72" spans="1:8" x14ac:dyDescent="0.3">
      <c r="A72" t="s">
        <v>105</v>
      </c>
      <c r="B72" t="s">
        <v>42</v>
      </c>
      <c r="C72" t="s">
        <v>10</v>
      </c>
      <c r="D72" t="s">
        <v>37</v>
      </c>
      <c r="E72" t="s">
        <v>46</v>
      </c>
      <c r="F72">
        <v>131803</v>
      </c>
      <c r="G72">
        <v>7</v>
      </c>
      <c r="H72">
        <v>82081</v>
      </c>
    </row>
    <row r="73" spans="1:8" x14ac:dyDescent="0.3">
      <c r="A73" t="s">
        <v>106</v>
      </c>
      <c r="B73" t="s">
        <v>18</v>
      </c>
      <c r="C73" t="s">
        <v>15</v>
      </c>
      <c r="D73" t="s">
        <v>31</v>
      </c>
      <c r="E73" t="s">
        <v>19</v>
      </c>
      <c r="F73">
        <v>49568</v>
      </c>
      <c r="G73">
        <v>1</v>
      </c>
      <c r="H73">
        <v>36977</v>
      </c>
    </row>
    <row r="74" spans="1:8" x14ac:dyDescent="0.3">
      <c r="A74" t="s">
        <v>107</v>
      </c>
      <c r="B74" t="s">
        <v>42</v>
      </c>
      <c r="C74" t="s">
        <v>10</v>
      </c>
      <c r="D74" t="s">
        <v>11</v>
      </c>
      <c r="E74" t="s">
        <v>34</v>
      </c>
      <c r="F74">
        <v>127675</v>
      </c>
      <c r="G74">
        <v>9</v>
      </c>
      <c r="H74">
        <v>78348</v>
      </c>
    </row>
    <row r="75" spans="1:8" x14ac:dyDescent="0.3">
      <c r="A75" t="s">
        <v>108</v>
      </c>
      <c r="B75" t="s">
        <v>9</v>
      </c>
      <c r="C75" t="s">
        <v>10</v>
      </c>
      <c r="D75" t="s">
        <v>23</v>
      </c>
      <c r="E75" t="s">
        <v>34</v>
      </c>
      <c r="F75">
        <v>30122</v>
      </c>
      <c r="G75">
        <v>10</v>
      </c>
      <c r="H75">
        <v>22389</v>
      </c>
    </row>
    <row r="76" spans="1:8" x14ac:dyDescent="0.3">
      <c r="A76" t="s">
        <v>109</v>
      </c>
      <c r="B76" t="s">
        <v>42</v>
      </c>
      <c r="C76" t="s">
        <v>10</v>
      </c>
      <c r="D76" t="s">
        <v>31</v>
      </c>
      <c r="E76" t="s">
        <v>24</v>
      </c>
      <c r="F76">
        <v>101294</v>
      </c>
      <c r="G76">
        <v>8</v>
      </c>
      <c r="H76">
        <v>75388</v>
      </c>
    </row>
    <row r="77" spans="1:8" x14ac:dyDescent="0.3">
      <c r="A77" t="s">
        <v>110</v>
      </c>
      <c r="B77" t="s">
        <v>48</v>
      </c>
      <c r="C77" t="s">
        <v>15</v>
      </c>
      <c r="D77" t="s">
        <v>31</v>
      </c>
      <c r="E77" t="s">
        <v>24</v>
      </c>
      <c r="F77">
        <v>75600</v>
      </c>
      <c r="G77">
        <v>13</v>
      </c>
      <c r="H77">
        <v>48721</v>
      </c>
    </row>
    <row r="78" spans="1:8" x14ac:dyDescent="0.3">
      <c r="A78" t="s">
        <v>111</v>
      </c>
      <c r="B78" t="s">
        <v>14</v>
      </c>
      <c r="C78" t="s">
        <v>15</v>
      </c>
      <c r="D78" t="s">
        <v>11</v>
      </c>
      <c r="E78" t="s">
        <v>34</v>
      </c>
      <c r="F78">
        <v>72519</v>
      </c>
      <c r="G78">
        <v>1</v>
      </c>
      <c r="H78">
        <v>45235</v>
      </c>
    </row>
    <row r="79" spans="1:8" x14ac:dyDescent="0.3">
      <c r="A79" t="s">
        <v>112</v>
      </c>
      <c r="B79" t="s">
        <v>9</v>
      </c>
      <c r="C79" t="s">
        <v>10</v>
      </c>
      <c r="D79" t="s">
        <v>23</v>
      </c>
      <c r="E79" t="s">
        <v>12</v>
      </c>
      <c r="F79">
        <v>113187</v>
      </c>
      <c r="G79">
        <v>5</v>
      </c>
      <c r="H79">
        <v>80208</v>
      </c>
    </row>
    <row r="80" spans="1:8" x14ac:dyDescent="0.3">
      <c r="A80" t="s">
        <v>113</v>
      </c>
      <c r="B80" t="s">
        <v>48</v>
      </c>
      <c r="C80" t="s">
        <v>15</v>
      </c>
      <c r="D80" t="s">
        <v>31</v>
      </c>
      <c r="E80" t="s">
        <v>34</v>
      </c>
      <c r="F80">
        <v>131739</v>
      </c>
      <c r="G80">
        <v>14</v>
      </c>
      <c r="H80">
        <v>92497</v>
      </c>
    </row>
    <row r="81" spans="1:8" x14ac:dyDescent="0.3">
      <c r="A81" t="s">
        <v>114</v>
      </c>
      <c r="B81" t="s">
        <v>18</v>
      </c>
      <c r="C81" t="s">
        <v>15</v>
      </c>
      <c r="D81" t="s">
        <v>31</v>
      </c>
      <c r="E81" t="s">
        <v>49</v>
      </c>
      <c r="F81">
        <v>119213</v>
      </c>
      <c r="G81">
        <v>11</v>
      </c>
      <c r="H81">
        <v>78436</v>
      </c>
    </row>
    <row r="82" spans="1:8" x14ac:dyDescent="0.3">
      <c r="A82" t="s">
        <v>115</v>
      </c>
      <c r="B82" t="s">
        <v>36</v>
      </c>
      <c r="C82" t="s">
        <v>22</v>
      </c>
      <c r="D82" t="s">
        <v>37</v>
      </c>
      <c r="E82" t="s">
        <v>29</v>
      </c>
      <c r="F82">
        <v>86106</v>
      </c>
      <c r="G82">
        <v>13</v>
      </c>
      <c r="H82">
        <v>53044</v>
      </c>
    </row>
    <row r="83" spans="1:8" x14ac:dyDescent="0.3">
      <c r="A83" t="s">
        <v>116</v>
      </c>
      <c r="B83" t="s">
        <v>40</v>
      </c>
      <c r="C83" t="s">
        <v>10</v>
      </c>
      <c r="D83" t="s">
        <v>11</v>
      </c>
      <c r="E83" t="s">
        <v>12</v>
      </c>
      <c r="F83">
        <v>126942</v>
      </c>
      <c r="G83">
        <v>15</v>
      </c>
      <c r="H83">
        <v>80866</v>
      </c>
    </row>
    <row r="84" spans="1:8" x14ac:dyDescent="0.3">
      <c r="A84" t="s">
        <v>117</v>
      </c>
      <c r="B84" t="s">
        <v>9</v>
      </c>
      <c r="C84" t="s">
        <v>10</v>
      </c>
      <c r="D84" t="s">
        <v>23</v>
      </c>
      <c r="E84" t="s">
        <v>29</v>
      </c>
      <c r="F84">
        <v>38550</v>
      </c>
      <c r="G84">
        <v>11</v>
      </c>
      <c r="H84">
        <v>27612</v>
      </c>
    </row>
    <row r="85" spans="1:8" x14ac:dyDescent="0.3">
      <c r="A85" t="s">
        <v>118</v>
      </c>
      <c r="B85" t="s">
        <v>14</v>
      </c>
      <c r="C85" t="s">
        <v>15</v>
      </c>
      <c r="D85" t="s">
        <v>31</v>
      </c>
      <c r="E85" t="s">
        <v>24</v>
      </c>
      <c r="F85">
        <v>85747</v>
      </c>
      <c r="G85">
        <v>7</v>
      </c>
      <c r="H85">
        <v>52859</v>
      </c>
    </row>
    <row r="86" spans="1:8" x14ac:dyDescent="0.3">
      <c r="A86" t="s">
        <v>119</v>
      </c>
      <c r="B86" t="s">
        <v>9</v>
      </c>
      <c r="C86" t="s">
        <v>10</v>
      </c>
      <c r="D86" t="s">
        <v>37</v>
      </c>
      <c r="E86" t="s">
        <v>12</v>
      </c>
      <c r="F86">
        <v>143181</v>
      </c>
      <c r="G86">
        <v>3</v>
      </c>
      <c r="H86">
        <v>102530</v>
      </c>
    </row>
    <row r="87" spans="1:8" x14ac:dyDescent="0.3">
      <c r="A87" t="s">
        <v>120</v>
      </c>
      <c r="B87" t="s">
        <v>14</v>
      </c>
      <c r="C87" t="s">
        <v>15</v>
      </c>
      <c r="D87" t="s">
        <v>11</v>
      </c>
      <c r="E87" t="s">
        <v>27</v>
      </c>
      <c r="F87">
        <v>141835</v>
      </c>
      <c r="G87">
        <v>4</v>
      </c>
      <c r="H87">
        <v>101492</v>
      </c>
    </row>
    <row r="88" spans="1:8" x14ac:dyDescent="0.3">
      <c r="A88" t="s">
        <v>121</v>
      </c>
      <c r="B88" t="s">
        <v>36</v>
      </c>
      <c r="C88" t="s">
        <v>22</v>
      </c>
      <c r="D88" t="s">
        <v>23</v>
      </c>
      <c r="E88" t="s">
        <v>46</v>
      </c>
      <c r="F88">
        <v>109184</v>
      </c>
      <c r="G88">
        <v>1</v>
      </c>
      <c r="H88">
        <v>68782</v>
      </c>
    </row>
    <row r="89" spans="1:8" x14ac:dyDescent="0.3">
      <c r="A89" t="s">
        <v>122</v>
      </c>
      <c r="B89" t="s">
        <v>18</v>
      </c>
      <c r="C89" t="s">
        <v>15</v>
      </c>
      <c r="D89" t="s">
        <v>37</v>
      </c>
      <c r="E89" t="s">
        <v>46</v>
      </c>
      <c r="F89">
        <v>116862</v>
      </c>
      <c r="G89">
        <v>2</v>
      </c>
      <c r="H89">
        <v>71792</v>
      </c>
    </row>
    <row r="90" spans="1:8" x14ac:dyDescent="0.3">
      <c r="A90" t="s">
        <v>123</v>
      </c>
      <c r="B90" t="s">
        <v>48</v>
      </c>
      <c r="C90" t="s">
        <v>15</v>
      </c>
      <c r="D90" t="s">
        <v>11</v>
      </c>
      <c r="E90" t="s">
        <v>27</v>
      </c>
      <c r="F90">
        <v>137254</v>
      </c>
      <c r="G90">
        <v>10</v>
      </c>
      <c r="H90">
        <v>93023</v>
      </c>
    </row>
    <row r="91" spans="1:8" x14ac:dyDescent="0.3">
      <c r="A91" t="s">
        <v>124</v>
      </c>
      <c r="B91" t="s">
        <v>48</v>
      </c>
      <c r="C91" t="s">
        <v>15</v>
      </c>
      <c r="D91" t="s">
        <v>37</v>
      </c>
      <c r="E91" t="s">
        <v>32</v>
      </c>
      <c r="F91">
        <v>123759</v>
      </c>
      <c r="G91">
        <v>12</v>
      </c>
      <c r="H91">
        <v>76815</v>
      </c>
    </row>
    <row r="92" spans="1:8" x14ac:dyDescent="0.3">
      <c r="A92" t="s">
        <v>125</v>
      </c>
      <c r="B92" t="s">
        <v>14</v>
      </c>
      <c r="C92" t="s">
        <v>15</v>
      </c>
      <c r="D92" t="s">
        <v>31</v>
      </c>
      <c r="E92" t="s">
        <v>29</v>
      </c>
      <c r="F92">
        <v>5267</v>
      </c>
      <c r="G92">
        <v>7</v>
      </c>
      <c r="H92">
        <v>3773</v>
      </c>
    </row>
    <row r="93" spans="1:8" x14ac:dyDescent="0.3">
      <c r="A93" t="s">
        <v>126</v>
      </c>
      <c r="B93" t="s">
        <v>9</v>
      </c>
      <c r="C93" t="s">
        <v>10</v>
      </c>
      <c r="D93" t="s">
        <v>23</v>
      </c>
      <c r="E93" t="s">
        <v>32</v>
      </c>
      <c r="F93">
        <v>43194</v>
      </c>
      <c r="G93">
        <v>15</v>
      </c>
      <c r="H93">
        <v>29316</v>
      </c>
    </row>
    <row r="94" spans="1:8" x14ac:dyDescent="0.3">
      <c r="A94" t="s">
        <v>127</v>
      </c>
      <c r="B94" t="s">
        <v>42</v>
      </c>
      <c r="C94" t="s">
        <v>10</v>
      </c>
      <c r="D94" t="s">
        <v>31</v>
      </c>
      <c r="E94" t="s">
        <v>46</v>
      </c>
      <c r="F94">
        <v>124800</v>
      </c>
      <c r="G94">
        <v>7</v>
      </c>
      <c r="H94">
        <v>82445</v>
      </c>
    </row>
    <row r="95" spans="1:8" x14ac:dyDescent="0.3">
      <c r="A95" t="s">
        <v>128</v>
      </c>
      <c r="B95" t="s">
        <v>40</v>
      </c>
      <c r="C95" t="s">
        <v>10</v>
      </c>
      <c r="D95" t="s">
        <v>31</v>
      </c>
      <c r="E95" t="s">
        <v>29</v>
      </c>
      <c r="F95">
        <v>65551</v>
      </c>
      <c r="G95">
        <v>5</v>
      </c>
      <c r="H95">
        <v>39892</v>
      </c>
    </row>
    <row r="96" spans="1:8" x14ac:dyDescent="0.3">
      <c r="A96" t="s">
        <v>129</v>
      </c>
      <c r="B96" t="s">
        <v>14</v>
      </c>
      <c r="C96" t="s">
        <v>15</v>
      </c>
      <c r="D96" t="s">
        <v>11</v>
      </c>
      <c r="E96" t="s">
        <v>32</v>
      </c>
      <c r="F96">
        <v>29719</v>
      </c>
      <c r="G96">
        <v>8</v>
      </c>
      <c r="H96">
        <v>21231</v>
      </c>
    </row>
    <row r="97" spans="1:8" x14ac:dyDescent="0.3">
      <c r="A97" t="s">
        <v>130</v>
      </c>
      <c r="B97" t="s">
        <v>21</v>
      </c>
      <c r="C97" t="s">
        <v>22</v>
      </c>
      <c r="D97" t="s">
        <v>23</v>
      </c>
      <c r="E97" t="s">
        <v>61</v>
      </c>
      <c r="F97">
        <v>24544</v>
      </c>
      <c r="G97">
        <v>15</v>
      </c>
      <c r="H97">
        <v>14827</v>
      </c>
    </row>
    <row r="98" spans="1:8" x14ac:dyDescent="0.3">
      <c r="A98" t="s">
        <v>131</v>
      </c>
      <c r="B98" t="s">
        <v>36</v>
      </c>
      <c r="C98" t="s">
        <v>22</v>
      </c>
      <c r="D98" t="s">
        <v>11</v>
      </c>
      <c r="E98" t="s">
        <v>43</v>
      </c>
      <c r="F98">
        <v>81041</v>
      </c>
      <c r="G98">
        <v>5</v>
      </c>
      <c r="H98">
        <v>48973</v>
      </c>
    </row>
    <row r="99" spans="1:8" x14ac:dyDescent="0.3">
      <c r="A99" t="s">
        <v>132</v>
      </c>
      <c r="B99" t="s">
        <v>9</v>
      </c>
      <c r="C99" t="s">
        <v>10</v>
      </c>
      <c r="D99" t="s">
        <v>11</v>
      </c>
      <c r="E99" t="s">
        <v>29</v>
      </c>
      <c r="F99">
        <v>58156</v>
      </c>
      <c r="G99">
        <v>15</v>
      </c>
      <c r="H99">
        <v>42594</v>
      </c>
    </row>
    <row r="100" spans="1:8" x14ac:dyDescent="0.3">
      <c r="A100" t="s">
        <v>133</v>
      </c>
      <c r="B100" t="s">
        <v>18</v>
      </c>
      <c r="C100" t="s">
        <v>15</v>
      </c>
      <c r="D100" t="s">
        <v>23</v>
      </c>
      <c r="E100" t="s">
        <v>34</v>
      </c>
      <c r="F100">
        <v>129763</v>
      </c>
      <c r="G100">
        <v>2</v>
      </c>
      <c r="H100">
        <v>91305</v>
      </c>
    </row>
    <row r="101" spans="1:8" x14ac:dyDescent="0.3">
      <c r="A101" t="s">
        <v>134</v>
      </c>
      <c r="B101" t="s">
        <v>40</v>
      </c>
      <c r="C101" t="s">
        <v>10</v>
      </c>
      <c r="D101" t="s">
        <v>23</v>
      </c>
      <c r="E101" t="s">
        <v>43</v>
      </c>
      <c r="F101">
        <v>21116</v>
      </c>
      <c r="G101">
        <v>15</v>
      </c>
      <c r="H101">
        <v>15020</v>
      </c>
    </row>
    <row r="102" spans="1:8" x14ac:dyDescent="0.3">
      <c r="A102" t="s">
        <v>135</v>
      </c>
      <c r="B102" t="s">
        <v>36</v>
      </c>
      <c r="C102" t="s">
        <v>22</v>
      </c>
      <c r="D102" t="s">
        <v>11</v>
      </c>
      <c r="E102" t="s">
        <v>12</v>
      </c>
      <c r="F102">
        <v>47100</v>
      </c>
      <c r="G102">
        <v>10</v>
      </c>
      <c r="H102">
        <v>29812</v>
      </c>
    </row>
    <row r="103" spans="1:8" x14ac:dyDescent="0.3">
      <c r="A103" t="s">
        <v>136</v>
      </c>
      <c r="B103" t="s">
        <v>36</v>
      </c>
      <c r="C103" t="s">
        <v>22</v>
      </c>
      <c r="D103" t="s">
        <v>23</v>
      </c>
      <c r="E103" t="s">
        <v>19</v>
      </c>
      <c r="F103">
        <v>118114</v>
      </c>
      <c r="G103">
        <v>11</v>
      </c>
      <c r="H103">
        <v>87695</v>
      </c>
    </row>
    <row r="104" spans="1:8" x14ac:dyDescent="0.3">
      <c r="A104" t="s">
        <v>137</v>
      </c>
      <c r="B104" t="s">
        <v>36</v>
      </c>
      <c r="C104" t="s">
        <v>22</v>
      </c>
      <c r="D104" t="s">
        <v>11</v>
      </c>
      <c r="E104" t="s">
        <v>27</v>
      </c>
      <c r="F104">
        <v>84422</v>
      </c>
      <c r="G104">
        <v>2</v>
      </c>
      <c r="H104">
        <v>51190</v>
      </c>
    </row>
    <row r="105" spans="1:8" x14ac:dyDescent="0.3">
      <c r="A105" t="s">
        <v>138</v>
      </c>
      <c r="B105" t="s">
        <v>18</v>
      </c>
      <c r="C105" t="s">
        <v>15</v>
      </c>
      <c r="D105" t="s">
        <v>37</v>
      </c>
      <c r="E105" t="s">
        <v>46</v>
      </c>
      <c r="F105">
        <v>138371</v>
      </c>
      <c r="G105">
        <v>14</v>
      </c>
      <c r="H105">
        <v>88964</v>
      </c>
    </row>
    <row r="106" spans="1:8" x14ac:dyDescent="0.3">
      <c r="A106" t="s">
        <v>139</v>
      </c>
      <c r="B106" t="s">
        <v>18</v>
      </c>
      <c r="C106" t="s">
        <v>15</v>
      </c>
      <c r="D106" t="s">
        <v>37</v>
      </c>
      <c r="E106" t="s">
        <v>46</v>
      </c>
      <c r="F106">
        <v>101948</v>
      </c>
      <c r="G106">
        <v>8</v>
      </c>
      <c r="H106">
        <v>71594</v>
      </c>
    </row>
    <row r="107" spans="1:8" x14ac:dyDescent="0.3">
      <c r="A107" t="s">
        <v>140</v>
      </c>
      <c r="B107" t="s">
        <v>40</v>
      </c>
      <c r="C107" t="s">
        <v>10</v>
      </c>
      <c r="D107" t="s">
        <v>23</v>
      </c>
      <c r="E107" t="s">
        <v>34</v>
      </c>
      <c r="F107">
        <v>10976</v>
      </c>
      <c r="G107">
        <v>7</v>
      </c>
      <c r="H107">
        <v>8100</v>
      </c>
    </row>
    <row r="108" spans="1:8" x14ac:dyDescent="0.3">
      <c r="A108" t="s">
        <v>141</v>
      </c>
      <c r="B108" t="s">
        <v>36</v>
      </c>
      <c r="C108" t="s">
        <v>22</v>
      </c>
      <c r="D108" t="s">
        <v>23</v>
      </c>
      <c r="E108" t="s">
        <v>12</v>
      </c>
      <c r="F108">
        <v>7212</v>
      </c>
      <c r="G108">
        <v>10</v>
      </c>
      <c r="H108">
        <v>5271</v>
      </c>
    </row>
    <row r="109" spans="1:8" x14ac:dyDescent="0.3">
      <c r="A109" t="s">
        <v>142</v>
      </c>
      <c r="B109" t="s">
        <v>18</v>
      </c>
      <c r="C109" t="s">
        <v>15</v>
      </c>
      <c r="D109" t="s">
        <v>31</v>
      </c>
      <c r="E109" t="s">
        <v>29</v>
      </c>
      <c r="F109">
        <v>129091</v>
      </c>
      <c r="G109">
        <v>5</v>
      </c>
      <c r="H109">
        <v>81371</v>
      </c>
    </row>
    <row r="110" spans="1:8" x14ac:dyDescent="0.3">
      <c r="A110" t="s">
        <v>143</v>
      </c>
      <c r="B110" t="s">
        <v>40</v>
      </c>
      <c r="C110" t="s">
        <v>10</v>
      </c>
      <c r="D110" t="s">
        <v>11</v>
      </c>
      <c r="E110" t="s">
        <v>12</v>
      </c>
      <c r="F110">
        <v>127409</v>
      </c>
      <c r="G110">
        <v>9</v>
      </c>
      <c r="H110">
        <v>91520</v>
      </c>
    </row>
    <row r="111" spans="1:8" x14ac:dyDescent="0.3">
      <c r="A111" t="s">
        <v>144</v>
      </c>
      <c r="B111" t="s">
        <v>40</v>
      </c>
      <c r="C111" t="s">
        <v>10</v>
      </c>
      <c r="D111" t="s">
        <v>37</v>
      </c>
      <c r="E111" t="s">
        <v>34</v>
      </c>
      <c r="F111">
        <v>101867</v>
      </c>
      <c r="G111">
        <v>6</v>
      </c>
      <c r="H111">
        <v>70383</v>
      </c>
    </row>
    <row r="112" spans="1:8" x14ac:dyDescent="0.3">
      <c r="A112" t="s">
        <v>145</v>
      </c>
      <c r="B112" t="s">
        <v>18</v>
      </c>
      <c r="C112" t="s">
        <v>15</v>
      </c>
      <c r="D112" t="s">
        <v>37</v>
      </c>
      <c r="E112" t="s">
        <v>46</v>
      </c>
      <c r="F112">
        <v>39934</v>
      </c>
      <c r="G112">
        <v>7</v>
      </c>
      <c r="H112">
        <v>26237</v>
      </c>
    </row>
    <row r="113" spans="1:8" x14ac:dyDescent="0.3">
      <c r="A113" t="s">
        <v>146</v>
      </c>
      <c r="B113" t="s">
        <v>36</v>
      </c>
      <c r="C113" t="s">
        <v>22</v>
      </c>
      <c r="D113" t="s">
        <v>37</v>
      </c>
      <c r="E113" t="s">
        <v>19</v>
      </c>
      <c r="F113">
        <v>149541</v>
      </c>
      <c r="G113">
        <v>2</v>
      </c>
      <c r="H113">
        <v>108336</v>
      </c>
    </row>
    <row r="114" spans="1:8" x14ac:dyDescent="0.3">
      <c r="A114" t="s">
        <v>147</v>
      </c>
      <c r="B114" t="s">
        <v>36</v>
      </c>
      <c r="C114" t="s">
        <v>22</v>
      </c>
      <c r="D114" t="s">
        <v>37</v>
      </c>
      <c r="E114" t="s">
        <v>49</v>
      </c>
      <c r="F114">
        <v>60597</v>
      </c>
      <c r="G114">
        <v>10</v>
      </c>
      <c r="H114">
        <v>41440</v>
      </c>
    </row>
    <row r="115" spans="1:8" x14ac:dyDescent="0.3">
      <c r="A115" t="s">
        <v>148</v>
      </c>
      <c r="B115" t="s">
        <v>48</v>
      </c>
      <c r="C115" t="s">
        <v>15</v>
      </c>
      <c r="D115" t="s">
        <v>37</v>
      </c>
      <c r="E115" t="s">
        <v>46</v>
      </c>
      <c r="F115">
        <v>36788</v>
      </c>
      <c r="G115">
        <v>11</v>
      </c>
      <c r="H115">
        <v>22929</v>
      </c>
    </row>
    <row r="116" spans="1:8" x14ac:dyDescent="0.3">
      <c r="A116" t="s">
        <v>149</v>
      </c>
      <c r="B116" t="s">
        <v>18</v>
      </c>
      <c r="C116" t="s">
        <v>15</v>
      </c>
      <c r="D116" t="s">
        <v>11</v>
      </c>
      <c r="E116" t="s">
        <v>12</v>
      </c>
      <c r="F116">
        <v>66890</v>
      </c>
      <c r="G116">
        <v>7</v>
      </c>
      <c r="H116">
        <v>40339</v>
      </c>
    </row>
    <row r="117" spans="1:8" x14ac:dyDescent="0.3">
      <c r="A117" t="s">
        <v>150</v>
      </c>
      <c r="B117" t="s">
        <v>18</v>
      </c>
      <c r="C117" t="s">
        <v>15</v>
      </c>
      <c r="D117" t="s">
        <v>23</v>
      </c>
      <c r="E117" t="s">
        <v>16</v>
      </c>
      <c r="F117">
        <v>140659</v>
      </c>
      <c r="G117">
        <v>15</v>
      </c>
      <c r="H117">
        <v>94761</v>
      </c>
    </row>
    <row r="118" spans="1:8" x14ac:dyDescent="0.3">
      <c r="A118" t="s">
        <v>151</v>
      </c>
      <c r="B118" t="s">
        <v>14</v>
      </c>
      <c r="C118" t="s">
        <v>15</v>
      </c>
      <c r="D118" t="s">
        <v>31</v>
      </c>
      <c r="E118" t="s">
        <v>27</v>
      </c>
      <c r="F118">
        <v>86835</v>
      </c>
      <c r="G118">
        <v>3</v>
      </c>
      <c r="H118">
        <v>58308</v>
      </c>
    </row>
    <row r="119" spans="1:8" x14ac:dyDescent="0.3">
      <c r="A119" t="s">
        <v>152</v>
      </c>
      <c r="B119" t="s">
        <v>18</v>
      </c>
      <c r="C119" t="s">
        <v>15</v>
      </c>
      <c r="D119" t="s">
        <v>31</v>
      </c>
      <c r="E119" t="s">
        <v>29</v>
      </c>
      <c r="F119">
        <v>50441</v>
      </c>
      <c r="G119">
        <v>8</v>
      </c>
      <c r="H119">
        <v>37392</v>
      </c>
    </row>
    <row r="120" spans="1:8" x14ac:dyDescent="0.3">
      <c r="A120" t="s">
        <v>153</v>
      </c>
      <c r="B120" t="s">
        <v>14</v>
      </c>
      <c r="C120" t="s">
        <v>15</v>
      </c>
      <c r="D120" t="s">
        <v>11</v>
      </c>
      <c r="E120" t="s">
        <v>32</v>
      </c>
      <c r="F120">
        <v>29528</v>
      </c>
      <c r="G120">
        <v>12</v>
      </c>
      <c r="H120">
        <v>19411</v>
      </c>
    </row>
    <row r="121" spans="1:8" x14ac:dyDescent="0.3">
      <c r="A121" t="s">
        <v>154</v>
      </c>
      <c r="B121" t="s">
        <v>18</v>
      </c>
      <c r="C121" t="s">
        <v>15</v>
      </c>
      <c r="D121" t="s">
        <v>37</v>
      </c>
      <c r="E121" t="s">
        <v>24</v>
      </c>
      <c r="F121">
        <v>23224</v>
      </c>
      <c r="G121">
        <v>2</v>
      </c>
      <c r="H121">
        <v>15603</v>
      </c>
    </row>
    <row r="122" spans="1:8" x14ac:dyDescent="0.3">
      <c r="A122" t="s">
        <v>155</v>
      </c>
      <c r="B122" t="s">
        <v>14</v>
      </c>
      <c r="C122" t="s">
        <v>15</v>
      </c>
      <c r="D122" t="s">
        <v>11</v>
      </c>
      <c r="E122" t="s">
        <v>32</v>
      </c>
      <c r="F122">
        <v>115098</v>
      </c>
      <c r="G122">
        <v>8</v>
      </c>
      <c r="H122">
        <v>74554</v>
      </c>
    </row>
    <row r="123" spans="1:8" x14ac:dyDescent="0.3">
      <c r="A123" t="s">
        <v>156</v>
      </c>
      <c r="B123" t="s">
        <v>14</v>
      </c>
      <c r="C123" t="s">
        <v>15</v>
      </c>
      <c r="D123" t="s">
        <v>23</v>
      </c>
      <c r="E123" t="s">
        <v>16</v>
      </c>
      <c r="F123">
        <v>34800</v>
      </c>
      <c r="G123">
        <v>3</v>
      </c>
      <c r="H123">
        <v>25253</v>
      </c>
    </row>
    <row r="124" spans="1:8" x14ac:dyDescent="0.3">
      <c r="A124" t="s">
        <v>157</v>
      </c>
      <c r="B124" t="s">
        <v>9</v>
      </c>
      <c r="C124" t="s">
        <v>10</v>
      </c>
      <c r="D124" t="s">
        <v>31</v>
      </c>
      <c r="E124" t="s">
        <v>19</v>
      </c>
      <c r="F124">
        <v>11845</v>
      </c>
      <c r="G124">
        <v>6</v>
      </c>
      <c r="H124">
        <v>7932</v>
      </c>
    </row>
    <row r="125" spans="1:8" x14ac:dyDescent="0.3">
      <c r="A125" t="s">
        <v>158</v>
      </c>
      <c r="B125" t="s">
        <v>14</v>
      </c>
      <c r="C125" t="s">
        <v>15</v>
      </c>
      <c r="D125" t="s">
        <v>23</v>
      </c>
      <c r="E125" t="s">
        <v>12</v>
      </c>
      <c r="F125">
        <v>68009</v>
      </c>
      <c r="G125">
        <v>5</v>
      </c>
      <c r="H125">
        <v>47692</v>
      </c>
    </row>
    <row r="126" spans="1:8" x14ac:dyDescent="0.3">
      <c r="A126" t="s">
        <v>159</v>
      </c>
      <c r="B126" t="s">
        <v>36</v>
      </c>
      <c r="C126" t="s">
        <v>22</v>
      </c>
      <c r="D126" t="s">
        <v>11</v>
      </c>
      <c r="E126" t="s">
        <v>29</v>
      </c>
      <c r="F126">
        <v>142854</v>
      </c>
      <c r="G126">
        <v>15</v>
      </c>
      <c r="H126">
        <v>86430</v>
      </c>
    </row>
    <row r="127" spans="1:8" x14ac:dyDescent="0.3">
      <c r="A127" t="s">
        <v>160</v>
      </c>
      <c r="B127" t="s">
        <v>48</v>
      </c>
      <c r="C127" t="s">
        <v>15</v>
      </c>
      <c r="D127" t="s">
        <v>37</v>
      </c>
      <c r="E127" t="s">
        <v>24</v>
      </c>
      <c r="F127">
        <v>39888</v>
      </c>
      <c r="G127">
        <v>9</v>
      </c>
      <c r="H127">
        <v>26920</v>
      </c>
    </row>
    <row r="128" spans="1:8" x14ac:dyDescent="0.3">
      <c r="A128" t="s">
        <v>161</v>
      </c>
      <c r="B128" t="s">
        <v>21</v>
      </c>
      <c r="C128" t="s">
        <v>22</v>
      </c>
      <c r="D128" t="s">
        <v>31</v>
      </c>
      <c r="E128" t="s">
        <v>24</v>
      </c>
      <c r="F128">
        <v>96640</v>
      </c>
      <c r="G128">
        <v>4</v>
      </c>
      <c r="H128">
        <v>60519</v>
      </c>
    </row>
    <row r="129" spans="1:8" x14ac:dyDescent="0.3">
      <c r="A129" t="s">
        <v>162</v>
      </c>
      <c r="B129" t="s">
        <v>9</v>
      </c>
      <c r="C129" t="s">
        <v>10</v>
      </c>
      <c r="D129" t="s">
        <v>31</v>
      </c>
      <c r="E129" t="s">
        <v>46</v>
      </c>
      <c r="F129">
        <v>14494</v>
      </c>
      <c r="G129">
        <v>7</v>
      </c>
      <c r="H129">
        <v>9496</v>
      </c>
    </row>
    <row r="130" spans="1:8" x14ac:dyDescent="0.3">
      <c r="A130" t="s">
        <v>163</v>
      </c>
      <c r="B130" t="s">
        <v>48</v>
      </c>
      <c r="C130" t="s">
        <v>15</v>
      </c>
      <c r="D130" t="s">
        <v>31</v>
      </c>
      <c r="E130" t="s">
        <v>43</v>
      </c>
      <c r="F130">
        <v>65794</v>
      </c>
      <c r="G130">
        <v>13</v>
      </c>
      <c r="H130">
        <v>47067</v>
      </c>
    </row>
    <row r="131" spans="1:8" x14ac:dyDescent="0.3">
      <c r="A131" t="s">
        <v>164</v>
      </c>
      <c r="B131" t="s">
        <v>18</v>
      </c>
      <c r="C131" t="s">
        <v>15</v>
      </c>
      <c r="D131" t="s">
        <v>11</v>
      </c>
      <c r="E131" t="s">
        <v>46</v>
      </c>
      <c r="F131">
        <v>55186</v>
      </c>
      <c r="G131">
        <v>13</v>
      </c>
      <c r="H131">
        <v>41211</v>
      </c>
    </row>
    <row r="132" spans="1:8" x14ac:dyDescent="0.3">
      <c r="A132" t="s">
        <v>165</v>
      </c>
      <c r="B132" t="s">
        <v>14</v>
      </c>
      <c r="C132" t="s">
        <v>15</v>
      </c>
      <c r="D132" t="s">
        <v>11</v>
      </c>
      <c r="E132" t="s">
        <v>61</v>
      </c>
      <c r="F132">
        <v>19615</v>
      </c>
      <c r="G132">
        <v>1</v>
      </c>
      <c r="H132">
        <v>13595</v>
      </c>
    </row>
    <row r="133" spans="1:8" x14ac:dyDescent="0.3">
      <c r="A133" t="s">
        <v>166</v>
      </c>
      <c r="B133" t="s">
        <v>18</v>
      </c>
      <c r="C133" t="s">
        <v>15</v>
      </c>
      <c r="D133" t="s">
        <v>31</v>
      </c>
      <c r="E133" t="s">
        <v>24</v>
      </c>
      <c r="F133">
        <v>148738</v>
      </c>
      <c r="G133">
        <v>15</v>
      </c>
      <c r="H133">
        <v>97147</v>
      </c>
    </row>
    <row r="134" spans="1:8" x14ac:dyDescent="0.3">
      <c r="A134" t="s">
        <v>167</v>
      </c>
      <c r="B134" t="s">
        <v>18</v>
      </c>
      <c r="C134" t="s">
        <v>15</v>
      </c>
      <c r="D134" t="s">
        <v>23</v>
      </c>
      <c r="E134" t="s">
        <v>24</v>
      </c>
      <c r="F134">
        <v>105286</v>
      </c>
      <c r="G134">
        <v>11</v>
      </c>
      <c r="H134">
        <v>67897</v>
      </c>
    </row>
    <row r="135" spans="1:8" x14ac:dyDescent="0.3">
      <c r="A135" t="s">
        <v>168</v>
      </c>
      <c r="B135" t="s">
        <v>48</v>
      </c>
      <c r="C135" t="s">
        <v>15</v>
      </c>
      <c r="D135" t="s">
        <v>31</v>
      </c>
      <c r="E135" t="s">
        <v>32</v>
      </c>
      <c r="F135">
        <v>133271</v>
      </c>
      <c r="G135">
        <v>2</v>
      </c>
      <c r="H135">
        <v>98196</v>
      </c>
    </row>
    <row r="136" spans="1:8" x14ac:dyDescent="0.3">
      <c r="A136" t="s">
        <v>169</v>
      </c>
      <c r="B136" t="s">
        <v>42</v>
      </c>
      <c r="C136" t="s">
        <v>10</v>
      </c>
      <c r="D136" t="s">
        <v>37</v>
      </c>
      <c r="E136" t="s">
        <v>43</v>
      </c>
      <c r="F136">
        <v>14960</v>
      </c>
      <c r="G136">
        <v>14</v>
      </c>
      <c r="H136">
        <v>10023</v>
      </c>
    </row>
    <row r="137" spans="1:8" x14ac:dyDescent="0.3">
      <c r="A137" t="s">
        <v>170</v>
      </c>
      <c r="B137" t="s">
        <v>14</v>
      </c>
      <c r="C137" t="s">
        <v>15</v>
      </c>
      <c r="D137" t="s">
        <v>37</v>
      </c>
      <c r="E137" t="s">
        <v>16</v>
      </c>
      <c r="F137">
        <v>21436</v>
      </c>
      <c r="G137">
        <v>15</v>
      </c>
      <c r="H137">
        <v>15608</v>
      </c>
    </row>
    <row r="138" spans="1:8" x14ac:dyDescent="0.3">
      <c r="A138" t="s">
        <v>171</v>
      </c>
      <c r="B138" t="s">
        <v>48</v>
      </c>
      <c r="C138" t="s">
        <v>15</v>
      </c>
      <c r="D138" t="s">
        <v>23</v>
      </c>
      <c r="E138" t="s">
        <v>61</v>
      </c>
      <c r="F138">
        <v>146579</v>
      </c>
      <c r="G138">
        <v>5</v>
      </c>
      <c r="H138">
        <v>95933</v>
      </c>
    </row>
    <row r="139" spans="1:8" x14ac:dyDescent="0.3">
      <c r="A139" t="s">
        <v>172</v>
      </c>
      <c r="B139" t="s">
        <v>42</v>
      </c>
      <c r="C139" t="s">
        <v>10</v>
      </c>
      <c r="D139" t="s">
        <v>23</v>
      </c>
      <c r="E139" t="s">
        <v>16</v>
      </c>
      <c r="F139">
        <v>143636</v>
      </c>
      <c r="G139">
        <v>8</v>
      </c>
      <c r="H139">
        <v>100779</v>
      </c>
    </row>
    <row r="140" spans="1:8" x14ac:dyDescent="0.3">
      <c r="A140" t="s">
        <v>173</v>
      </c>
      <c r="B140" t="s">
        <v>48</v>
      </c>
      <c r="C140" t="s">
        <v>15</v>
      </c>
      <c r="D140" t="s">
        <v>23</v>
      </c>
      <c r="E140" t="s">
        <v>46</v>
      </c>
      <c r="F140">
        <v>85462</v>
      </c>
      <c r="G140">
        <v>15</v>
      </c>
      <c r="H140">
        <v>60305</v>
      </c>
    </row>
    <row r="141" spans="1:8" x14ac:dyDescent="0.3">
      <c r="A141" t="s">
        <v>174</v>
      </c>
      <c r="B141" t="s">
        <v>48</v>
      </c>
      <c r="C141" t="s">
        <v>15</v>
      </c>
      <c r="D141" t="s">
        <v>23</v>
      </c>
      <c r="E141" t="s">
        <v>61</v>
      </c>
      <c r="F141">
        <v>65579</v>
      </c>
      <c r="G141">
        <v>5</v>
      </c>
      <c r="H141">
        <v>48125</v>
      </c>
    </row>
    <row r="142" spans="1:8" x14ac:dyDescent="0.3">
      <c r="A142" t="s">
        <v>175</v>
      </c>
      <c r="B142" t="s">
        <v>48</v>
      </c>
      <c r="C142" t="s">
        <v>15</v>
      </c>
      <c r="D142" t="s">
        <v>23</v>
      </c>
      <c r="E142" t="s">
        <v>27</v>
      </c>
      <c r="F142">
        <v>142481</v>
      </c>
      <c r="G142">
        <v>6</v>
      </c>
      <c r="H142">
        <v>105131</v>
      </c>
    </row>
    <row r="143" spans="1:8" x14ac:dyDescent="0.3">
      <c r="A143" t="s">
        <v>176</v>
      </c>
      <c r="B143" t="s">
        <v>18</v>
      </c>
      <c r="C143" t="s">
        <v>15</v>
      </c>
      <c r="D143" t="s">
        <v>31</v>
      </c>
      <c r="E143" t="s">
        <v>43</v>
      </c>
      <c r="F143">
        <v>80324</v>
      </c>
      <c r="G143">
        <v>9</v>
      </c>
      <c r="H143">
        <v>52971</v>
      </c>
    </row>
    <row r="144" spans="1:8" x14ac:dyDescent="0.3">
      <c r="A144" t="s">
        <v>177</v>
      </c>
      <c r="B144" t="s">
        <v>21</v>
      </c>
      <c r="C144" t="s">
        <v>22</v>
      </c>
      <c r="D144" t="s">
        <v>23</v>
      </c>
      <c r="E144" t="s">
        <v>27</v>
      </c>
      <c r="F144">
        <v>142358</v>
      </c>
      <c r="G144">
        <v>10</v>
      </c>
      <c r="H144">
        <v>87285</v>
      </c>
    </row>
    <row r="145" spans="1:8" x14ac:dyDescent="0.3">
      <c r="A145" t="s">
        <v>178</v>
      </c>
      <c r="B145" t="s">
        <v>48</v>
      </c>
      <c r="C145" t="s">
        <v>15</v>
      </c>
      <c r="D145" t="s">
        <v>31</v>
      </c>
      <c r="E145" t="s">
        <v>24</v>
      </c>
      <c r="F145">
        <v>38757</v>
      </c>
      <c r="G145">
        <v>1</v>
      </c>
      <c r="H145">
        <v>27980</v>
      </c>
    </row>
    <row r="146" spans="1:8" x14ac:dyDescent="0.3">
      <c r="A146" t="s">
        <v>179</v>
      </c>
      <c r="B146" t="s">
        <v>40</v>
      </c>
      <c r="C146" t="s">
        <v>10</v>
      </c>
      <c r="D146" t="s">
        <v>37</v>
      </c>
      <c r="E146" t="s">
        <v>16</v>
      </c>
      <c r="F146">
        <v>116356</v>
      </c>
      <c r="G146">
        <v>7</v>
      </c>
      <c r="H146">
        <v>75588</v>
      </c>
    </row>
    <row r="147" spans="1:8" x14ac:dyDescent="0.3">
      <c r="A147" t="s">
        <v>180</v>
      </c>
      <c r="B147" t="s">
        <v>40</v>
      </c>
      <c r="C147" t="s">
        <v>10</v>
      </c>
      <c r="D147" t="s">
        <v>37</v>
      </c>
      <c r="E147" t="s">
        <v>16</v>
      </c>
      <c r="F147">
        <v>123111</v>
      </c>
      <c r="G147">
        <v>14</v>
      </c>
      <c r="H147">
        <v>81267</v>
      </c>
    </row>
    <row r="148" spans="1:8" x14ac:dyDescent="0.3">
      <c r="A148" t="s">
        <v>181</v>
      </c>
      <c r="B148" t="s">
        <v>40</v>
      </c>
      <c r="C148" t="s">
        <v>10</v>
      </c>
      <c r="D148" t="s">
        <v>31</v>
      </c>
      <c r="E148" t="s">
        <v>27</v>
      </c>
      <c r="F148">
        <v>129552</v>
      </c>
      <c r="G148">
        <v>9</v>
      </c>
      <c r="H148">
        <v>92077</v>
      </c>
    </row>
    <row r="149" spans="1:8" x14ac:dyDescent="0.3">
      <c r="A149" t="s">
        <v>182</v>
      </c>
      <c r="B149" t="s">
        <v>9</v>
      </c>
      <c r="C149" t="s">
        <v>10</v>
      </c>
      <c r="D149" t="s">
        <v>11</v>
      </c>
      <c r="E149" t="s">
        <v>34</v>
      </c>
      <c r="F149">
        <v>99075</v>
      </c>
      <c r="G149">
        <v>4</v>
      </c>
      <c r="H149">
        <v>66825</v>
      </c>
    </row>
    <row r="150" spans="1:8" x14ac:dyDescent="0.3">
      <c r="A150" t="s">
        <v>183</v>
      </c>
      <c r="B150" t="s">
        <v>36</v>
      </c>
      <c r="C150" t="s">
        <v>22</v>
      </c>
      <c r="D150" t="s">
        <v>31</v>
      </c>
      <c r="E150" t="s">
        <v>19</v>
      </c>
      <c r="F150">
        <v>57679</v>
      </c>
      <c r="G150">
        <v>13</v>
      </c>
      <c r="H150">
        <v>42902</v>
      </c>
    </row>
    <row r="151" spans="1:8" x14ac:dyDescent="0.3">
      <c r="A151" t="s">
        <v>184</v>
      </c>
      <c r="B151" t="s">
        <v>21</v>
      </c>
      <c r="C151" t="s">
        <v>22</v>
      </c>
      <c r="D151" t="s">
        <v>31</v>
      </c>
      <c r="E151" t="s">
        <v>34</v>
      </c>
      <c r="F151">
        <v>117209</v>
      </c>
      <c r="G151">
        <v>14</v>
      </c>
      <c r="H151">
        <v>70989</v>
      </c>
    </row>
    <row r="152" spans="1:8" x14ac:dyDescent="0.3">
      <c r="A152" t="s">
        <v>185</v>
      </c>
      <c r="B152" t="s">
        <v>21</v>
      </c>
      <c r="C152" t="s">
        <v>22</v>
      </c>
      <c r="D152" t="s">
        <v>37</v>
      </c>
      <c r="E152" t="s">
        <v>19</v>
      </c>
      <c r="F152">
        <v>78575</v>
      </c>
      <c r="G152">
        <v>8</v>
      </c>
      <c r="H152">
        <v>49043</v>
      </c>
    </row>
    <row r="153" spans="1:8" x14ac:dyDescent="0.3">
      <c r="A153" t="s">
        <v>186</v>
      </c>
      <c r="B153" t="s">
        <v>36</v>
      </c>
      <c r="C153" t="s">
        <v>22</v>
      </c>
      <c r="D153" t="s">
        <v>31</v>
      </c>
      <c r="E153" t="s">
        <v>46</v>
      </c>
      <c r="F153">
        <v>7532</v>
      </c>
      <c r="G153">
        <v>3</v>
      </c>
      <c r="H153">
        <v>5279</v>
      </c>
    </row>
    <row r="154" spans="1:8" x14ac:dyDescent="0.3">
      <c r="A154" t="s">
        <v>187</v>
      </c>
      <c r="B154" t="s">
        <v>9</v>
      </c>
      <c r="C154" t="s">
        <v>10</v>
      </c>
      <c r="D154" t="s">
        <v>11</v>
      </c>
      <c r="E154" t="s">
        <v>29</v>
      </c>
      <c r="F154">
        <v>90275</v>
      </c>
      <c r="G154">
        <v>6</v>
      </c>
      <c r="H154">
        <v>65493</v>
      </c>
    </row>
    <row r="155" spans="1:8" x14ac:dyDescent="0.3">
      <c r="A155" t="s">
        <v>188</v>
      </c>
      <c r="B155" t="s">
        <v>36</v>
      </c>
      <c r="C155" t="s">
        <v>22</v>
      </c>
      <c r="D155" t="s">
        <v>37</v>
      </c>
      <c r="E155" t="s">
        <v>27</v>
      </c>
      <c r="F155">
        <v>89042</v>
      </c>
      <c r="G155">
        <v>12</v>
      </c>
      <c r="H155">
        <v>57760</v>
      </c>
    </row>
    <row r="156" spans="1:8" x14ac:dyDescent="0.3">
      <c r="A156" t="s">
        <v>189</v>
      </c>
      <c r="B156" t="s">
        <v>18</v>
      </c>
      <c r="C156" t="s">
        <v>15</v>
      </c>
      <c r="D156" t="s">
        <v>23</v>
      </c>
      <c r="E156" t="s">
        <v>27</v>
      </c>
      <c r="F156">
        <v>133656</v>
      </c>
      <c r="G156">
        <v>2</v>
      </c>
      <c r="H156">
        <v>85477</v>
      </c>
    </row>
    <row r="157" spans="1:8" x14ac:dyDescent="0.3">
      <c r="A157" t="s">
        <v>190</v>
      </c>
      <c r="B157" t="s">
        <v>36</v>
      </c>
      <c r="C157" t="s">
        <v>22</v>
      </c>
      <c r="D157" t="s">
        <v>31</v>
      </c>
      <c r="E157" t="s">
        <v>49</v>
      </c>
      <c r="F157">
        <v>82354</v>
      </c>
      <c r="G157">
        <v>9</v>
      </c>
      <c r="H157">
        <v>52887</v>
      </c>
    </row>
    <row r="158" spans="1:8" x14ac:dyDescent="0.3">
      <c r="A158" t="s">
        <v>191</v>
      </c>
      <c r="B158" t="s">
        <v>14</v>
      </c>
      <c r="C158" t="s">
        <v>15</v>
      </c>
      <c r="D158" t="s">
        <v>11</v>
      </c>
      <c r="E158" t="s">
        <v>29</v>
      </c>
      <c r="F158">
        <v>66939</v>
      </c>
      <c r="G158">
        <v>1</v>
      </c>
      <c r="H158">
        <v>45274</v>
      </c>
    </row>
    <row r="159" spans="1:8" x14ac:dyDescent="0.3">
      <c r="A159" t="s">
        <v>192</v>
      </c>
      <c r="B159" t="s">
        <v>21</v>
      </c>
      <c r="C159" t="s">
        <v>22</v>
      </c>
      <c r="D159" t="s">
        <v>31</v>
      </c>
      <c r="E159" t="s">
        <v>43</v>
      </c>
      <c r="F159">
        <v>133931</v>
      </c>
      <c r="G159">
        <v>7</v>
      </c>
      <c r="H159">
        <v>91410</v>
      </c>
    </row>
    <row r="160" spans="1:8" x14ac:dyDescent="0.3">
      <c r="A160" t="s">
        <v>193</v>
      </c>
      <c r="B160" t="s">
        <v>9</v>
      </c>
      <c r="C160" t="s">
        <v>10</v>
      </c>
      <c r="D160" t="s">
        <v>23</v>
      </c>
      <c r="E160" t="s">
        <v>16</v>
      </c>
      <c r="F160">
        <v>106778</v>
      </c>
      <c r="G160">
        <v>2</v>
      </c>
      <c r="H160">
        <v>68594</v>
      </c>
    </row>
    <row r="161" spans="1:8" x14ac:dyDescent="0.3">
      <c r="A161" t="s">
        <v>194</v>
      </c>
      <c r="B161" t="s">
        <v>42</v>
      </c>
      <c r="C161" t="s">
        <v>10</v>
      </c>
      <c r="D161" t="s">
        <v>11</v>
      </c>
      <c r="E161" t="s">
        <v>27</v>
      </c>
      <c r="F161">
        <v>64385</v>
      </c>
      <c r="G161">
        <v>5</v>
      </c>
      <c r="H161">
        <v>40020</v>
      </c>
    </row>
    <row r="162" spans="1:8" x14ac:dyDescent="0.3">
      <c r="A162" t="s">
        <v>195</v>
      </c>
      <c r="B162" t="s">
        <v>21</v>
      </c>
      <c r="C162" t="s">
        <v>22</v>
      </c>
      <c r="D162" t="s">
        <v>31</v>
      </c>
      <c r="E162" t="s">
        <v>24</v>
      </c>
      <c r="F162">
        <v>43728</v>
      </c>
      <c r="G162">
        <v>10</v>
      </c>
      <c r="H162">
        <v>29021</v>
      </c>
    </row>
    <row r="163" spans="1:8" x14ac:dyDescent="0.3">
      <c r="A163" t="s">
        <v>196</v>
      </c>
      <c r="B163" t="s">
        <v>40</v>
      </c>
      <c r="C163" t="s">
        <v>10</v>
      </c>
      <c r="D163" t="s">
        <v>23</v>
      </c>
      <c r="E163" t="s">
        <v>43</v>
      </c>
      <c r="F163">
        <v>135855</v>
      </c>
      <c r="G163">
        <v>4</v>
      </c>
      <c r="H163">
        <v>92455</v>
      </c>
    </row>
    <row r="164" spans="1:8" x14ac:dyDescent="0.3">
      <c r="A164" t="s">
        <v>197</v>
      </c>
      <c r="B164" t="s">
        <v>48</v>
      </c>
      <c r="C164" t="s">
        <v>15</v>
      </c>
      <c r="D164" t="s">
        <v>11</v>
      </c>
      <c r="E164" t="s">
        <v>27</v>
      </c>
      <c r="F164">
        <v>87382</v>
      </c>
      <c r="G164">
        <v>2</v>
      </c>
      <c r="H164">
        <v>60568</v>
      </c>
    </row>
    <row r="165" spans="1:8" x14ac:dyDescent="0.3">
      <c r="A165" t="s">
        <v>198</v>
      </c>
      <c r="B165" t="s">
        <v>18</v>
      </c>
      <c r="C165" t="s">
        <v>15</v>
      </c>
      <c r="D165" t="s">
        <v>11</v>
      </c>
      <c r="E165" t="s">
        <v>19</v>
      </c>
      <c r="F165">
        <v>16552</v>
      </c>
      <c r="G165">
        <v>3</v>
      </c>
      <c r="H165">
        <v>11341</v>
      </c>
    </row>
    <row r="166" spans="1:8" x14ac:dyDescent="0.3">
      <c r="A166" t="s">
        <v>199</v>
      </c>
      <c r="B166" t="s">
        <v>21</v>
      </c>
      <c r="C166" t="s">
        <v>22</v>
      </c>
      <c r="D166" t="s">
        <v>37</v>
      </c>
      <c r="E166" t="s">
        <v>49</v>
      </c>
      <c r="F166">
        <v>40374</v>
      </c>
      <c r="G166">
        <v>2</v>
      </c>
      <c r="H166">
        <v>28478</v>
      </c>
    </row>
    <row r="167" spans="1:8" x14ac:dyDescent="0.3">
      <c r="A167" t="s">
        <v>200</v>
      </c>
      <c r="B167" t="s">
        <v>14</v>
      </c>
      <c r="C167" t="s">
        <v>15</v>
      </c>
      <c r="D167" t="s">
        <v>31</v>
      </c>
      <c r="E167" t="s">
        <v>49</v>
      </c>
      <c r="F167">
        <v>81165</v>
      </c>
      <c r="G167">
        <v>6</v>
      </c>
      <c r="H167">
        <v>59111</v>
      </c>
    </row>
    <row r="168" spans="1:8" x14ac:dyDescent="0.3">
      <c r="A168" t="s">
        <v>201</v>
      </c>
      <c r="B168" t="s">
        <v>40</v>
      </c>
      <c r="C168" t="s">
        <v>10</v>
      </c>
      <c r="D168" t="s">
        <v>11</v>
      </c>
      <c r="E168" t="s">
        <v>12</v>
      </c>
      <c r="F168">
        <v>12126</v>
      </c>
      <c r="G168">
        <v>3</v>
      </c>
      <c r="H168">
        <v>7720</v>
      </c>
    </row>
    <row r="169" spans="1:8" x14ac:dyDescent="0.3">
      <c r="A169" t="s">
        <v>202</v>
      </c>
      <c r="B169" t="s">
        <v>14</v>
      </c>
      <c r="C169" t="s">
        <v>15</v>
      </c>
      <c r="D169" t="s">
        <v>23</v>
      </c>
      <c r="E169" t="s">
        <v>61</v>
      </c>
      <c r="F169">
        <v>63831</v>
      </c>
      <c r="G169">
        <v>11</v>
      </c>
      <c r="H169">
        <v>43272</v>
      </c>
    </row>
    <row r="170" spans="1:8" x14ac:dyDescent="0.3">
      <c r="A170" t="s">
        <v>203</v>
      </c>
      <c r="B170" t="s">
        <v>48</v>
      </c>
      <c r="C170" t="s">
        <v>15</v>
      </c>
      <c r="D170" t="s">
        <v>37</v>
      </c>
      <c r="E170" t="s">
        <v>19</v>
      </c>
      <c r="F170">
        <v>50893</v>
      </c>
      <c r="G170">
        <v>4</v>
      </c>
      <c r="H170">
        <v>31531</v>
      </c>
    </row>
    <row r="171" spans="1:8" x14ac:dyDescent="0.3">
      <c r="A171" t="s">
        <v>204</v>
      </c>
      <c r="B171" t="s">
        <v>18</v>
      </c>
      <c r="C171" t="s">
        <v>15</v>
      </c>
      <c r="D171" t="s">
        <v>11</v>
      </c>
      <c r="E171" t="s">
        <v>24</v>
      </c>
      <c r="F171">
        <v>109125</v>
      </c>
      <c r="G171">
        <v>13</v>
      </c>
      <c r="H171">
        <v>76207</v>
      </c>
    </row>
    <row r="172" spans="1:8" x14ac:dyDescent="0.3">
      <c r="A172" t="s">
        <v>205</v>
      </c>
      <c r="B172" t="s">
        <v>21</v>
      </c>
      <c r="C172" t="s">
        <v>22</v>
      </c>
      <c r="D172" t="s">
        <v>11</v>
      </c>
      <c r="E172" t="s">
        <v>61</v>
      </c>
      <c r="F172">
        <v>34713</v>
      </c>
      <c r="G172">
        <v>13</v>
      </c>
      <c r="H172">
        <v>24302</v>
      </c>
    </row>
    <row r="173" spans="1:8" x14ac:dyDescent="0.3">
      <c r="A173" t="s">
        <v>206</v>
      </c>
      <c r="B173" t="s">
        <v>9</v>
      </c>
      <c r="C173" t="s">
        <v>10</v>
      </c>
      <c r="D173" t="s">
        <v>31</v>
      </c>
      <c r="E173" t="s">
        <v>29</v>
      </c>
      <c r="F173">
        <v>82608</v>
      </c>
      <c r="G173">
        <v>8</v>
      </c>
      <c r="H173">
        <v>61723</v>
      </c>
    </row>
    <row r="174" spans="1:8" x14ac:dyDescent="0.3">
      <c r="A174" t="s">
        <v>207</v>
      </c>
      <c r="B174" t="s">
        <v>18</v>
      </c>
      <c r="C174" t="s">
        <v>15</v>
      </c>
      <c r="D174" t="s">
        <v>11</v>
      </c>
      <c r="E174" t="s">
        <v>12</v>
      </c>
      <c r="F174">
        <v>103031</v>
      </c>
      <c r="G174">
        <v>7</v>
      </c>
      <c r="H174">
        <v>74749</v>
      </c>
    </row>
    <row r="175" spans="1:8" x14ac:dyDescent="0.3">
      <c r="A175" t="s">
        <v>208</v>
      </c>
      <c r="B175" t="s">
        <v>9</v>
      </c>
      <c r="C175" t="s">
        <v>10</v>
      </c>
      <c r="D175" t="s">
        <v>23</v>
      </c>
      <c r="E175" t="s">
        <v>43</v>
      </c>
      <c r="F175">
        <v>111605</v>
      </c>
      <c r="G175">
        <v>1</v>
      </c>
      <c r="H175">
        <v>78585</v>
      </c>
    </row>
    <row r="176" spans="1:8" x14ac:dyDescent="0.3">
      <c r="A176" t="s">
        <v>209</v>
      </c>
      <c r="B176" t="s">
        <v>18</v>
      </c>
      <c r="C176" t="s">
        <v>15</v>
      </c>
      <c r="D176" t="s">
        <v>31</v>
      </c>
      <c r="E176" t="s">
        <v>49</v>
      </c>
      <c r="F176">
        <v>133029</v>
      </c>
      <c r="G176">
        <v>14</v>
      </c>
      <c r="H176">
        <v>80290</v>
      </c>
    </row>
    <row r="177" spans="1:8" x14ac:dyDescent="0.3">
      <c r="A177" t="s">
        <v>210</v>
      </c>
      <c r="B177" t="s">
        <v>18</v>
      </c>
      <c r="C177" t="s">
        <v>15</v>
      </c>
      <c r="D177" t="s">
        <v>31</v>
      </c>
      <c r="E177" t="s">
        <v>29</v>
      </c>
      <c r="F177">
        <v>40584</v>
      </c>
      <c r="G177">
        <v>8</v>
      </c>
      <c r="H177">
        <v>27527</v>
      </c>
    </row>
    <row r="178" spans="1:8" x14ac:dyDescent="0.3">
      <c r="A178" t="s">
        <v>211</v>
      </c>
      <c r="B178" t="s">
        <v>18</v>
      </c>
      <c r="C178" t="s">
        <v>15</v>
      </c>
      <c r="D178" t="s">
        <v>37</v>
      </c>
      <c r="E178" t="s">
        <v>12</v>
      </c>
      <c r="F178">
        <v>130419</v>
      </c>
      <c r="G178">
        <v>1</v>
      </c>
      <c r="H178">
        <v>81558</v>
      </c>
    </row>
    <row r="179" spans="1:8" x14ac:dyDescent="0.3">
      <c r="A179" t="s">
        <v>212</v>
      </c>
      <c r="B179" t="s">
        <v>9</v>
      </c>
      <c r="C179" t="s">
        <v>10</v>
      </c>
      <c r="D179" t="s">
        <v>37</v>
      </c>
      <c r="E179" t="s">
        <v>32</v>
      </c>
      <c r="F179">
        <v>103619</v>
      </c>
      <c r="G179">
        <v>8</v>
      </c>
      <c r="H179">
        <v>68988</v>
      </c>
    </row>
    <row r="180" spans="1:8" x14ac:dyDescent="0.3">
      <c r="A180" t="s">
        <v>213</v>
      </c>
      <c r="B180" t="s">
        <v>18</v>
      </c>
      <c r="C180" t="s">
        <v>15</v>
      </c>
      <c r="D180" t="s">
        <v>31</v>
      </c>
      <c r="E180" t="s">
        <v>29</v>
      </c>
      <c r="F180">
        <v>42826</v>
      </c>
      <c r="G180">
        <v>13</v>
      </c>
      <c r="H180">
        <v>26166</v>
      </c>
    </row>
    <row r="181" spans="1:8" x14ac:dyDescent="0.3">
      <c r="A181" t="s">
        <v>214</v>
      </c>
      <c r="B181" t="s">
        <v>40</v>
      </c>
      <c r="C181" t="s">
        <v>10</v>
      </c>
      <c r="D181" t="s">
        <v>31</v>
      </c>
      <c r="E181" t="s">
        <v>34</v>
      </c>
      <c r="F181">
        <v>38992</v>
      </c>
      <c r="G181">
        <v>10</v>
      </c>
      <c r="H181">
        <v>27197</v>
      </c>
    </row>
    <row r="182" spans="1:8" x14ac:dyDescent="0.3">
      <c r="A182" t="s">
        <v>215</v>
      </c>
      <c r="B182" t="s">
        <v>18</v>
      </c>
      <c r="C182" t="s">
        <v>15</v>
      </c>
      <c r="D182" t="s">
        <v>31</v>
      </c>
      <c r="E182" t="s">
        <v>12</v>
      </c>
      <c r="F182">
        <v>11448</v>
      </c>
      <c r="G182">
        <v>3</v>
      </c>
      <c r="H182">
        <v>7669</v>
      </c>
    </row>
    <row r="183" spans="1:8" x14ac:dyDescent="0.3">
      <c r="A183" t="s">
        <v>216</v>
      </c>
      <c r="B183" t="s">
        <v>9</v>
      </c>
      <c r="C183" t="s">
        <v>10</v>
      </c>
      <c r="D183" t="s">
        <v>11</v>
      </c>
      <c r="E183" t="s">
        <v>16</v>
      </c>
      <c r="F183">
        <v>102457</v>
      </c>
      <c r="G183">
        <v>14</v>
      </c>
      <c r="H183">
        <v>62255</v>
      </c>
    </row>
    <row r="184" spans="1:8" x14ac:dyDescent="0.3">
      <c r="A184" t="s">
        <v>217</v>
      </c>
      <c r="B184" t="s">
        <v>14</v>
      </c>
      <c r="C184" t="s">
        <v>15</v>
      </c>
      <c r="D184" t="s">
        <v>31</v>
      </c>
      <c r="E184" t="s">
        <v>29</v>
      </c>
      <c r="F184">
        <v>38292</v>
      </c>
      <c r="G184">
        <v>2</v>
      </c>
      <c r="H184">
        <v>27338</v>
      </c>
    </row>
    <row r="185" spans="1:8" x14ac:dyDescent="0.3">
      <c r="A185" t="s">
        <v>218</v>
      </c>
      <c r="B185" t="s">
        <v>21</v>
      </c>
      <c r="C185" t="s">
        <v>22</v>
      </c>
      <c r="D185" t="s">
        <v>23</v>
      </c>
      <c r="E185" t="s">
        <v>49</v>
      </c>
      <c r="F185">
        <v>75917</v>
      </c>
      <c r="G185">
        <v>15</v>
      </c>
      <c r="H185">
        <v>48772</v>
      </c>
    </row>
    <row r="186" spans="1:8" x14ac:dyDescent="0.3">
      <c r="A186" t="s">
        <v>219</v>
      </c>
      <c r="B186" t="s">
        <v>42</v>
      </c>
      <c r="C186" t="s">
        <v>10</v>
      </c>
      <c r="D186" t="s">
        <v>23</v>
      </c>
      <c r="E186" t="s">
        <v>46</v>
      </c>
      <c r="F186">
        <v>70955</v>
      </c>
      <c r="G186">
        <v>10</v>
      </c>
      <c r="H186">
        <v>46867</v>
      </c>
    </row>
    <row r="187" spans="1:8" x14ac:dyDescent="0.3">
      <c r="A187" t="s">
        <v>220</v>
      </c>
      <c r="B187" t="s">
        <v>18</v>
      </c>
      <c r="C187" t="s">
        <v>15</v>
      </c>
      <c r="D187" t="s">
        <v>11</v>
      </c>
      <c r="E187" t="s">
        <v>16</v>
      </c>
      <c r="F187">
        <v>5289</v>
      </c>
      <c r="G187">
        <v>2</v>
      </c>
      <c r="H187">
        <v>3637</v>
      </c>
    </row>
    <row r="188" spans="1:8" x14ac:dyDescent="0.3">
      <c r="A188" t="s">
        <v>221</v>
      </c>
      <c r="B188" t="s">
        <v>36</v>
      </c>
      <c r="C188" t="s">
        <v>22</v>
      </c>
      <c r="D188" t="s">
        <v>11</v>
      </c>
      <c r="E188" t="s">
        <v>61</v>
      </c>
      <c r="F188">
        <v>27857</v>
      </c>
      <c r="G188">
        <v>6</v>
      </c>
      <c r="H188">
        <v>19436</v>
      </c>
    </row>
    <row r="189" spans="1:8" x14ac:dyDescent="0.3">
      <c r="A189" t="s">
        <v>222</v>
      </c>
      <c r="B189" t="s">
        <v>40</v>
      </c>
      <c r="C189" t="s">
        <v>10</v>
      </c>
      <c r="D189" t="s">
        <v>11</v>
      </c>
      <c r="E189" t="s">
        <v>61</v>
      </c>
      <c r="F189">
        <v>115627</v>
      </c>
      <c r="G189">
        <v>3</v>
      </c>
      <c r="H189">
        <v>83655</v>
      </c>
    </row>
    <row r="190" spans="1:8" x14ac:dyDescent="0.3">
      <c r="A190" t="s">
        <v>223</v>
      </c>
      <c r="B190" t="s">
        <v>14</v>
      </c>
      <c r="C190" t="s">
        <v>15</v>
      </c>
      <c r="D190" t="s">
        <v>11</v>
      </c>
      <c r="E190" t="s">
        <v>27</v>
      </c>
      <c r="F190">
        <v>41651</v>
      </c>
      <c r="G190">
        <v>8</v>
      </c>
      <c r="H190">
        <v>28711</v>
      </c>
    </row>
    <row r="191" spans="1:8" x14ac:dyDescent="0.3">
      <c r="A191" t="s">
        <v>224</v>
      </c>
      <c r="B191" t="s">
        <v>36</v>
      </c>
      <c r="C191" t="s">
        <v>22</v>
      </c>
      <c r="D191" t="s">
        <v>11</v>
      </c>
      <c r="E191" t="s">
        <v>27</v>
      </c>
      <c r="F191">
        <v>5785</v>
      </c>
      <c r="G191">
        <v>7</v>
      </c>
      <c r="H191">
        <v>3974</v>
      </c>
    </row>
    <row r="192" spans="1:8" x14ac:dyDescent="0.3">
      <c r="A192" t="s">
        <v>225</v>
      </c>
      <c r="B192" t="s">
        <v>18</v>
      </c>
      <c r="C192" t="s">
        <v>15</v>
      </c>
      <c r="D192" t="s">
        <v>31</v>
      </c>
      <c r="E192" t="s">
        <v>34</v>
      </c>
      <c r="F192">
        <v>110005</v>
      </c>
      <c r="G192">
        <v>14</v>
      </c>
      <c r="H192">
        <v>72278</v>
      </c>
    </row>
    <row r="193" spans="1:8" x14ac:dyDescent="0.3">
      <c r="A193" t="s">
        <v>226</v>
      </c>
      <c r="B193" t="s">
        <v>18</v>
      </c>
      <c r="C193" t="s">
        <v>15</v>
      </c>
      <c r="D193" t="s">
        <v>31</v>
      </c>
      <c r="E193" t="s">
        <v>32</v>
      </c>
      <c r="F193">
        <v>36559</v>
      </c>
      <c r="G193">
        <v>5</v>
      </c>
      <c r="H193">
        <v>23336</v>
      </c>
    </row>
    <row r="194" spans="1:8" x14ac:dyDescent="0.3">
      <c r="A194" t="s">
        <v>227</v>
      </c>
      <c r="B194" t="s">
        <v>9</v>
      </c>
      <c r="C194" t="s">
        <v>10</v>
      </c>
      <c r="D194" t="s">
        <v>11</v>
      </c>
      <c r="E194" t="s">
        <v>61</v>
      </c>
      <c r="F194">
        <v>50586</v>
      </c>
      <c r="G194">
        <v>1</v>
      </c>
      <c r="H194">
        <v>31267</v>
      </c>
    </row>
    <row r="195" spans="1:8" x14ac:dyDescent="0.3">
      <c r="A195" t="s">
        <v>228</v>
      </c>
      <c r="B195" t="s">
        <v>14</v>
      </c>
      <c r="C195" t="s">
        <v>15</v>
      </c>
      <c r="D195" t="s">
        <v>31</v>
      </c>
      <c r="E195" t="s">
        <v>49</v>
      </c>
      <c r="F195">
        <v>99012</v>
      </c>
      <c r="G195">
        <v>3</v>
      </c>
      <c r="H195">
        <v>59809</v>
      </c>
    </row>
    <row r="196" spans="1:8" x14ac:dyDescent="0.3">
      <c r="A196" t="s">
        <v>229</v>
      </c>
      <c r="B196" t="s">
        <v>40</v>
      </c>
      <c r="C196" t="s">
        <v>10</v>
      </c>
      <c r="D196" t="s">
        <v>11</v>
      </c>
      <c r="E196" t="s">
        <v>24</v>
      </c>
      <c r="F196">
        <v>110405</v>
      </c>
      <c r="G196">
        <v>9</v>
      </c>
      <c r="H196">
        <v>68237</v>
      </c>
    </row>
    <row r="197" spans="1:8" x14ac:dyDescent="0.3">
      <c r="A197" t="s">
        <v>230</v>
      </c>
      <c r="B197" t="s">
        <v>9</v>
      </c>
      <c r="C197" t="s">
        <v>10</v>
      </c>
      <c r="D197" t="s">
        <v>11</v>
      </c>
      <c r="E197" t="s">
        <v>46</v>
      </c>
      <c r="F197">
        <v>91204</v>
      </c>
      <c r="G197">
        <v>15</v>
      </c>
      <c r="H197">
        <v>67823</v>
      </c>
    </row>
    <row r="198" spans="1:8" x14ac:dyDescent="0.3">
      <c r="A198" t="s">
        <v>231</v>
      </c>
      <c r="B198" t="s">
        <v>42</v>
      </c>
      <c r="C198" t="s">
        <v>10</v>
      </c>
      <c r="D198" t="s">
        <v>31</v>
      </c>
      <c r="E198" t="s">
        <v>19</v>
      </c>
      <c r="F198">
        <v>44103</v>
      </c>
      <c r="G198">
        <v>10</v>
      </c>
      <c r="H198">
        <v>30153</v>
      </c>
    </row>
    <row r="199" spans="1:8" x14ac:dyDescent="0.3">
      <c r="A199" t="s">
        <v>232</v>
      </c>
      <c r="B199" t="s">
        <v>9</v>
      </c>
      <c r="C199" t="s">
        <v>10</v>
      </c>
      <c r="D199" t="s">
        <v>11</v>
      </c>
      <c r="E199" t="s">
        <v>32</v>
      </c>
      <c r="F199">
        <v>82064</v>
      </c>
      <c r="G199">
        <v>1</v>
      </c>
      <c r="H199">
        <v>54954</v>
      </c>
    </row>
    <row r="200" spans="1:8" x14ac:dyDescent="0.3">
      <c r="A200" t="s">
        <v>233</v>
      </c>
      <c r="B200" t="s">
        <v>21</v>
      </c>
      <c r="C200" t="s">
        <v>22</v>
      </c>
      <c r="D200" t="s">
        <v>37</v>
      </c>
      <c r="E200" t="s">
        <v>29</v>
      </c>
      <c r="F200">
        <v>122139</v>
      </c>
      <c r="G200">
        <v>12</v>
      </c>
      <c r="H200">
        <v>75601</v>
      </c>
    </row>
    <row r="201" spans="1:8" x14ac:dyDescent="0.3">
      <c r="A201" t="s">
        <v>234</v>
      </c>
      <c r="B201" t="s">
        <v>42</v>
      </c>
      <c r="C201" t="s">
        <v>10</v>
      </c>
      <c r="D201" t="s">
        <v>23</v>
      </c>
      <c r="E201" t="s">
        <v>29</v>
      </c>
      <c r="F201">
        <v>140921</v>
      </c>
      <c r="G201">
        <v>9</v>
      </c>
      <c r="H201">
        <v>91389</v>
      </c>
    </row>
    <row r="202" spans="1:8" x14ac:dyDescent="0.3">
      <c r="A202" t="s">
        <v>235</v>
      </c>
      <c r="B202" t="s">
        <v>9</v>
      </c>
      <c r="C202" t="s">
        <v>10</v>
      </c>
      <c r="D202" t="s">
        <v>37</v>
      </c>
      <c r="E202" t="s">
        <v>43</v>
      </c>
      <c r="F202">
        <v>135797</v>
      </c>
      <c r="G202">
        <v>14</v>
      </c>
      <c r="H202">
        <v>82050</v>
      </c>
    </row>
    <row r="203" spans="1:8" x14ac:dyDescent="0.3">
      <c r="A203" t="s">
        <v>236</v>
      </c>
      <c r="B203" t="s">
        <v>18</v>
      </c>
      <c r="C203" t="s">
        <v>15</v>
      </c>
      <c r="D203" t="s">
        <v>11</v>
      </c>
      <c r="E203" t="s">
        <v>34</v>
      </c>
      <c r="F203">
        <v>86616</v>
      </c>
      <c r="G203">
        <v>8</v>
      </c>
      <c r="H203">
        <v>57419</v>
      </c>
    </row>
    <row r="204" spans="1:8" x14ac:dyDescent="0.3">
      <c r="A204" t="s">
        <v>237</v>
      </c>
      <c r="B204" t="s">
        <v>48</v>
      </c>
      <c r="C204" t="s">
        <v>15</v>
      </c>
      <c r="D204" t="s">
        <v>11</v>
      </c>
      <c r="E204" t="s">
        <v>32</v>
      </c>
      <c r="F204">
        <v>39816</v>
      </c>
      <c r="G204">
        <v>15</v>
      </c>
      <c r="H204">
        <v>25135</v>
      </c>
    </row>
    <row r="205" spans="1:8" x14ac:dyDescent="0.3">
      <c r="A205" t="s">
        <v>238</v>
      </c>
      <c r="B205" t="s">
        <v>48</v>
      </c>
      <c r="C205" t="s">
        <v>15</v>
      </c>
      <c r="D205" t="s">
        <v>31</v>
      </c>
      <c r="E205" t="s">
        <v>24</v>
      </c>
      <c r="F205">
        <v>63945</v>
      </c>
      <c r="G205">
        <v>7</v>
      </c>
      <c r="H205">
        <v>45703</v>
      </c>
    </row>
    <row r="206" spans="1:8" x14ac:dyDescent="0.3">
      <c r="A206" t="s">
        <v>239</v>
      </c>
      <c r="B206" t="s">
        <v>21</v>
      </c>
      <c r="C206" t="s">
        <v>22</v>
      </c>
      <c r="D206" t="s">
        <v>37</v>
      </c>
      <c r="E206" t="s">
        <v>29</v>
      </c>
      <c r="F206">
        <v>87159</v>
      </c>
      <c r="G206">
        <v>7</v>
      </c>
      <c r="H206">
        <v>61048</v>
      </c>
    </row>
    <row r="207" spans="1:8" x14ac:dyDescent="0.3">
      <c r="A207" t="s">
        <v>240</v>
      </c>
      <c r="B207" t="s">
        <v>40</v>
      </c>
      <c r="C207" t="s">
        <v>10</v>
      </c>
      <c r="D207" t="s">
        <v>11</v>
      </c>
      <c r="E207" t="s">
        <v>34</v>
      </c>
      <c r="F207">
        <v>135930</v>
      </c>
      <c r="G207">
        <v>6</v>
      </c>
      <c r="H207">
        <v>87608</v>
      </c>
    </row>
    <row r="208" spans="1:8" x14ac:dyDescent="0.3">
      <c r="A208" t="s">
        <v>241</v>
      </c>
      <c r="B208" t="s">
        <v>36</v>
      </c>
      <c r="C208" t="s">
        <v>22</v>
      </c>
      <c r="D208" t="s">
        <v>11</v>
      </c>
      <c r="E208" t="s">
        <v>32</v>
      </c>
      <c r="F208">
        <v>105360</v>
      </c>
      <c r="G208">
        <v>10</v>
      </c>
      <c r="H208">
        <v>70110</v>
      </c>
    </row>
    <row r="209" spans="1:8" x14ac:dyDescent="0.3">
      <c r="A209" t="s">
        <v>242</v>
      </c>
      <c r="B209" t="s">
        <v>21</v>
      </c>
      <c r="C209" t="s">
        <v>22</v>
      </c>
      <c r="D209" t="s">
        <v>37</v>
      </c>
      <c r="E209" t="s">
        <v>34</v>
      </c>
      <c r="F209">
        <v>142400</v>
      </c>
      <c r="G209">
        <v>1</v>
      </c>
      <c r="H209">
        <v>93110</v>
      </c>
    </row>
    <row r="210" spans="1:8" x14ac:dyDescent="0.3">
      <c r="A210" t="s">
        <v>243</v>
      </c>
      <c r="B210" t="s">
        <v>9</v>
      </c>
      <c r="C210" t="s">
        <v>10</v>
      </c>
      <c r="D210" t="s">
        <v>23</v>
      </c>
      <c r="E210" t="s">
        <v>24</v>
      </c>
      <c r="F210">
        <v>8724</v>
      </c>
      <c r="G210">
        <v>1</v>
      </c>
      <c r="H210">
        <v>5406</v>
      </c>
    </row>
    <row r="211" spans="1:8" x14ac:dyDescent="0.3">
      <c r="A211" t="s">
        <v>244</v>
      </c>
      <c r="B211" t="s">
        <v>48</v>
      </c>
      <c r="C211" t="s">
        <v>15</v>
      </c>
      <c r="D211" t="s">
        <v>11</v>
      </c>
      <c r="E211" t="s">
        <v>16</v>
      </c>
      <c r="F211">
        <v>77879</v>
      </c>
      <c r="G211">
        <v>4</v>
      </c>
      <c r="H211">
        <v>57072</v>
      </c>
    </row>
    <row r="212" spans="1:8" x14ac:dyDescent="0.3">
      <c r="A212" t="s">
        <v>245</v>
      </c>
      <c r="B212" t="s">
        <v>14</v>
      </c>
      <c r="C212" t="s">
        <v>15</v>
      </c>
      <c r="D212" t="s">
        <v>23</v>
      </c>
      <c r="E212" t="s">
        <v>24</v>
      </c>
      <c r="F212">
        <v>109116</v>
      </c>
      <c r="G212">
        <v>1</v>
      </c>
      <c r="H212">
        <v>72283</v>
      </c>
    </row>
    <row r="213" spans="1:8" x14ac:dyDescent="0.3">
      <c r="A213" t="s">
        <v>246</v>
      </c>
      <c r="B213" t="s">
        <v>36</v>
      </c>
      <c r="C213" t="s">
        <v>22</v>
      </c>
      <c r="D213" t="s">
        <v>11</v>
      </c>
      <c r="E213" t="s">
        <v>34</v>
      </c>
      <c r="F213">
        <v>56122</v>
      </c>
      <c r="G213">
        <v>1</v>
      </c>
      <c r="H213">
        <v>40582</v>
      </c>
    </row>
    <row r="214" spans="1:8" x14ac:dyDescent="0.3">
      <c r="A214" t="s">
        <v>247</v>
      </c>
      <c r="B214" t="s">
        <v>42</v>
      </c>
      <c r="C214" t="s">
        <v>10</v>
      </c>
      <c r="D214" t="s">
        <v>37</v>
      </c>
      <c r="E214" t="s">
        <v>43</v>
      </c>
      <c r="F214">
        <v>46095</v>
      </c>
      <c r="G214">
        <v>2</v>
      </c>
      <c r="H214">
        <v>32518</v>
      </c>
    </row>
    <row r="215" spans="1:8" x14ac:dyDescent="0.3">
      <c r="A215" t="s">
        <v>248</v>
      </c>
      <c r="B215" t="s">
        <v>36</v>
      </c>
      <c r="C215" t="s">
        <v>22</v>
      </c>
      <c r="D215" t="s">
        <v>11</v>
      </c>
      <c r="E215" t="s">
        <v>29</v>
      </c>
      <c r="F215">
        <v>140736</v>
      </c>
      <c r="G215">
        <v>5</v>
      </c>
      <c r="H215">
        <v>96873</v>
      </c>
    </row>
    <row r="216" spans="1:8" x14ac:dyDescent="0.3">
      <c r="A216" t="s">
        <v>249</v>
      </c>
      <c r="B216" t="s">
        <v>40</v>
      </c>
      <c r="C216" t="s">
        <v>10</v>
      </c>
      <c r="D216" t="s">
        <v>23</v>
      </c>
      <c r="E216" t="s">
        <v>46</v>
      </c>
      <c r="F216">
        <v>39852</v>
      </c>
      <c r="G216">
        <v>10</v>
      </c>
      <c r="H216">
        <v>28748</v>
      </c>
    </row>
    <row r="217" spans="1:8" x14ac:dyDescent="0.3">
      <c r="A217" t="s">
        <v>250</v>
      </c>
      <c r="B217" t="s">
        <v>14</v>
      </c>
      <c r="C217" t="s">
        <v>15</v>
      </c>
      <c r="D217" t="s">
        <v>23</v>
      </c>
      <c r="E217" t="s">
        <v>27</v>
      </c>
      <c r="F217">
        <v>105020</v>
      </c>
      <c r="G217">
        <v>12</v>
      </c>
      <c r="H217">
        <v>74234</v>
      </c>
    </row>
    <row r="218" spans="1:8" x14ac:dyDescent="0.3">
      <c r="A218" t="s">
        <v>251</v>
      </c>
      <c r="B218" t="s">
        <v>40</v>
      </c>
      <c r="C218" t="s">
        <v>10</v>
      </c>
      <c r="D218" t="s">
        <v>31</v>
      </c>
      <c r="E218" t="s">
        <v>32</v>
      </c>
      <c r="F218">
        <v>119387</v>
      </c>
      <c r="G218">
        <v>2</v>
      </c>
      <c r="H218">
        <v>83740</v>
      </c>
    </row>
    <row r="219" spans="1:8" x14ac:dyDescent="0.3">
      <c r="A219" t="s">
        <v>252</v>
      </c>
      <c r="B219" t="s">
        <v>14</v>
      </c>
      <c r="C219" t="s">
        <v>15</v>
      </c>
      <c r="D219" t="s">
        <v>11</v>
      </c>
      <c r="E219" t="s">
        <v>19</v>
      </c>
      <c r="F219">
        <v>29305</v>
      </c>
      <c r="G219">
        <v>2</v>
      </c>
      <c r="H219">
        <v>21951</v>
      </c>
    </row>
    <row r="220" spans="1:8" x14ac:dyDescent="0.3">
      <c r="A220" t="s">
        <v>253</v>
      </c>
      <c r="B220" t="s">
        <v>21</v>
      </c>
      <c r="C220" t="s">
        <v>22</v>
      </c>
      <c r="D220" t="s">
        <v>23</v>
      </c>
      <c r="E220" t="s">
        <v>46</v>
      </c>
      <c r="F220">
        <v>92624</v>
      </c>
      <c r="G220">
        <v>3</v>
      </c>
      <c r="H220">
        <v>66747</v>
      </c>
    </row>
    <row r="221" spans="1:8" x14ac:dyDescent="0.3">
      <c r="A221" t="s">
        <v>254</v>
      </c>
      <c r="B221" t="s">
        <v>18</v>
      </c>
      <c r="C221" t="s">
        <v>15</v>
      </c>
      <c r="D221" t="s">
        <v>31</v>
      </c>
      <c r="E221" t="s">
        <v>29</v>
      </c>
      <c r="F221">
        <v>28545</v>
      </c>
      <c r="G221">
        <v>5</v>
      </c>
      <c r="H221">
        <v>18656</v>
      </c>
    </row>
    <row r="222" spans="1:8" x14ac:dyDescent="0.3">
      <c r="A222" t="s">
        <v>255</v>
      </c>
      <c r="B222" t="s">
        <v>9</v>
      </c>
      <c r="C222" t="s">
        <v>10</v>
      </c>
      <c r="D222" t="s">
        <v>23</v>
      </c>
      <c r="E222" t="s">
        <v>19</v>
      </c>
      <c r="F222">
        <v>65710</v>
      </c>
      <c r="G222">
        <v>12</v>
      </c>
      <c r="H222">
        <v>44649</v>
      </c>
    </row>
    <row r="223" spans="1:8" x14ac:dyDescent="0.3">
      <c r="A223" t="s">
        <v>256</v>
      </c>
      <c r="B223" t="s">
        <v>48</v>
      </c>
      <c r="C223" t="s">
        <v>15</v>
      </c>
      <c r="D223" t="s">
        <v>23</v>
      </c>
      <c r="E223" t="s">
        <v>24</v>
      </c>
      <c r="F223">
        <v>86656</v>
      </c>
      <c r="G223">
        <v>5</v>
      </c>
      <c r="H223">
        <v>55269</v>
      </c>
    </row>
    <row r="224" spans="1:8" x14ac:dyDescent="0.3">
      <c r="A224" t="s">
        <v>257</v>
      </c>
      <c r="B224" t="s">
        <v>48</v>
      </c>
      <c r="C224" t="s">
        <v>15</v>
      </c>
      <c r="D224" t="s">
        <v>23</v>
      </c>
      <c r="E224" t="s">
        <v>12</v>
      </c>
      <c r="F224">
        <v>101155</v>
      </c>
      <c r="G224">
        <v>2</v>
      </c>
      <c r="H224">
        <v>70444</v>
      </c>
    </row>
    <row r="225" spans="1:8" x14ac:dyDescent="0.3">
      <c r="A225" t="s">
        <v>258</v>
      </c>
      <c r="B225" t="s">
        <v>18</v>
      </c>
      <c r="C225" t="s">
        <v>15</v>
      </c>
      <c r="D225" t="s">
        <v>31</v>
      </c>
      <c r="E225" t="s">
        <v>29</v>
      </c>
      <c r="F225">
        <v>57299</v>
      </c>
      <c r="G225">
        <v>14</v>
      </c>
      <c r="H225">
        <v>42701</v>
      </c>
    </row>
    <row r="226" spans="1:8" x14ac:dyDescent="0.3">
      <c r="A226" t="s">
        <v>259</v>
      </c>
      <c r="B226" t="s">
        <v>18</v>
      </c>
      <c r="C226" t="s">
        <v>15</v>
      </c>
      <c r="D226" t="s">
        <v>37</v>
      </c>
      <c r="E226" t="s">
        <v>16</v>
      </c>
      <c r="F226">
        <v>96728</v>
      </c>
      <c r="G226">
        <v>6</v>
      </c>
      <c r="H226">
        <v>66607</v>
      </c>
    </row>
    <row r="227" spans="1:8" x14ac:dyDescent="0.3">
      <c r="A227" t="s">
        <v>260</v>
      </c>
      <c r="B227" t="s">
        <v>14</v>
      </c>
      <c r="C227" t="s">
        <v>15</v>
      </c>
      <c r="D227" t="s">
        <v>31</v>
      </c>
      <c r="E227" t="s">
        <v>61</v>
      </c>
      <c r="F227">
        <v>147116</v>
      </c>
      <c r="G227">
        <v>15</v>
      </c>
      <c r="H227">
        <v>94549</v>
      </c>
    </row>
    <row r="228" spans="1:8" x14ac:dyDescent="0.3">
      <c r="A228" t="s">
        <v>261</v>
      </c>
      <c r="B228" t="s">
        <v>21</v>
      </c>
      <c r="C228" t="s">
        <v>22</v>
      </c>
      <c r="D228" t="s">
        <v>31</v>
      </c>
      <c r="E228" t="s">
        <v>46</v>
      </c>
      <c r="F228">
        <v>22595</v>
      </c>
      <c r="G228">
        <v>12</v>
      </c>
      <c r="H228">
        <v>14445</v>
      </c>
    </row>
    <row r="229" spans="1:8" x14ac:dyDescent="0.3">
      <c r="A229" t="s">
        <v>262</v>
      </c>
      <c r="B229" t="s">
        <v>48</v>
      </c>
      <c r="C229" t="s">
        <v>15</v>
      </c>
      <c r="D229" t="s">
        <v>37</v>
      </c>
      <c r="E229" t="s">
        <v>16</v>
      </c>
      <c r="F229">
        <v>82327</v>
      </c>
      <c r="G229">
        <v>7</v>
      </c>
      <c r="H229">
        <v>59726</v>
      </c>
    </row>
    <row r="230" spans="1:8" x14ac:dyDescent="0.3">
      <c r="A230" t="s">
        <v>263</v>
      </c>
      <c r="B230" t="s">
        <v>48</v>
      </c>
      <c r="C230" t="s">
        <v>15</v>
      </c>
      <c r="D230" t="s">
        <v>23</v>
      </c>
      <c r="E230" t="s">
        <v>49</v>
      </c>
      <c r="F230">
        <v>142286</v>
      </c>
      <c r="G230">
        <v>3</v>
      </c>
      <c r="H230">
        <v>100059</v>
      </c>
    </row>
    <row r="231" spans="1:8" x14ac:dyDescent="0.3">
      <c r="A231" t="s">
        <v>264</v>
      </c>
      <c r="B231" t="s">
        <v>9</v>
      </c>
      <c r="C231" t="s">
        <v>10</v>
      </c>
      <c r="D231" t="s">
        <v>31</v>
      </c>
      <c r="E231" t="s">
        <v>61</v>
      </c>
      <c r="F231">
        <v>44669</v>
      </c>
      <c r="G231">
        <v>8</v>
      </c>
      <c r="H231">
        <v>31889</v>
      </c>
    </row>
    <row r="232" spans="1:8" x14ac:dyDescent="0.3">
      <c r="A232" t="s">
        <v>265</v>
      </c>
      <c r="B232" t="s">
        <v>40</v>
      </c>
      <c r="C232" t="s">
        <v>10</v>
      </c>
      <c r="D232" t="s">
        <v>11</v>
      </c>
      <c r="E232" t="s">
        <v>34</v>
      </c>
      <c r="F232">
        <v>108515</v>
      </c>
      <c r="G232">
        <v>15</v>
      </c>
      <c r="H232">
        <v>78496</v>
      </c>
    </row>
    <row r="233" spans="1:8" x14ac:dyDescent="0.3">
      <c r="A233" t="s">
        <v>266</v>
      </c>
      <c r="B233" t="s">
        <v>36</v>
      </c>
      <c r="C233" t="s">
        <v>22</v>
      </c>
      <c r="D233" t="s">
        <v>31</v>
      </c>
      <c r="E233" t="s">
        <v>61</v>
      </c>
      <c r="F233">
        <v>81696</v>
      </c>
      <c r="G233">
        <v>3</v>
      </c>
      <c r="H233">
        <v>50359</v>
      </c>
    </row>
    <row r="234" spans="1:8" x14ac:dyDescent="0.3">
      <c r="A234" t="s">
        <v>267</v>
      </c>
      <c r="B234" t="s">
        <v>40</v>
      </c>
      <c r="C234" t="s">
        <v>10</v>
      </c>
      <c r="D234" t="s">
        <v>37</v>
      </c>
      <c r="E234" t="s">
        <v>19</v>
      </c>
      <c r="F234">
        <v>96515</v>
      </c>
      <c r="G234">
        <v>2</v>
      </c>
      <c r="H234">
        <v>67600</v>
      </c>
    </row>
    <row r="235" spans="1:8" x14ac:dyDescent="0.3">
      <c r="A235" t="s">
        <v>268</v>
      </c>
      <c r="B235" t="s">
        <v>9</v>
      </c>
      <c r="C235" t="s">
        <v>10</v>
      </c>
      <c r="D235" t="s">
        <v>31</v>
      </c>
      <c r="E235" t="s">
        <v>19</v>
      </c>
      <c r="F235">
        <v>90373</v>
      </c>
      <c r="G235">
        <v>1</v>
      </c>
      <c r="H235">
        <v>66406</v>
      </c>
    </row>
    <row r="236" spans="1:8" x14ac:dyDescent="0.3">
      <c r="A236" t="s">
        <v>269</v>
      </c>
      <c r="B236" t="s">
        <v>42</v>
      </c>
      <c r="C236" t="s">
        <v>10</v>
      </c>
      <c r="D236" t="s">
        <v>23</v>
      </c>
      <c r="E236" t="s">
        <v>49</v>
      </c>
      <c r="F236">
        <v>134139</v>
      </c>
      <c r="G236">
        <v>5</v>
      </c>
      <c r="H236">
        <v>93012</v>
      </c>
    </row>
    <row r="237" spans="1:8" x14ac:dyDescent="0.3">
      <c r="A237" t="s">
        <v>270</v>
      </c>
      <c r="B237" t="s">
        <v>14</v>
      </c>
      <c r="C237" t="s">
        <v>15</v>
      </c>
      <c r="D237" t="s">
        <v>23</v>
      </c>
      <c r="E237" t="s">
        <v>29</v>
      </c>
      <c r="F237">
        <v>140046</v>
      </c>
      <c r="G237">
        <v>8</v>
      </c>
      <c r="H237">
        <v>96624</v>
      </c>
    </row>
    <row r="238" spans="1:8" x14ac:dyDescent="0.3">
      <c r="A238" t="s">
        <v>271</v>
      </c>
      <c r="B238" t="s">
        <v>42</v>
      </c>
      <c r="C238" t="s">
        <v>10</v>
      </c>
      <c r="D238" t="s">
        <v>31</v>
      </c>
      <c r="E238" t="s">
        <v>29</v>
      </c>
      <c r="F238">
        <v>107784</v>
      </c>
      <c r="G238">
        <v>12</v>
      </c>
      <c r="H238">
        <v>69320</v>
      </c>
    </row>
    <row r="239" spans="1:8" x14ac:dyDescent="0.3">
      <c r="A239" t="s">
        <v>272</v>
      </c>
      <c r="B239" t="s">
        <v>14</v>
      </c>
      <c r="C239" t="s">
        <v>15</v>
      </c>
      <c r="D239" t="s">
        <v>31</v>
      </c>
      <c r="E239" t="s">
        <v>43</v>
      </c>
      <c r="F239">
        <v>47612</v>
      </c>
      <c r="G239">
        <v>3</v>
      </c>
      <c r="H239">
        <v>33524</v>
      </c>
    </row>
    <row r="240" spans="1:8" x14ac:dyDescent="0.3">
      <c r="A240" t="s">
        <v>273</v>
      </c>
      <c r="B240" t="s">
        <v>48</v>
      </c>
      <c r="C240" t="s">
        <v>15</v>
      </c>
      <c r="D240" t="s">
        <v>23</v>
      </c>
      <c r="E240" t="s">
        <v>27</v>
      </c>
      <c r="F240">
        <v>46173</v>
      </c>
      <c r="G240">
        <v>7</v>
      </c>
      <c r="H240">
        <v>28392</v>
      </c>
    </row>
    <row r="241" spans="1:8" x14ac:dyDescent="0.3">
      <c r="A241" t="s">
        <v>274</v>
      </c>
      <c r="B241" t="s">
        <v>9</v>
      </c>
      <c r="C241" t="s">
        <v>10</v>
      </c>
      <c r="D241" t="s">
        <v>23</v>
      </c>
      <c r="E241" t="s">
        <v>24</v>
      </c>
      <c r="F241">
        <v>58775</v>
      </c>
      <c r="G241">
        <v>3</v>
      </c>
      <c r="H241">
        <v>38183</v>
      </c>
    </row>
    <row r="242" spans="1:8" x14ac:dyDescent="0.3">
      <c r="A242" t="s">
        <v>275</v>
      </c>
      <c r="B242" t="s">
        <v>18</v>
      </c>
      <c r="C242" t="s">
        <v>15</v>
      </c>
      <c r="D242" t="s">
        <v>31</v>
      </c>
      <c r="E242" t="s">
        <v>16</v>
      </c>
      <c r="F242">
        <v>12874</v>
      </c>
      <c r="G242">
        <v>11</v>
      </c>
      <c r="H242">
        <v>9378</v>
      </c>
    </row>
    <row r="243" spans="1:8" x14ac:dyDescent="0.3">
      <c r="A243" t="s">
        <v>276</v>
      </c>
      <c r="B243" t="s">
        <v>40</v>
      </c>
      <c r="C243" t="s">
        <v>10</v>
      </c>
      <c r="D243" t="s">
        <v>11</v>
      </c>
      <c r="E243" t="s">
        <v>24</v>
      </c>
      <c r="F243">
        <v>120865</v>
      </c>
      <c r="G243">
        <v>5</v>
      </c>
      <c r="H243">
        <v>80222</v>
      </c>
    </row>
    <row r="244" spans="1:8" x14ac:dyDescent="0.3">
      <c r="A244" t="s">
        <v>277</v>
      </c>
      <c r="B244" t="s">
        <v>18</v>
      </c>
      <c r="C244" t="s">
        <v>15</v>
      </c>
      <c r="D244" t="s">
        <v>37</v>
      </c>
      <c r="E244" t="s">
        <v>19</v>
      </c>
      <c r="F244">
        <v>138476</v>
      </c>
      <c r="G244">
        <v>14</v>
      </c>
      <c r="H244">
        <v>87008</v>
      </c>
    </row>
    <row r="245" spans="1:8" x14ac:dyDescent="0.3">
      <c r="A245" t="s">
        <v>278</v>
      </c>
      <c r="B245" t="s">
        <v>48</v>
      </c>
      <c r="C245" t="s">
        <v>15</v>
      </c>
      <c r="D245" t="s">
        <v>31</v>
      </c>
      <c r="E245" t="s">
        <v>16</v>
      </c>
      <c r="F245">
        <v>83427</v>
      </c>
      <c r="G245">
        <v>4</v>
      </c>
      <c r="H245">
        <v>51447</v>
      </c>
    </row>
    <row r="246" spans="1:8" x14ac:dyDescent="0.3">
      <c r="A246" t="s">
        <v>279</v>
      </c>
      <c r="B246" t="s">
        <v>9</v>
      </c>
      <c r="C246" t="s">
        <v>10</v>
      </c>
      <c r="D246" t="s">
        <v>31</v>
      </c>
      <c r="E246" t="s">
        <v>34</v>
      </c>
      <c r="F246">
        <v>18004</v>
      </c>
      <c r="G246">
        <v>6</v>
      </c>
      <c r="H246">
        <v>12652</v>
      </c>
    </row>
    <row r="247" spans="1:8" x14ac:dyDescent="0.3">
      <c r="A247" t="s">
        <v>280</v>
      </c>
      <c r="B247" t="s">
        <v>18</v>
      </c>
      <c r="C247" t="s">
        <v>15</v>
      </c>
      <c r="D247" t="s">
        <v>11</v>
      </c>
      <c r="E247" t="s">
        <v>16</v>
      </c>
      <c r="F247">
        <v>116900</v>
      </c>
      <c r="G247">
        <v>5</v>
      </c>
      <c r="H247">
        <v>82500</v>
      </c>
    </row>
    <row r="248" spans="1:8" x14ac:dyDescent="0.3">
      <c r="A248" t="s">
        <v>281</v>
      </c>
      <c r="B248" t="s">
        <v>36</v>
      </c>
      <c r="C248" t="s">
        <v>22</v>
      </c>
      <c r="D248" t="s">
        <v>31</v>
      </c>
      <c r="E248" t="s">
        <v>29</v>
      </c>
      <c r="F248">
        <v>42569</v>
      </c>
      <c r="G248">
        <v>11</v>
      </c>
      <c r="H248">
        <v>31323</v>
      </c>
    </row>
    <row r="249" spans="1:8" x14ac:dyDescent="0.3">
      <c r="A249" t="s">
        <v>282</v>
      </c>
      <c r="B249" t="s">
        <v>48</v>
      </c>
      <c r="C249" t="s">
        <v>15</v>
      </c>
      <c r="D249" t="s">
        <v>31</v>
      </c>
      <c r="E249" t="s">
        <v>19</v>
      </c>
      <c r="F249">
        <v>145515</v>
      </c>
      <c r="G249">
        <v>11</v>
      </c>
      <c r="H249">
        <v>93033</v>
      </c>
    </row>
    <row r="250" spans="1:8" x14ac:dyDescent="0.3">
      <c r="A250" t="s">
        <v>283</v>
      </c>
      <c r="B250" t="s">
        <v>40</v>
      </c>
      <c r="C250" t="s">
        <v>10</v>
      </c>
      <c r="D250" t="s">
        <v>23</v>
      </c>
      <c r="E250" t="s">
        <v>34</v>
      </c>
      <c r="F250">
        <v>140003</v>
      </c>
      <c r="G250">
        <v>8</v>
      </c>
      <c r="H250">
        <v>84854</v>
      </c>
    </row>
    <row r="251" spans="1:8" x14ac:dyDescent="0.3">
      <c r="A251" t="s">
        <v>284</v>
      </c>
      <c r="B251" t="s">
        <v>9</v>
      </c>
      <c r="C251" t="s">
        <v>10</v>
      </c>
      <c r="D251" t="s">
        <v>37</v>
      </c>
      <c r="E251" t="s">
        <v>27</v>
      </c>
      <c r="F251">
        <v>18603</v>
      </c>
      <c r="G251">
        <v>5</v>
      </c>
      <c r="H251">
        <v>12821</v>
      </c>
    </row>
    <row r="252" spans="1:8" x14ac:dyDescent="0.3">
      <c r="A252" t="s">
        <v>285</v>
      </c>
      <c r="B252" t="s">
        <v>21</v>
      </c>
      <c r="C252" t="s">
        <v>22</v>
      </c>
      <c r="D252" t="s">
        <v>23</v>
      </c>
      <c r="E252" t="s">
        <v>29</v>
      </c>
      <c r="F252">
        <v>51497</v>
      </c>
      <c r="G252">
        <v>11</v>
      </c>
      <c r="H252">
        <v>35680</v>
      </c>
    </row>
    <row r="253" spans="1:8" x14ac:dyDescent="0.3">
      <c r="A253" t="s">
        <v>286</v>
      </c>
      <c r="B253" t="s">
        <v>42</v>
      </c>
      <c r="C253" t="s">
        <v>10</v>
      </c>
      <c r="D253" t="s">
        <v>23</v>
      </c>
      <c r="E253" t="s">
        <v>19</v>
      </c>
      <c r="F253">
        <v>55033</v>
      </c>
      <c r="G253">
        <v>1</v>
      </c>
      <c r="H253">
        <v>35934</v>
      </c>
    </row>
    <row r="254" spans="1:8" x14ac:dyDescent="0.3">
      <c r="A254" t="s">
        <v>287</v>
      </c>
      <c r="B254" t="s">
        <v>18</v>
      </c>
      <c r="C254" t="s">
        <v>15</v>
      </c>
      <c r="D254" t="s">
        <v>23</v>
      </c>
      <c r="E254" t="s">
        <v>61</v>
      </c>
      <c r="F254">
        <v>120028</v>
      </c>
      <c r="G254">
        <v>14</v>
      </c>
      <c r="H254">
        <v>87146</v>
      </c>
    </row>
    <row r="255" spans="1:8" x14ac:dyDescent="0.3">
      <c r="A255" t="s">
        <v>288</v>
      </c>
      <c r="B255" t="s">
        <v>21</v>
      </c>
      <c r="C255" t="s">
        <v>22</v>
      </c>
      <c r="D255" t="s">
        <v>37</v>
      </c>
      <c r="E255" t="s">
        <v>49</v>
      </c>
      <c r="F255">
        <v>116151</v>
      </c>
      <c r="G255">
        <v>12</v>
      </c>
      <c r="H255">
        <v>86693</v>
      </c>
    </row>
    <row r="256" spans="1:8" x14ac:dyDescent="0.3">
      <c r="A256" t="s">
        <v>289</v>
      </c>
      <c r="B256" t="s">
        <v>18</v>
      </c>
      <c r="C256" t="s">
        <v>15</v>
      </c>
      <c r="D256" t="s">
        <v>37</v>
      </c>
      <c r="E256" t="s">
        <v>32</v>
      </c>
      <c r="F256">
        <v>65241</v>
      </c>
      <c r="G256">
        <v>10</v>
      </c>
      <c r="H256">
        <v>45576</v>
      </c>
    </row>
    <row r="257" spans="1:8" x14ac:dyDescent="0.3">
      <c r="A257" t="s">
        <v>290</v>
      </c>
      <c r="B257" t="s">
        <v>21</v>
      </c>
      <c r="C257" t="s">
        <v>22</v>
      </c>
      <c r="D257" t="s">
        <v>11</v>
      </c>
      <c r="E257" t="s">
        <v>24</v>
      </c>
      <c r="F257">
        <v>57215</v>
      </c>
      <c r="G257">
        <v>14</v>
      </c>
      <c r="H257">
        <v>41639</v>
      </c>
    </row>
    <row r="258" spans="1:8" x14ac:dyDescent="0.3">
      <c r="A258" t="s">
        <v>291</v>
      </c>
      <c r="B258" t="s">
        <v>21</v>
      </c>
      <c r="C258" t="s">
        <v>22</v>
      </c>
      <c r="D258" t="s">
        <v>31</v>
      </c>
      <c r="E258" t="s">
        <v>46</v>
      </c>
      <c r="F258">
        <v>128041</v>
      </c>
      <c r="G258">
        <v>12</v>
      </c>
      <c r="H258">
        <v>78769</v>
      </c>
    </row>
    <row r="259" spans="1:8" x14ac:dyDescent="0.3">
      <c r="A259" t="s">
        <v>292</v>
      </c>
      <c r="B259" t="s">
        <v>40</v>
      </c>
      <c r="C259" t="s">
        <v>10</v>
      </c>
      <c r="D259" t="s">
        <v>31</v>
      </c>
      <c r="E259" t="s">
        <v>43</v>
      </c>
      <c r="F259">
        <v>137299</v>
      </c>
      <c r="G259">
        <v>12</v>
      </c>
      <c r="H259">
        <v>99200</v>
      </c>
    </row>
    <row r="260" spans="1:8" x14ac:dyDescent="0.3">
      <c r="A260" t="s">
        <v>293</v>
      </c>
      <c r="B260" t="s">
        <v>40</v>
      </c>
      <c r="C260" t="s">
        <v>10</v>
      </c>
      <c r="D260" t="s">
        <v>37</v>
      </c>
      <c r="E260" t="s">
        <v>19</v>
      </c>
      <c r="F260">
        <v>37707</v>
      </c>
      <c r="G260">
        <v>12</v>
      </c>
      <c r="H260">
        <v>23968</v>
      </c>
    </row>
    <row r="261" spans="1:8" x14ac:dyDescent="0.3">
      <c r="A261" t="s">
        <v>294</v>
      </c>
      <c r="B261" t="s">
        <v>42</v>
      </c>
      <c r="C261" t="s">
        <v>10</v>
      </c>
      <c r="D261" t="s">
        <v>37</v>
      </c>
      <c r="E261" t="s">
        <v>24</v>
      </c>
      <c r="F261">
        <v>122427</v>
      </c>
      <c r="G261">
        <v>5</v>
      </c>
      <c r="H261">
        <v>76147</v>
      </c>
    </row>
    <row r="262" spans="1:8" x14ac:dyDescent="0.3">
      <c r="A262" t="s">
        <v>295</v>
      </c>
      <c r="B262" t="s">
        <v>9</v>
      </c>
      <c r="C262" t="s">
        <v>10</v>
      </c>
      <c r="D262" t="s">
        <v>37</v>
      </c>
      <c r="E262" t="s">
        <v>32</v>
      </c>
      <c r="F262">
        <v>20022</v>
      </c>
      <c r="G262">
        <v>6</v>
      </c>
      <c r="H262">
        <v>12892</v>
      </c>
    </row>
    <row r="263" spans="1:8" x14ac:dyDescent="0.3">
      <c r="A263" t="s">
        <v>296</v>
      </c>
      <c r="B263" t="s">
        <v>9</v>
      </c>
      <c r="C263" t="s">
        <v>10</v>
      </c>
      <c r="D263" t="s">
        <v>23</v>
      </c>
      <c r="E263" t="s">
        <v>43</v>
      </c>
      <c r="F263">
        <v>63500</v>
      </c>
      <c r="G263">
        <v>6</v>
      </c>
      <c r="H263">
        <v>40335</v>
      </c>
    </row>
    <row r="264" spans="1:8" x14ac:dyDescent="0.3">
      <c r="A264" t="s">
        <v>297</v>
      </c>
      <c r="B264" t="s">
        <v>21</v>
      </c>
      <c r="C264" t="s">
        <v>22</v>
      </c>
      <c r="D264" t="s">
        <v>37</v>
      </c>
      <c r="E264" t="s">
        <v>49</v>
      </c>
      <c r="F264">
        <v>147112</v>
      </c>
      <c r="G264">
        <v>10</v>
      </c>
      <c r="H264">
        <v>89102</v>
      </c>
    </row>
    <row r="265" spans="1:8" x14ac:dyDescent="0.3">
      <c r="A265" t="s">
        <v>298</v>
      </c>
      <c r="B265" t="s">
        <v>18</v>
      </c>
      <c r="C265" t="s">
        <v>15</v>
      </c>
      <c r="D265" t="s">
        <v>11</v>
      </c>
      <c r="E265" t="s">
        <v>43</v>
      </c>
      <c r="F265">
        <v>132479</v>
      </c>
      <c r="G265">
        <v>12</v>
      </c>
      <c r="H265">
        <v>86391</v>
      </c>
    </row>
    <row r="266" spans="1:8" x14ac:dyDescent="0.3">
      <c r="A266" t="s">
        <v>299</v>
      </c>
      <c r="B266" t="s">
        <v>42</v>
      </c>
      <c r="C266" t="s">
        <v>10</v>
      </c>
      <c r="D266" t="s">
        <v>11</v>
      </c>
      <c r="E266" t="s">
        <v>32</v>
      </c>
      <c r="F266">
        <v>136276</v>
      </c>
      <c r="G266">
        <v>1</v>
      </c>
      <c r="H266">
        <v>82122</v>
      </c>
    </row>
    <row r="267" spans="1:8" x14ac:dyDescent="0.3">
      <c r="A267" t="s">
        <v>300</v>
      </c>
      <c r="B267" t="s">
        <v>48</v>
      </c>
      <c r="C267" t="s">
        <v>15</v>
      </c>
      <c r="D267" t="s">
        <v>37</v>
      </c>
      <c r="E267" t="s">
        <v>29</v>
      </c>
      <c r="F267">
        <v>55546</v>
      </c>
      <c r="G267">
        <v>4</v>
      </c>
      <c r="H267">
        <v>35635</v>
      </c>
    </row>
    <row r="268" spans="1:8" x14ac:dyDescent="0.3">
      <c r="A268" t="s">
        <v>301</v>
      </c>
      <c r="B268" t="s">
        <v>42</v>
      </c>
      <c r="C268" t="s">
        <v>10</v>
      </c>
      <c r="D268" t="s">
        <v>23</v>
      </c>
      <c r="E268" t="s">
        <v>24</v>
      </c>
      <c r="F268">
        <v>95273</v>
      </c>
      <c r="G268">
        <v>5</v>
      </c>
      <c r="H268">
        <v>69828</v>
      </c>
    </row>
    <row r="269" spans="1:8" x14ac:dyDescent="0.3">
      <c r="A269" t="s">
        <v>302</v>
      </c>
      <c r="B269" t="s">
        <v>36</v>
      </c>
      <c r="C269" t="s">
        <v>22</v>
      </c>
      <c r="D269" t="s">
        <v>11</v>
      </c>
      <c r="E269" t="s">
        <v>34</v>
      </c>
      <c r="F269">
        <v>126454</v>
      </c>
      <c r="G269">
        <v>8</v>
      </c>
      <c r="H269">
        <v>90218</v>
      </c>
    </row>
    <row r="270" spans="1:8" x14ac:dyDescent="0.3">
      <c r="A270" t="s">
        <v>303</v>
      </c>
      <c r="B270" t="s">
        <v>48</v>
      </c>
      <c r="C270" t="s">
        <v>15</v>
      </c>
      <c r="D270" t="s">
        <v>31</v>
      </c>
      <c r="E270" t="s">
        <v>12</v>
      </c>
      <c r="F270">
        <v>10960</v>
      </c>
      <c r="G270">
        <v>10</v>
      </c>
      <c r="H270">
        <v>7242</v>
      </c>
    </row>
    <row r="271" spans="1:8" x14ac:dyDescent="0.3">
      <c r="A271" t="s">
        <v>304</v>
      </c>
      <c r="B271" t="s">
        <v>42</v>
      </c>
      <c r="C271" t="s">
        <v>10</v>
      </c>
      <c r="D271" t="s">
        <v>11</v>
      </c>
      <c r="E271" t="s">
        <v>46</v>
      </c>
      <c r="F271">
        <v>101913</v>
      </c>
      <c r="G271">
        <v>9</v>
      </c>
      <c r="H271">
        <v>75469</v>
      </c>
    </row>
    <row r="272" spans="1:8" x14ac:dyDescent="0.3">
      <c r="A272" t="s">
        <v>305</v>
      </c>
      <c r="B272" t="s">
        <v>42</v>
      </c>
      <c r="C272" t="s">
        <v>10</v>
      </c>
      <c r="D272" t="s">
        <v>37</v>
      </c>
      <c r="E272" t="s">
        <v>32</v>
      </c>
      <c r="F272">
        <v>77096</v>
      </c>
      <c r="G272">
        <v>8</v>
      </c>
      <c r="H272">
        <v>51089</v>
      </c>
    </row>
    <row r="273" spans="1:8" x14ac:dyDescent="0.3">
      <c r="A273" t="s">
        <v>306</v>
      </c>
      <c r="B273" t="s">
        <v>42</v>
      </c>
      <c r="C273" t="s">
        <v>10</v>
      </c>
      <c r="D273" t="s">
        <v>23</v>
      </c>
      <c r="E273" t="s">
        <v>24</v>
      </c>
      <c r="F273">
        <v>128811</v>
      </c>
      <c r="G273">
        <v>7</v>
      </c>
      <c r="H273">
        <v>80161</v>
      </c>
    </row>
    <row r="274" spans="1:8" x14ac:dyDescent="0.3">
      <c r="A274" t="s">
        <v>307</v>
      </c>
      <c r="B274" t="s">
        <v>40</v>
      </c>
      <c r="C274" t="s">
        <v>10</v>
      </c>
      <c r="D274" t="s">
        <v>11</v>
      </c>
      <c r="E274" t="s">
        <v>12</v>
      </c>
      <c r="F274">
        <v>44713</v>
      </c>
      <c r="G274">
        <v>14</v>
      </c>
      <c r="H274">
        <v>31982</v>
      </c>
    </row>
    <row r="275" spans="1:8" x14ac:dyDescent="0.3">
      <c r="A275" t="s">
        <v>308</v>
      </c>
      <c r="B275" t="s">
        <v>40</v>
      </c>
      <c r="C275" t="s">
        <v>10</v>
      </c>
      <c r="D275" t="s">
        <v>37</v>
      </c>
      <c r="E275" t="s">
        <v>61</v>
      </c>
      <c r="F275">
        <v>143713</v>
      </c>
      <c r="G275">
        <v>5</v>
      </c>
      <c r="H275">
        <v>86382</v>
      </c>
    </row>
    <row r="276" spans="1:8" x14ac:dyDescent="0.3">
      <c r="A276" t="s">
        <v>309</v>
      </c>
      <c r="B276" t="s">
        <v>9</v>
      </c>
      <c r="C276" t="s">
        <v>10</v>
      </c>
      <c r="D276" t="s">
        <v>11</v>
      </c>
      <c r="E276" t="s">
        <v>27</v>
      </c>
      <c r="F276">
        <v>109713</v>
      </c>
      <c r="G276">
        <v>1</v>
      </c>
      <c r="H276">
        <v>77621</v>
      </c>
    </row>
    <row r="277" spans="1:8" x14ac:dyDescent="0.3">
      <c r="A277" t="s">
        <v>310</v>
      </c>
      <c r="B277" t="s">
        <v>14</v>
      </c>
      <c r="C277" t="s">
        <v>15</v>
      </c>
      <c r="D277" t="s">
        <v>37</v>
      </c>
      <c r="E277" t="s">
        <v>32</v>
      </c>
      <c r="F277">
        <v>29124</v>
      </c>
      <c r="G277">
        <v>8</v>
      </c>
      <c r="H277">
        <v>19056</v>
      </c>
    </row>
    <row r="278" spans="1:8" x14ac:dyDescent="0.3">
      <c r="A278" t="s">
        <v>311</v>
      </c>
      <c r="B278" t="s">
        <v>18</v>
      </c>
      <c r="C278" t="s">
        <v>15</v>
      </c>
      <c r="D278" t="s">
        <v>23</v>
      </c>
      <c r="E278" t="s">
        <v>27</v>
      </c>
      <c r="F278">
        <v>129885</v>
      </c>
      <c r="G278">
        <v>4</v>
      </c>
      <c r="H278">
        <v>86511</v>
      </c>
    </row>
    <row r="279" spans="1:8" x14ac:dyDescent="0.3">
      <c r="A279" t="s">
        <v>312</v>
      </c>
      <c r="B279" t="s">
        <v>18</v>
      </c>
      <c r="C279" t="s">
        <v>15</v>
      </c>
      <c r="D279" t="s">
        <v>23</v>
      </c>
      <c r="E279" t="s">
        <v>27</v>
      </c>
      <c r="F279">
        <v>38969</v>
      </c>
      <c r="G279">
        <v>6</v>
      </c>
      <c r="H279">
        <v>23729</v>
      </c>
    </row>
    <row r="280" spans="1:8" x14ac:dyDescent="0.3">
      <c r="A280" t="s">
        <v>313</v>
      </c>
      <c r="B280" t="s">
        <v>14</v>
      </c>
      <c r="C280" t="s">
        <v>15</v>
      </c>
      <c r="D280" t="s">
        <v>31</v>
      </c>
      <c r="E280" t="s">
        <v>19</v>
      </c>
      <c r="F280">
        <v>140192</v>
      </c>
      <c r="G280">
        <v>12</v>
      </c>
      <c r="H280">
        <v>100751</v>
      </c>
    </row>
    <row r="281" spans="1:8" x14ac:dyDescent="0.3">
      <c r="A281" t="s">
        <v>314</v>
      </c>
      <c r="B281" t="s">
        <v>36</v>
      </c>
      <c r="C281" t="s">
        <v>22</v>
      </c>
      <c r="D281" t="s">
        <v>11</v>
      </c>
      <c r="E281" t="s">
        <v>16</v>
      </c>
      <c r="F281">
        <v>67874</v>
      </c>
      <c r="G281">
        <v>5</v>
      </c>
      <c r="H281">
        <v>46939</v>
      </c>
    </row>
    <row r="282" spans="1:8" x14ac:dyDescent="0.3">
      <c r="A282" t="s">
        <v>315</v>
      </c>
      <c r="B282" t="s">
        <v>9</v>
      </c>
      <c r="C282" t="s">
        <v>10</v>
      </c>
      <c r="D282" t="s">
        <v>23</v>
      </c>
      <c r="E282" t="s">
        <v>16</v>
      </c>
      <c r="F282">
        <v>69329</v>
      </c>
      <c r="G282">
        <v>12</v>
      </c>
      <c r="H282">
        <v>46103</v>
      </c>
    </row>
    <row r="283" spans="1:8" x14ac:dyDescent="0.3">
      <c r="A283" t="s">
        <v>316</v>
      </c>
      <c r="B283" t="s">
        <v>21</v>
      </c>
      <c r="C283" t="s">
        <v>22</v>
      </c>
      <c r="D283" t="s">
        <v>11</v>
      </c>
      <c r="E283" t="s">
        <v>61</v>
      </c>
      <c r="F283">
        <v>116689</v>
      </c>
      <c r="G283">
        <v>10</v>
      </c>
      <c r="H283">
        <v>79568</v>
      </c>
    </row>
    <row r="284" spans="1:8" x14ac:dyDescent="0.3">
      <c r="A284" t="s">
        <v>317</v>
      </c>
      <c r="B284" t="s">
        <v>40</v>
      </c>
      <c r="C284" t="s">
        <v>10</v>
      </c>
      <c r="D284" t="s">
        <v>11</v>
      </c>
      <c r="E284" t="s">
        <v>27</v>
      </c>
      <c r="F284">
        <v>80080</v>
      </c>
      <c r="G284">
        <v>9</v>
      </c>
      <c r="H284">
        <v>49458</v>
      </c>
    </row>
    <row r="285" spans="1:8" x14ac:dyDescent="0.3">
      <c r="A285" t="s">
        <v>318</v>
      </c>
      <c r="B285" t="s">
        <v>18</v>
      </c>
      <c r="C285" t="s">
        <v>15</v>
      </c>
      <c r="D285" t="s">
        <v>31</v>
      </c>
      <c r="E285" t="s">
        <v>61</v>
      </c>
      <c r="F285">
        <v>94795</v>
      </c>
      <c r="G285">
        <v>12</v>
      </c>
      <c r="H285">
        <v>60490</v>
      </c>
    </row>
    <row r="286" spans="1:8" x14ac:dyDescent="0.3">
      <c r="A286" t="s">
        <v>319</v>
      </c>
      <c r="B286" t="s">
        <v>18</v>
      </c>
      <c r="C286" t="s">
        <v>15</v>
      </c>
      <c r="D286" t="s">
        <v>23</v>
      </c>
      <c r="E286" t="s">
        <v>12</v>
      </c>
      <c r="F286">
        <v>66908</v>
      </c>
      <c r="G286">
        <v>13</v>
      </c>
      <c r="H286">
        <v>47349</v>
      </c>
    </row>
    <row r="287" spans="1:8" x14ac:dyDescent="0.3">
      <c r="A287" t="s">
        <v>320</v>
      </c>
      <c r="B287" t="s">
        <v>48</v>
      </c>
      <c r="C287" t="s">
        <v>15</v>
      </c>
      <c r="D287" t="s">
        <v>23</v>
      </c>
      <c r="E287" t="s">
        <v>49</v>
      </c>
      <c r="F287">
        <v>149406</v>
      </c>
      <c r="G287">
        <v>4</v>
      </c>
      <c r="H287">
        <v>110423</v>
      </c>
    </row>
    <row r="288" spans="1:8" x14ac:dyDescent="0.3">
      <c r="A288" t="s">
        <v>321</v>
      </c>
      <c r="B288" t="s">
        <v>9</v>
      </c>
      <c r="C288" t="s">
        <v>10</v>
      </c>
      <c r="D288" t="s">
        <v>37</v>
      </c>
      <c r="E288" t="s">
        <v>49</v>
      </c>
      <c r="F288">
        <v>36417</v>
      </c>
      <c r="G288">
        <v>1</v>
      </c>
      <c r="H288">
        <v>26933</v>
      </c>
    </row>
    <row r="289" spans="1:8" x14ac:dyDescent="0.3">
      <c r="A289" t="s">
        <v>322</v>
      </c>
      <c r="B289" t="s">
        <v>48</v>
      </c>
      <c r="C289" t="s">
        <v>15</v>
      </c>
      <c r="D289" t="s">
        <v>37</v>
      </c>
      <c r="E289" t="s">
        <v>49</v>
      </c>
      <c r="F289">
        <v>124407</v>
      </c>
      <c r="G289">
        <v>7</v>
      </c>
      <c r="H289">
        <v>81809</v>
      </c>
    </row>
    <row r="290" spans="1:8" x14ac:dyDescent="0.3">
      <c r="A290" t="s">
        <v>323</v>
      </c>
      <c r="B290" t="s">
        <v>48</v>
      </c>
      <c r="C290" t="s">
        <v>15</v>
      </c>
      <c r="D290" t="s">
        <v>31</v>
      </c>
      <c r="E290" t="s">
        <v>43</v>
      </c>
      <c r="F290">
        <v>112129</v>
      </c>
      <c r="G290">
        <v>14</v>
      </c>
      <c r="H290">
        <v>68743</v>
      </c>
    </row>
    <row r="291" spans="1:8" x14ac:dyDescent="0.3">
      <c r="A291" t="s">
        <v>324</v>
      </c>
      <c r="B291" t="s">
        <v>14</v>
      </c>
      <c r="C291" t="s">
        <v>15</v>
      </c>
      <c r="D291" t="s">
        <v>23</v>
      </c>
      <c r="E291" t="s">
        <v>12</v>
      </c>
      <c r="F291">
        <v>101831</v>
      </c>
      <c r="G291">
        <v>10</v>
      </c>
      <c r="H291">
        <v>74282</v>
      </c>
    </row>
    <row r="292" spans="1:8" x14ac:dyDescent="0.3">
      <c r="A292" t="s">
        <v>325</v>
      </c>
      <c r="B292" t="s">
        <v>14</v>
      </c>
      <c r="C292" t="s">
        <v>15</v>
      </c>
      <c r="D292" t="s">
        <v>23</v>
      </c>
      <c r="E292" t="s">
        <v>19</v>
      </c>
      <c r="F292">
        <v>5458</v>
      </c>
      <c r="G292">
        <v>7</v>
      </c>
      <c r="H292">
        <v>3485</v>
      </c>
    </row>
    <row r="293" spans="1:8" x14ac:dyDescent="0.3">
      <c r="A293" t="s">
        <v>326</v>
      </c>
      <c r="B293" t="s">
        <v>40</v>
      </c>
      <c r="C293" t="s">
        <v>10</v>
      </c>
      <c r="D293" t="s">
        <v>23</v>
      </c>
      <c r="E293" t="s">
        <v>46</v>
      </c>
      <c r="F293">
        <v>113988</v>
      </c>
      <c r="G293">
        <v>15</v>
      </c>
      <c r="H293">
        <v>83184</v>
      </c>
    </row>
    <row r="294" spans="1:8" x14ac:dyDescent="0.3">
      <c r="A294" t="s">
        <v>327</v>
      </c>
      <c r="B294" t="s">
        <v>48</v>
      </c>
      <c r="C294" t="s">
        <v>15</v>
      </c>
      <c r="D294" t="s">
        <v>23</v>
      </c>
      <c r="E294" t="s">
        <v>32</v>
      </c>
      <c r="F294">
        <v>78775</v>
      </c>
      <c r="G294">
        <v>6</v>
      </c>
      <c r="H294">
        <v>52271</v>
      </c>
    </row>
    <row r="295" spans="1:8" x14ac:dyDescent="0.3">
      <c r="A295" t="s">
        <v>328</v>
      </c>
      <c r="B295" t="s">
        <v>9</v>
      </c>
      <c r="C295" t="s">
        <v>10</v>
      </c>
      <c r="D295" t="s">
        <v>37</v>
      </c>
      <c r="E295" t="s">
        <v>43</v>
      </c>
      <c r="F295">
        <v>10907</v>
      </c>
      <c r="G295">
        <v>8</v>
      </c>
      <c r="H295">
        <v>7201</v>
      </c>
    </row>
    <row r="296" spans="1:8" x14ac:dyDescent="0.3">
      <c r="A296" t="s">
        <v>329</v>
      </c>
      <c r="B296" t="s">
        <v>14</v>
      </c>
      <c r="C296" t="s">
        <v>15</v>
      </c>
      <c r="D296" t="s">
        <v>23</v>
      </c>
      <c r="E296" t="s">
        <v>34</v>
      </c>
      <c r="F296">
        <v>82632</v>
      </c>
      <c r="G296">
        <v>5</v>
      </c>
      <c r="H296">
        <v>51991</v>
      </c>
    </row>
    <row r="297" spans="1:8" x14ac:dyDescent="0.3">
      <c r="A297" t="s">
        <v>330</v>
      </c>
      <c r="B297" t="s">
        <v>48</v>
      </c>
      <c r="C297" t="s">
        <v>15</v>
      </c>
      <c r="D297" t="s">
        <v>37</v>
      </c>
      <c r="E297" t="s">
        <v>61</v>
      </c>
      <c r="F297">
        <v>75185</v>
      </c>
      <c r="G297">
        <v>2</v>
      </c>
      <c r="H297">
        <v>50633</v>
      </c>
    </row>
    <row r="298" spans="1:8" x14ac:dyDescent="0.3">
      <c r="A298" t="s">
        <v>331</v>
      </c>
      <c r="B298" t="s">
        <v>48</v>
      </c>
      <c r="C298" t="s">
        <v>15</v>
      </c>
      <c r="D298" t="s">
        <v>11</v>
      </c>
      <c r="E298" t="s">
        <v>34</v>
      </c>
      <c r="F298">
        <v>128540</v>
      </c>
      <c r="G298">
        <v>15</v>
      </c>
      <c r="H298">
        <v>90944</v>
      </c>
    </row>
    <row r="299" spans="1:8" x14ac:dyDescent="0.3">
      <c r="A299" t="s">
        <v>332</v>
      </c>
      <c r="B299" t="s">
        <v>18</v>
      </c>
      <c r="C299" t="s">
        <v>15</v>
      </c>
      <c r="D299" t="s">
        <v>11</v>
      </c>
      <c r="E299" t="s">
        <v>46</v>
      </c>
      <c r="F299">
        <v>104583</v>
      </c>
      <c r="G299">
        <v>14</v>
      </c>
      <c r="H299">
        <v>76851</v>
      </c>
    </row>
    <row r="300" spans="1:8" x14ac:dyDescent="0.3">
      <c r="A300" t="s">
        <v>333</v>
      </c>
      <c r="B300" t="s">
        <v>40</v>
      </c>
      <c r="C300" t="s">
        <v>10</v>
      </c>
      <c r="D300" t="s">
        <v>31</v>
      </c>
      <c r="E300" t="s">
        <v>16</v>
      </c>
      <c r="F300">
        <v>138930</v>
      </c>
      <c r="G300">
        <v>14</v>
      </c>
      <c r="H300">
        <v>87192</v>
      </c>
    </row>
    <row r="301" spans="1:8" x14ac:dyDescent="0.3">
      <c r="A301" t="s">
        <v>334</v>
      </c>
      <c r="B301" t="s">
        <v>14</v>
      </c>
      <c r="C301" t="s">
        <v>15</v>
      </c>
      <c r="D301" t="s">
        <v>11</v>
      </c>
      <c r="E301" t="s">
        <v>49</v>
      </c>
      <c r="F301">
        <v>71141</v>
      </c>
      <c r="G301">
        <v>15</v>
      </c>
      <c r="H301">
        <v>47076</v>
      </c>
    </row>
    <row r="302" spans="1:8" x14ac:dyDescent="0.3">
      <c r="A302" t="s">
        <v>335</v>
      </c>
      <c r="B302" t="s">
        <v>36</v>
      </c>
      <c r="C302" t="s">
        <v>22</v>
      </c>
      <c r="D302" t="s">
        <v>37</v>
      </c>
      <c r="E302" t="s">
        <v>46</v>
      </c>
      <c r="F302">
        <v>78974</v>
      </c>
      <c r="G302">
        <v>5</v>
      </c>
      <c r="H302">
        <v>52966</v>
      </c>
    </row>
    <row r="303" spans="1:8" x14ac:dyDescent="0.3">
      <c r="A303" t="s">
        <v>336</v>
      </c>
      <c r="B303" t="s">
        <v>21</v>
      </c>
      <c r="C303" t="s">
        <v>22</v>
      </c>
      <c r="D303" t="s">
        <v>11</v>
      </c>
      <c r="E303" t="s">
        <v>32</v>
      </c>
      <c r="F303">
        <v>105656</v>
      </c>
      <c r="G303">
        <v>7</v>
      </c>
      <c r="H303">
        <v>75881</v>
      </c>
    </row>
    <row r="304" spans="1:8" x14ac:dyDescent="0.3">
      <c r="A304" t="s">
        <v>337</v>
      </c>
      <c r="B304" t="s">
        <v>21</v>
      </c>
      <c r="C304" t="s">
        <v>22</v>
      </c>
      <c r="D304" t="s">
        <v>31</v>
      </c>
      <c r="E304" t="s">
        <v>46</v>
      </c>
      <c r="F304">
        <v>118676</v>
      </c>
      <c r="G304">
        <v>13</v>
      </c>
      <c r="H304">
        <v>75920</v>
      </c>
    </row>
    <row r="305" spans="1:8" x14ac:dyDescent="0.3">
      <c r="A305" t="s">
        <v>338</v>
      </c>
      <c r="B305" t="s">
        <v>18</v>
      </c>
      <c r="C305" t="s">
        <v>15</v>
      </c>
      <c r="D305" t="s">
        <v>23</v>
      </c>
      <c r="E305" t="s">
        <v>19</v>
      </c>
      <c r="F305">
        <v>39383</v>
      </c>
      <c r="G305">
        <v>11</v>
      </c>
      <c r="H305">
        <v>28848</v>
      </c>
    </row>
    <row r="306" spans="1:8" x14ac:dyDescent="0.3">
      <c r="A306" t="s">
        <v>339</v>
      </c>
      <c r="B306" t="s">
        <v>40</v>
      </c>
      <c r="C306" t="s">
        <v>10</v>
      </c>
      <c r="D306" t="s">
        <v>37</v>
      </c>
      <c r="E306" t="s">
        <v>24</v>
      </c>
      <c r="F306">
        <v>104906</v>
      </c>
      <c r="G306">
        <v>9</v>
      </c>
      <c r="H306">
        <v>75460</v>
      </c>
    </row>
    <row r="307" spans="1:8" x14ac:dyDescent="0.3">
      <c r="A307" t="s">
        <v>340</v>
      </c>
      <c r="B307" t="s">
        <v>21</v>
      </c>
      <c r="C307" t="s">
        <v>22</v>
      </c>
      <c r="D307" t="s">
        <v>23</v>
      </c>
      <c r="E307" t="s">
        <v>32</v>
      </c>
      <c r="F307">
        <v>11679</v>
      </c>
      <c r="G307">
        <v>3</v>
      </c>
      <c r="H307">
        <v>7054</v>
      </c>
    </row>
    <row r="308" spans="1:8" x14ac:dyDescent="0.3">
      <c r="A308" t="s">
        <v>341</v>
      </c>
      <c r="B308" t="s">
        <v>36</v>
      </c>
      <c r="C308" t="s">
        <v>22</v>
      </c>
      <c r="D308" t="s">
        <v>37</v>
      </c>
      <c r="E308" t="s">
        <v>12</v>
      </c>
      <c r="F308">
        <v>110496</v>
      </c>
      <c r="G308">
        <v>1</v>
      </c>
      <c r="H308">
        <v>68109</v>
      </c>
    </row>
    <row r="309" spans="1:8" x14ac:dyDescent="0.3">
      <c r="A309" t="s">
        <v>342</v>
      </c>
      <c r="B309" t="s">
        <v>18</v>
      </c>
      <c r="C309" t="s">
        <v>15</v>
      </c>
      <c r="D309" t="s">
        <v>11</v>
      </c>
      <c r="E309" t="s">
        <v>49</v>
      </c>
      <c r="F309">
        <v>75314</v>
      </c>
      <c r="G309">
        <v>12</v>
      </c>
      <c r="H309">
        <v>54823</v>
      </c>
    </row>
    <row r="310" spans="1:8" x14ac:dyDescent="0.3">
      <c r="A310" t="s">
        <v>343</v>
      </c>
      <c r="B310" t="s">
        <v>14</v>
      </c>
      <c r="C310" t="s">
        <v>15</v>
      </c>
      <c r="D310" t="s">
        <v>37</v>
      </c>
      <c r="E310" t="s">
        <v>32</v>
      </c>
      <c r="F310">
        <v>148198</v>
      </c>
      <c r="G310">
        <v>2</v>
      </c>
      <c r="H310">
        <v>92447</v>
      </c>
    </row>
    <row r="311" spans="1:8" x14ac:dyDescent="0.3">
      <c r="A311" t="s">
        <v>344</v>
      </c>
      <c r="B311" t="s">
        <v>18</v>
      </c>
      <c r="C311" t="s">
        <v>15</v>
      </c>
      <c r="D311" t="s">
        <v>37</v>
      </c>
      <c r="E311" t="s">
        <v>49</v>
      </c>
      <c r="F311">
        <v>37068</v>
      </c>
      <c r="G311">
        <v>1</v>
      </c>
      <c r="H311">
        <v>27453</v>
      </c>
    </row>
    <row r="312" spans="1:8" x14ac:dyDescent="0.3">
      <c r="A312" t="s">
        <v>345</v>
      </c>
      <c r="B312" t="s">
        <v>18</v>
      </c>
      <c r="C312" t="s">
        <v>15</v>
      </c>
      <c r="D312" t="s">
        <v>23</v>
      </c>
      <c r="E312" t="s">
        <v>24</v>
      </c>
      <c r="F312">
        <v>69874</v>
      </c>
      <c r="G312">
        <v>3</v>
      </c>
      <c r="H312">
        <v>44731</v>
      </c>
    </row>
    <row r="313" spans="1:8" x14ac:dyDescent="0.3">
      <c r="A313" t="s">
        <v>346</v>
      </c>
      <c r="B313" t="s">
        <v>48</v>
      </c>
      <c r="C313" t="s">
        <v>15</v>
      </c>
      <c r="D313" t="s">
        <v>23</v>
      </c>
      <c r="E313" t="s">
        <v>12</v>
      </c>
      <c r="F313">
        <v>18683</v>
      </c>
      <c r="G313">
        <v>9</v>
      </c>
      <c r="H313">
        <v>12110</v>
      </c>
    </row>
    <row r="314" spans="1:8" x14ac:dyDescent="0.3">
      <c r="A314" t="s">
        <v>347</v>
      </c>
      <c r="B314" t="s">
        <v>40</v>
      </c>
      <c r="C314" t="s">
        <v>10</v>
      </c>
      <c r="D314" t="s">
        <v>11</v>
      </c>
      <c r="E314" t="s">
        <v>34</v>
      </c>
      <c r="F314">
        <v>50452</v>
      </c>
      <c r="G314">
        <v>8</v>
      </c>
      <c r="H314">
        <v>30948</v>
      </c>
    </row>
    <row r="315" spans="1:8" x14ac:dyDescent="0.3">
      <c r="A315" t="s">
        <v>348</v>
      </c>
      <c r="B315" t="s">
        <v>42</v>
      </c>
      <c r="C315" t="s">
        <v>10</v>
      </c>
      <c r="D315" t="s">
        <v>11</v>
      </c>
      <c r="E315" t="s">
        <v>16</v>
      </c>
      <c r="F315">
        <v>107733</v>
      </c>
      <c r="G315">
        <v>12</v>
      </c>
      <c r="H315">
        <v>65281</v>
      </c>
    </row>
    <row r="316" spans="1:8" x14ac:dyDescent="0.3">
      <c r="A316" t="s">
        <v>349</v>
      </c>
      <c r="B316" t="s">
        <v>9</v>
      </c>
      <c r="C316" t="s">
        <v>10</v>
      </c>
      <c r="D316" t="s">
        <v>23</v>
      </c>
      <c r="E316" t="s">
        <v>61</v>
      </c>
      <c r="F316">
        <v>107835</v>
      </c>
      <c r="G316">
        <v>5</v>
      </c>
      <c r="H316">
        <v>65255</v>
      </c>
    </row>
    <row r="317" spans="1:8" x14ac:dyDescent="0.3">
      <c r="A317" t="s">
        <v>350</v>
      </c>
      <c r="B317" t="s">
        <v>36</v>
      </c>
      <c r="C317" t="s">
        <v>22</v>
      </c>
      <c r="D317" t="s">
        <v>11</v>
      </c>
      <c r="E317" t="s">
        <v>61</v>
      </c>
      <c r="F317">
        <v>133306</v>
      </c>
      <c r="G317">
        <v>12</v>
      </c>
      <c r="H317">
        <v>98066</v>
      </c>
    </row>
    <row r="318" spans="1:8" x14ac:dyDescent="0.3">
      <c r="A318" t="s">
        <v>351</v>
      </c>
      <c r="B318" t="s">
        <v>48</v>
      </c>
      <c r="C318" t="s">
        <v>15</v>
      </c>
      <c r="D318" t="s">
        <v>37</v>
      </c>
      <c r="E318" t="s">
        <v>61</v>
      </c>
      <c r="F318">
        <v>100244</v>
      </c>
      <c r="G318">
        <v>1</v>
      </c>
      <c r="H318">
        <v>70601</v>
      </c>
    </row>
    <row r="319" spans="1:8" x14ac:dyDescent="0.3">
      <c r="A319" t="s">
        <v>352</v>
      </c>
      <c r="B319" t="s">
        <v>21</v>
      </c>
      <c r="C319" t="s">
        <v>22</v>
      </c>
      <c r="D319" t="s">
        <v>37</v>
      </c>
      <c r="E319" t="s">
        <v>27</v>
      </c>
      <c r="F319">
        <v>15966</v>
      </c>
      <c r="G319">
        <v>12</v>
      </c>
      <c r="H319">
        <v>11719</v>
      </c>
    </row>
    <row r="320" spans="1:8" x14ac:dyDescent="0.3">
      <c r="A320" t="s">
        <v>353</v>
      </c>
      <c r="B320" t="s">
        <v>9</v>
      </c>
      <c r="C320" t="s">
        <v>10</v>
      </c>
      <c r="D320" t="s">
        <v>23</v>
      </c>
      <c r="E320" t="s">
        <v>49</v>
      </c>
      <c r="F320">
        <v>65643</v>
      </c>
      <c r="G320">
        <v>13</v>
      </c>
      <c r="H320">
        <v>40685</v>
      </c>
    </row>
    <row r="321" spans="1:8" x14ac:dyDescent="0.3">
      <c r="A321" t="s">
        <v>354</v>
      </c>
      <c r="B321" t="s">
        <v>14</v>
      </c>
      <c r="C321" t="s">
        <v>15</v>
      </c>
      <c r="D321" t="s">
        <v>31</v>
      </c>
      <c r="E321" t="s">
        <v>24</v>
      </c>
      <c r="F321">
        <v>108556</v>
      </c>
      <c r="G321">
        <v>15</v>
      </c>
      <c r="H321">
        <v>75554</v>
      </c>
    </row>
    <row r="322" spans="1:8" x14ac:dyDescent="0.3">
      <c r="A322" t="s">
        <v>355</v>
      </c>
      <c r="B322" t="s">
        <v>42</v>
      </c>
      <c r="C322" t="s">
        <v>10</v>
      </c>
      <c r="D322" t="s">
        <v>11</v>
      </c>
      <c r="E322" t="s">
        <v>27</v>
      </c>
      <c r="F322">
        <v>142121</v>
      </c>
      <c r="G322">
        <v>10</v>
      </c>
      <c r="H322">
        <v>102802</v>
      </c>
    </row>
    <row r="323" spans="1:8" x14ac:dyDescent="0.3">
      <c r="A323" t="s">
        <v>356</v>
      </c>
      <c r="B323" t="s">
        <v>18</v>
      </c>
      <c r="C323" t="s">
        <v>15</v>
      </c>
      <c r="D323" t="s">
        <v>31</v>
      </c>
      <c r="E323" t="s">
        <v>27</v>
      </c>
      <c r="F323">
        <v>140684</v>
      </c>
      <c r="G323">
        <v>1</v>
      </c>
      <c r="H323">
        <v>95154</v>
      </c>
    </row>
    <row r="324" spans="1:8" x14ac:dyDescent="0.3">
      <c r="A324" t="s">
        <v>357</v>
      </c>
      <c r="B324" t="s">
        <v>14</v>
      </c>
      <c r="C324" t="s">
        <v>15</v>
      </c>
      <c r="D324" t="s">
        <v>37</v>
      </c>
      <c r="E324" t="s">
        <v>34</v>
      </c>
      <c r="F324">
        <v>41286</v>
      </c>
      <c r="G324">
        <v>8</v>
      </c>
      <c r="H324">
        <v>27456</v>
      </c>
    </row>
    <row r="325" spans="1:8" x14ac:dyDescent="0.3">
      <c r="A325" t="s">
        <v>358</v>
      </c>
      <c r="B325" t="s">
        <v>14</v>
      </c>
      <c r="C325" t="s">
        <v>15</v>
      </c>
      <c r="D325" t="s">
        <v>31</v>
      </c>
      <c r="E325" t="s">
        <v>61</v>
      </c>
      <c r="F325">
        <v>74435</v>
      </c>
      <c r="G325">
        <v>7</v>
      </c>
      <c r="H325">
        <v>45392</v>
      </c>
    </row>
    <row r="326" spans="1:8" x14ac:dyDescent="0.3">
      <c r="A326" t="s">
        <v>359</v>
      </c>
      <c r="B326" t="s">
        <v>21</v>
      </c>
      <c r="C326" t="s">
        <v>22</v>
      </c>
      <c r="D326" t="s">
        <v>31</v>
      </c>
      <c r="E326" t="s">
        <v>32</v>
      </c>
      <c r="F326">
        <v>125335</v>
      </c>
      <c r="G326">
        <v>9</v>
      </c>
      <c r="H326">
        <v>86588</v>
      </c>
    </row>
    <row r="327" spans="1:8" x14ac:dyDescent="0.3">
      <c r="A327" t="s">
        <v>360</v>
      </c>
      <c r="B327" t="s">
        <v>21</v>
      </c>
      <c r="C327" t="s">
        <v>22</v>
      </c>
      <c r="D327" t="s">
        <v>31</v>
      </c>
      <c r="E327" t="s">
        <v>46</v>
      </c>
      <c r="F327">
        <v>94916</v>
      </c>
      <c r="G327">
        <v>1</v>
      </c>
      <c r="H327">
        <v>65600</v>
      </c>
    </row>
    <row r="328" spans="1:8" x14ac:dyDescent="0.3">
      <c r="A328" t="s">
        <v>361</v>
      </c>
      <c r="B328" t="s">
        <v>40</v>
      </c>
      <c r="C328" t="s">
        <v>10</v>
      </c>
      <c r="D328" t="s">
        <v>37</v>
      </c>
      <c r="E328" t="s">
        <v>12</v>
      </c>
      <c r="F328">
        <v>76068</v>
      </c>
      <c r="G328">
        <v>11</v>
      </c>
      <c r="H328">
        <v>49782</v>
      </c>
    </row>
    <row r="329" spans="1:8" x14ac:dyDescent="0.3">
      <c r="A329" t="s">
        <v>362</v>
      </c>
      <c r="B329" t="s">
        <v>48</v>
      </c>
      <c r="C329" t="s">
        <v>15</v>
      </c>
      <c r="D329" t="s">
        <v>23</v>
      </c>
      <c r="E329" t="s">
        <v>34</v>
      </c>
      <c r="F329">
        <v>118378</v>
      </c>
      <c r="G329">
        <v>9</v>
      </c>
      <c r="H329">
        <v>83920</v>
      </c>
    </row>
    <row r="330" spans="1:8" x14ac:dyDescent="0.3">
      <c r="A330" t="s">
        <v>363</v>
      </c>
      <c r="B330" t="s">
        <v>40</v>
      </c>
      <c r="C330" t="s">
        <v>10</v>
      </c>
      <c r="D330" t="s">
        <v>37</v>
      </c>
      <c r="E330" t="s">
        <v>16</v>
      </c>
      <c r="F330">
        <v>56331</v>
      </c>
      <c r="G330">
        <v>7</v>
      </c>
      <c r="H330">
        <v>35020</v>
      </c>
    </row>
    <row r="331" spans="1:8" x14ac:dyDescent="0.3">
      <c r="A331" t="s">
        <v>364</v>
      </c>
      <c r="B331" t="s">
        <v>36</v>
      </c>
      <c r="C331" t="s">
        <v>22</v>
      </c>
      <c r="D331" t="s">
        <v>31</v>
      </c>
      <c r="E331" t="s">
        <v>49</v>
      </c>
      <c r="F331">
        <v>27989</v>
      </c>
      <c r="G331">
        <v>4</v>
      </c>
      <c r="H331">
        <v>19913</v>
      </c>
    </row>
    <row r="332" spans="1:8" x14ac:dyDescent="0.3">
      <c r="A332" t="s">
        <v>365</v>
      </c>
      <c r="B332" t="s">
        <v>42</v>
      </c>
      <c r="C332" t="s">
        <v>10</v>
      </c>
      <c r="D332" t="s">
        <v>31</v>
      </c>
      <c r="E332" t="s">
        <v>19</v>
      </c>
      <c r="F332">
        <v>69317</v>
      </c>
      <c r="G332">
        <v>3</v>
      </c>
      <c r="H332">
        <v>41802</v>
      </c>
    </row>
    <row r="333" spans="1:8" x14ac:dyDescent="0.3">
      <c r="A333" t="s">
        <v>366</v>
      </c>
      <c r="B333" t="s">
        <v>36</v>
      </c>
      <c r="C333" t="s">
        <v>22</v>
      </c>
      <c r="D333" t="s">
        <v>11</v>
      </c>
      <c r="E333" t="s">
        <v>29</v>
      </c>
      <c r="F333">
        <v>54867</v>
      </c>
      <c r="G333">
        <v>12</v>
      </c>
      <c r="H333">
        <v>33146</v>
      </c>
    </row>
    <row r="334" spans="1:8" x14ac:dyDescent="0.3">
      <c r="A334" t="s">
        <v>367</v>
      </c>
      <c r="B334" t="s">
        <v>9</v>
      </c>
      <c r="C334" t="s">
        <v>10</v>
      </c>
      <c r="D334" t="s">
        <v>11</v>
      </c>
      <c r="E334" t="s">
        <v>12</v>
      </c>
      <c r="F334">
        <v>96350</v>
      </c>
      <c r="G334">
        <v>1</v>
      </c>
      <c r="H334">
        <v>71084</v>
      </c>
    </row>
    <row r="335" spans="1:8" x14ac:dyDescent="0.3">
      <c r="A335" t="s">
        <v>368</v>
      </c>
      <c r="B335" t="s">
        <v>18</v>
      </c>
      <c r="C335" t="s">
        <v>15</v>
      </c>
      <c r="D335" t="s">
        <v>31</v>
      </c>
      <c r="E335" t="s">
        <v>24</v>
      </c>
      <c r="F335">
        <v>111242</v>
      </c>
      <c r="G335">
        <v>14</v>
      </c>
      <c r="H335">
        <v>80874</v>
      </c>
    </row>
    <row r="336" spans="1:8" x14ac:dyDescent="0.3">
      <c r="A336" t="s">
        <v>369</v>
      </c>
      <c r="B336" t="s">
        <v>40</v>
      </c>
      <c r="C336" t="s">
        <v>10</v>
      </c>
      <c r="D336" t="s">
        <v>23</v>
      </c>
      <c r="E336" t="s">
        <v>49</v>
      </c>
      <c r="F336">
        <v>120669</v>
      </c>
      <c r="G336">
        <v>6</v>
      </c>
      <c r="H336">
        <v>73122</v>
      </c>
    </row>
    <row r="337" spans="1:8" x14ac:dyDescent="0.3">
      <c r="A337" t="s">
        <v>370</v>
      </c>
      <c r="B337" t="s">
        <v>36</v>
      </c>
      <c r="C337" t="s">
        <v>22</v>
      </c>
      <c r="D337" t="s">
        <v>23</v>
      </c>
      <c r="E337" t="s">
        <v>29</v>
      </c>
      <c r="F337">
        <v>12493</v>
      </c>
      <c r="G337">
        <v>10</v>
      </c>
      <c r="H337">
        <v>7843</v>
      </c>
    </row>
    <row r="338" spans="1:8" x14ac:dyDescent="0.3">
      <c r="A338" t="s">
        <v>371</v>
      </c>
      <c r="B338" t="s">
        <v>21</v>
      </c>
      <c r="C338" t="s">
        <v>22</v>
      </c>
      <c r="D338" t="s">
        <v>31</v>
      </c>
      <c r="E338" t="s">
        <v>16</v>
      </c>
      <c r="F338">
        <v>145655</v>
      </c>
      <c r="G338">
        <v>14</v>
      </c>
      <c r="H338">
        <v>106108</v>
      </c>
    </row>
    <row r="339" spans="1:8" x14ac:dyDescent="0.3">
      <c r="A339" t="s">
        <v>372</v>
      </c>
      <c r="B339" t="s">
        <v>48</v>
      </c>
      <c r="C339" t="s">
        <v>15</v>
      </c>
      <c r="D339" t="s">
        <v>11</v>
      </c>
      <c r="E339" t="s">
        <v>16</v>
      </c>
      <c r="F339">
        <v>86270</v>
      </c>
      <c r="G339">
        <v>10</v>
      </c>
      <c r="H339">
        <v>52833</v>
      </c>
    </row>
    <row r="340" spans="1:8" x14ac:dyDescent="0.3">
      <c r="A340" t="s">
        <v>373</v>
      </c>
      <c r="B340" t="s">
        <v>14</v>
      </c>
      <c r="C340" t="s">
        <v>15</v>
      </c>
      <c r="D340" t="s">
        <v>11</v>
      </c>
      <c r="E340" t="s">
        <v>24</v>
      </c>
      <c r="F340">
        <v>25153</v>
      </c>
      <c r="G340">
        <v>14</v>
      </c>
      <c r="H340">
        <v>17838</v>
      </c>
    </row>
    <row r="341" spans="1:8" x14ac:dyDescent="0.3">
      <c r="A341" t="s">
        <v>374</v>
      </c>
      <c r="B341" t="s">
        <v>14</v>
      </c>
      <c r="C341" t="s">
        <v>15</v>
      </c>
      <c r="D341" t="s">
        <v>11</v>
      </c>
      <c r="E341" t="s">
        <v>34</v>
      </c>
      <c r="F341">
        <v>78794</v>
      </c>
      <c r="G341">
        <v>7</v>
      </c>
      <c r="H341">
        <v>55662</v>
      </c>
    </row>
    <row r="342" spans="1:8" x14ac:dyDescent="0.3">
      <c r="A342" t="s">
        <v>375</v>
      </c>
      <c r="B342" t="s">
        <v>9</v>
      </c>
      <c r="C342" t="s">
        <v>10</v>
      </c>
      <c r="D342" t="s">
        <v>23</v>
      </c>
      <c r="E342" t="s">
        <v>27</v>
      </c>
      <c r="F342">
        <v>127026</v>
      </c>
      <c r="G342">
        <v>3</v>
      </c>
      <c r="H342">
        <v>82521</v>
      </c>
    </row>
    <row r="343" spans="1:8" x14ac:dyDescent="0.3">
      <c r="A343" t="s">
        <v>376</v>
      </c>
      <c r="B343" t="s">
        <v>14</v>
      </c>
      <c r="C343" t="s">
        <v>15</v>
      </c>
      <c r="D343" t="s">
        <v>11</v>
      </c>
      <c r="E343" t="s">
        <v>49</v>
      </c>
      <c r="F343">
        <v>34103</v>
      </c>
      <c r="G343">
        <v>2</v>
      </c>
      <c r="H343">
        <v>20540</v>
      </c>
    </row>
    <row r="344" spans="1:8" x14ac:dyDescent="0.3">
      <c r="A344" t="s">
        <v>377</v>
      </c>
      <c r="B344" t="s">
        <v>48</v>
      </c>
      <c r="C344" t="s">
        <v>15</v>
      </c>
      <c r="D344" t="s">
        <v>11</v>
      </c>
      <c r="E344" t="s">
        <v>16</v>
      </c>
      <c r="F344">
        <v>19400</v>
      </c>
      <c r="G344">
        <v>12</v>
      </c>
      <c r="H344">
        <v>14184</v>
      </c>
    </row>
    <row r="345" spans="1:8" x14ac:dyDescent="0.3">
      <c r="A345" t="s">
        <v>378</v>
      </c>
      <c r="B345" t="s">
        <v>36</v>
      </c>
      <c r="C345" t="s">
        <v>22</v>
      </c>
      <c r="D345" t="s">
        <v>23</v>
      </c>
      <c r="E345" t="s">
        <v>29</v>
      </c>
      <c r="F345">
        <v>138968</v>
      </c>
      <c r="G345">
        <v>14</v>
      </c>
      <c r="H345">
        <v>88893</v>
      </c>
    </row>
    <row r="346" spans="1:8" x14ac:dyDescent="0.3">
      <c r="A346" t="s">
        <v>379</v>
      </c>
      <c r="B346" t="s">
        <v>21</v>
      </c>
      <c r="C346" t="s">
        <v>22</v>
      </c>
      <c r="D346" t="s">
        <v>31</v>
      </c>
      <c r="E346" t="s">
        <v>16</v>
      </c>
      <c r="F346">
        <v>75382</v>
      </c>
      <c r="G346">
        <v>11</v>
      </c>
      <c r="H346">
        <v>51484</v>
      </c>
    </row>
    <row r="347" spans="1:8" x14ac:dyDescent="0.3">
      <c r="A347" t="s">
        <v>380</v>
      </c>
      <c r="B347" t="s">
        <v>14</v>
      </c>
      <c r="C347" t="s">
        <v>15</v>
      </c>
      <c r="D347" t="s">
        <v>37</v>
      </c>
      <c r="E347" t="s">
        <v>16</v>
      </c>
      <c r="F347">
        <v>29518</v>
      </c>
      <c r="G347">
        <v>3</v>
      </c>
      <c r="H347">
        <v>21312</v>
      </c>
    </row>
    <row r="348" spans="1:8" x14ac:dyDescent="0.3">
      <c r="A348" t="s">
        <v>381</v>
      </c>
      <c r="B348" t="s">
        <v>36</v>
      </c>
      <c r="C348" t="s">
        <v>22</v>
      </c>
      <c r="D348" t="s">
        <v>37</v>
      </c>
      <c r="E348" t="s">
        <v>19</v>
      </c>
      <c r="F348">
        <v>7011</v>
      </c>
      <c r="G348">
        <v>1</v>
      </c>
      <c r="H348">
        <v>4567</v>
      </c>
    </row>
    <row r="349" spans="1:8" x14ac:dyDescent="0.3">
      <c r="A349" t="s">
        <v>382</v>
      </c>
      <c r="B349" t="s">
        <v>40</v>
      </c>
      <c r="C349" t="s">
        <v>10</v>
      </c>
      <c r="D349" t="s">
        <v>31</v>
      </c>
      <c r="E349" t="s">
        <v>46</v>
      </c>
      <c r="F349">
        <v>66673</v>
      </c>
      <c r="G349">
        <v>11</v>
      </c>
      <c r="H349">
        <v>42362</v>
      </c>
    </row>
    <row r="350" spans="1:8" x14ac:dyDescent="0.3">
      <c r="A350" t="s">
        <v>383</v>
      </c>
      <c r="B350" t="s">
        <v>18</v>
      </c>
      <c r="C350" t="s">
        <v>15</v>
      </c>
      <c r="D350" t="s">
        <v>31</v>
      </c>
      <c r="E350" t="s">
        <v>32</v>
      </c>
      <c r="F350">
        <v>124922</v>
      </c>
      <c r="G350">
        <v>6</v>
      </c>
      <c r="H350">
        <v>78456</v>
      </c>
    </row>
    <row r="351" spans="1:8" x14ac:dyDescent="0.3">
      <c r="A351" t="s">
        <v>384</v>
      </c>
      <c r="B351" t="s">
        <v>36</v>
      </c>
      <c r="C351" t="s">
        <v>22</v>
      </c>
      <c r="D351" t="s">
        <v>11</v>
      </c>
      <c r="E351" t="s">
        <v>49</v>
      </c>
      <c r="F351">
        <v>20738</v>
      </c>
      <c r="G351">
        <v>11</v>
      </c>
      <c r="H351">
        <v>13399</v>
      </c>
    </row>
    <row r="352" spans="1:8" x14ac:dyDescent="0.3">
      <c r="A352" t="s">
        <v>385</v>
      </c>
      <c r="B352" t="s">
        <v>36</v>
      </c>
      <c r="C352" t="s">
        <v>22</v>
      </c>
      <c r="D352" t="s">
        <v>23</v>
      </c>
      <c r="E352" t="s">
        <v>34</v>
      </c>
      <c r="F352">
        <v>119686</v>
      </c>
      <c r="G352">
        <v>8</v>
      </c>
      <c r="H352">
        <v>82028</v>
      </c>
    </row>
    <row r="353" spans="1:8" x14ac:dyDescent="0.3">
      <c r="A353" t="s">
        <v>386</v>
      </c>
      <c r="B353" t="s">
        <v>9</v>
      </c>
      <c r="C353" t="s">
        <v>10</v>
      </c>
      <c r="D353" t="s">
        <v>37</v>
      </c>
      <c r="E353" t="s">
        <v>29</v>
      </c>
      <c r="F353">
        <v>29458</v>
      </c>
      <c r="G353">
        <v>3</v>
      </c>
      <c r="H353">
        <v>20030</v>
      </c>
    </row>
    <row r="354" spans="1:8" x14ac:dyDescent="0.3">
      <c r="A354" t="s">
        <v>387</v>
      </c>
      <c r="B354" t="s">
        <v>21</v>
      </c>
      <c r="C354" t="s">
        <v>22</v>
      </c>
      <c r="D354" t="s">
        <v>23</v>
      </c>
      <c r="E354" t="s">
        <v>24</v>
      </c>
      <c r="F354">
        <v>90673</v>
      </c>
      <c r="G354">
        <v>11</v>
      </c>
      <c r="H354">
        <v>61078</v>
      </c>
    </row>
    <row r="355" spans="1:8" x14ac:dyDescent="0.3">
      <c r="A355" t="s">
        <v>388</v>
      </c>
      <c r="B355" t="s">
        <v>40</v>
      </c>
      <c r="C355" t="s">
        <v>10</v>
      </c>
      <c r="D355" t="s">
        <v>23</v>
      </c>
      <c r="E355" t="s">
        <v>32</v>
      </c>
      <c r="F355">
        <v>13898</v>
      </c>
      <c r="G355">
        <v>5</v>
      </c>
      <c r="H355">
        <v>9786</v>
      </c>
    </row>
    <row r="356" spans="1:8" x14ac:dyDescent="0.3">
      <c r="A356" t="s">
        <v>389</v>
      </c>
      <c r="B356" t="s">
        <v>9</v>
      </c>
      <c r="C356" t="s">
        <v>10</v>
      </c>
      <c r="D356" t="s">
        <v>37</v>
      </c>
      <c r="E356" t="s">
        <v>29</v>
      </c>
      <c r="F356">
        <v>55287</v>
      </c>
      <c r="G356">
        <v>14</v>
      </c>
      <c r="H356">
        <v>40903</v>
      </c>
    </row>
    <row r="357" spans="1:8" x14ac:dyDescent="0.3">
      <c r="A357" t="s">
        <v>390</v>
      </c>
      <c r="B357" t="s">
        <v>18</v>
      </c>
      <c r="C357" t="s">
        <v>15</v>
      </c>
      <c r="D357" t="s">
        <v>31</v>
      </c>
      <c r="E357" t="s">
        <v>34</v>
      </c>
      <c r="F357">
        <v>116462</v>
      </c>
      <c r="G357">
        <v>6</v>
      </c>
      <c r="H357">
        <v>78651</v>
      </c>
    </row>
    <row r="358" spans="1:8" x14ac:dyDescent="0.3">
      <c r="A358" t="s">
        <v>391</v>
      </c>
      <c r="B358" t="s">
        <v>40</v>
      </c>
      <c r="C358" t="s">
        <v>10</v>
      </c>
      <c r="D358" t="s">
        <v>23</v>
      </c>
      <c r="E358" t="s">
        <v>43</v>
      </c>
      <c r="F358">
        <v>18602</v>
      </c>
      <c r="G358">
        <v>8</v>
      </c>
      <c r="H358">
        <v>13462</v>
      </c>
    </row>
    <row r="359" spans="1:8" x14ac:dyDescent="0.3">
      <c r="A359" t="s">
        <v>392</v>
      </c>
      <c r="B359" t="s">
        <v>9</v>
      </c>
      <c r="C359" t="s">
        <v>10</v>
      </c>
      <c r="D359" t="s">
        <v>37</v>
      </c>
      <c r="E359" t="s">
        <v>27</v>
      </c>
      <c r="F359">
        <v>106015</v>
      </c>
      <c r="G359">
        <v>3</v>
      </c>
      <c r="H359">
        <v>73812</v>
      </c>
    </row>
    <row r="360" spans="1:8" x14ac:dyDescent="0.3">
      <c r="A360" t="s">
        <v>393</v>
      </c>
      <c r="B360" t="s">
        <v>40</v>
      </c>
      <c r="C360" t="s">
        <v>10</v>
      </c>
      <c r="D360" t="s">
        <v>31</v>
      </c>
      <c r="E360" t="s">
        <v>27</v>
      </c>
      <c r="F360">
        <v>40534</v>
      </c>
      <c r="G360">
        <v>13</v>
      </c>
      <c r="H360">
        <v>26648</v>
      </c>
    </row>
    <row r="361" spans="1:8" x14ac:dyDescent="0.3">
      <c r="A361" t="s">
        <v>394</v>
      </c>
      <c r="B361" t="s">
        <v>18</v>
      </c>
      <c r="C361" t="s">
        <v>15</v>
      </c>
      <c r="D361" t="s">
        <v>31</v>
      </c>
      <c r="E361" t="s">
        <v>43</v>
      </c>
      <c r="F361">
        <v>133891</v>
      </c>
      <c r="G361">
        <v>13</v>
      </c>
      <c r="H361">
        <v>99552</v>
      </c>
    </row>
    <row r="362" spans="1:8" x14ac:dyDescent="0.3">
      <c r="A362" t="s">
        <v>395</v>
      </c>
      <c r="B362" t="s">
        <v>21</v>
      </c>
      <c r="C362" t="s">
        <v>22</v>
      </c>
      <c r="D362" t="s">
        <v>37</v>
      </c>
      <c r="E362" t="s">
        <v>16</v>
      </c>
      <c r="F362">
        <v>114833</v>
      </c>
      <c r="G362">
        <v>1</v>
      </c>
      <c r="H362">
        <v>72301</v>
      </c>
    </row>
    <row r="363" spans="1:8" x14ac:dyDescent="0.3">
      <c r="A363" t="s">
        <v>396</v>
      </c>
      <c r="B363" t="s">
        <v>21</v>
      </c>
      <c r="C363" t="s">
        <v>22</v>
      </c>
      <c r="D363" t="s">
        <v>23</v>
      </c>
      <c r="E363" t="s">
        <v>27</v>
      </c>
      <c r="F363">
        <v>58254</v>
      </c>
      <c r="G363">
        <v>8</v>
      </c>
      <c r="H363">
        <v>35232</v>
      </c>
    </row>
    <row r="364" spans="1:8" x14ac:dyDescent="0.3">
      <c r="A364" t="s">
        <v>397</v>
      </c>
      <c r="B364" t="s">
        <v>48</v>
      </c>
      <c r="C364" t="s">
        <v>15</v>
      </c>
      <c r="D364" t="s">
        <v>23</v>
      </c>
      <c r="E364" t="s">
        <v>24</v>
      </c>
      <c r="F364">
        <v>43200</v>
      </c>
      <c r="G364">
        <v>7</v>
      </c>
      <c r="H364">
        <v>29675</v>
      </c>
    </row>
    <row r="365" spans="1:8" x14ac:dyDescent="0.3">
      <c r="A365" t="s">
        <v>398</v>
      </c>
      <c r="B365" t="s">
        <v>42</v>
      </c>
      <c r="C365" t="s">
        <v>10</v>
      </c>
      <c r="D365" t="s">
        <v>31</v>
      </c>
      <c r="E365" t="s">
        <v>12</v>
      </c>
      <c r="F365">
        <v>103002</v>
      </c>
      <c r="G365">
        <v>6</v>
      </c>
      <c r="H365">
        <v>66746</v>
      </c>
    </row>
    <row r="366" spans="1:8" x14ac:dyDescent="0.3">
      <c r="A366" t="s">
        <v>399</v>
      </c>
      <c r="B366" t="s">
        <v>42</v>
      </c>
      <c r="C366" t="s">
        <v>10</v>
      </c>
      <c r="D366" t="s">
        <v>11</v>
      </c>
      <c r="E366" t="s">
        <v>12</v>
      </c>
      <c r="F366">
        <v>130570</v>
      </c>
      <c r="G366">
        <v>9</v>
      </c>
      <c r="H366">
        <v>83359</v>
      </c>
    </row>
    <row r="367" spans="1:8" x14ac:dyDescent="0.3">
      <c r="A367" t="s">
        <v>400</v>
      </c>
      <c r="B367" t="s">
        <v>40</v>
      </c>
      <c r="C367" t="s">
        <v>10</v>
      </c>
      <c r="D367" t="s">
        <v>37</v>
      </c>
      <c r="E367" t="s">
        <v>29</v>
      </c>
      <c r="F367">
        <v>41389</v>
      </c>
      <c r="G367">
        <v>7</v>
      </c>
      <c r="H367">
        <v>26904</v>
      </c>
    </row>
    <row r="368" spans="1:8" x14ac:dyDescent="0.3">
      <c r="A368" t="s">
        <v>401</v>
      </c>
      <c r="B368" t="s">
        <v>36</v>
      </c>
      <c r="C368" t="s">
        <v>22</v>
      </c>
      <c r="D368" t="s">
        <v>23</v>
      </c>
      <c r="E368" t="s">
        <v>43</v>
      </c>
      <c r="F368">
        <v>14134</v>
      </c>
      <c r="G368">
        <v>1</v>
      </c>
      <c r="H368">
        <v>8667</v>
      </c>
    </row>
    <row r="369" spans="1:8" x14ac:dyDescent="0.3">
      <c r="A369" t="s">
        <v>402</v>
      </c>
      <c r="B369" t="s">
        <v>9</v>
      </c>
      <c r="C369" t="s">
        <v>10</v>
      </c>
      <c r="D369" t="s">
        <v>31</v>
      </c>
      <c r="E369" t="s">
        <v>16</v>
      </c>
      <c r="F369">
        <v>50373</v>
      </c>
      <c r="G369">
        <v>2</v>
      </c>
      <c r="H369">
        <v>34524</v>
      </c>
    </row>
    <row r="370" spans="1:8" x14ac:dyDescent="0.3">
      <c r="A370" t="s">
        <v>403</v>
      </c>
      <c r="B370" t="s">
        <v>36</v>
      </c>
      <c r="C370" t="s">
        <v>22</v>
      </c>
      <c r="D370" t="s">
        <v>37</v>
      </c>
      <c r="E370" t="s">
        <v>46</v>
      </c>
      <c r="F370">
        <v>90361</v>
      </c>
      <c r="G370">
        <v>7</v>
      </c>
      <c r="H370">
        <v>64044</v>
      </c>
    </row>
    <row r="371" spans="1:8" x14ac:dyDescent="0.3">
      <c r="A371" t="s">
        <v>404</v>
      </c>
      <c r="B371" t="s">
        <v>40</v>
      </c>
      <c r="C371" t="s">
        <v>10</v>
      </c>
      <c r="D371" t="s">
        <v>23</v>
      </c>
      <c r="E371" t="s">
        <v>32</v>
      </c>
      <c r="F371">
        <v>146306</v>
      </c>
      <c r="G371">
        <v>15</v>
      </c>
      <c r="H371">
        <v>91976</v>
      </c>
    </row>
    <row r="372" spans="1:8" x14ac:dyDescent="0.3">
      <c r="A372" t="s">
        <v>405</v>
      </c>
      <c r="B372" t="s">
        <v>21</v>
      </c>
      <c r="C372" t="s">
        <v>22</v>
      </c>
      <c r="D372" t="s">
        <v>37</v>
      </c>
      <c r="E372" t="s">
        <v>12</v>
      </c>
      <c r="F372">
        <v>99093</v>
      </c>
      <c r="G372">
        <v>2</v>
      </c>
      <c r="H372">
        <v>71303</v>
      </c>
    </row>
    <row r="373" spans="1:8" x14ac:dyDescent="0.3">
      <c r="A373" t="s">
        <v>406</v>
      </c>
      <c r="B373" t="s">
        <v>21</v>
      </c>
      <c r="C373" t="s">
        <v>22</v>
      </c>
      <c r="D373" t="s">
        <v>11</v>
      </c>
      <c r="E373" t="s">
        <v>24</v>
      </c>
      <c r="F373">
        <v>33735</v>
      </c>
      <c r="G373">
        <v>3</v>
      </c>
      <c r="H373">
        <v>24632</v>
      </c>
    </row>
    <row r="374" spans="1:8" x14ac:dyDescent="0.3">
      <c r="A374" t="s">
        <v>407</v>
      </c>
      <c r="B374" t="s">
        <v>21</v>
      </c>
      <c r="C374" t="s">
        <v>22</v>
      </c>
      <c r="D374" t="s">
        <v>37</v>
      </c>
      <c r="E374" t="s">
        <v>61</v>
      </c>
      <c r="F374">
        <v>60696</v>
      </c>
      <c r="G374">
        <v>15</v>
      </c>
      <c r="H374">
        <v>43460</v>
      </c>
    </row>
    <row r="375" spans="1:8" x14ac:dyDescent="0.3">
      <c r="A375" t="s">
        <v>408</v>
      </c>
      <c r="B375" t="s">
        <v>21</v>
      </c>
      <c r="C375" t="s">
        <v>22</v>
      </c>
      <c r="D375" t="s">
        <v>37</v>
      </c>
      <c r="E375" t="s">
        <v>24</v>
      </c>
      <c r="F375">
        <v>69392</v>
      </c>
      <c r="G375">
        <v>10</v>
      </c>
      <c r="H375">
        <v>43699</v>
      </c>
    </row>
    <row r="376" spans="1:8" x14ac:dyDescent="0.3">
      <c r="A376" t="s">
        <v>409</v>
      </c>
      <c r="B376" t="s">
        <v>40</v>
      </c>
      <c r="C376" t="s">
        <v>10</v>
      </c>
      <c r="D376" t="s">
        <v>11</v>
      </c>
      <c r="E376" t="s">
        <v>46</v>
      </c>
      <c r="F376">
        <v>102782</v>
      </c>
      <c r="G376">
        <v>7</v>
      </c>
      <c r="H376">
        <v>66450</v>
      </c>
    </row>
    <row r="377" spans="1:8" x14ac:dyDescent="0.3">
      <c r="A377" t="s">
        <v>410</v>
      </c>
      <c r="B377" t="s">
        <v>21</v>
      </c>
      <c r="C377" t="s">
        <v>22</v>
      </c>
      <c r="D377" t="s">
        <v>37</v>
      </c>
      <c r="E377" t="s">
        <v>43</v>
      </c>
      <c r="F377">
        <v>124743</v>
      </c>
      <c r="G377">
        <v>8</v>
      </c>
      <c r="H377">
        <v>89739</v>
      </c>
    </row>
    <row r="378" spans="1:8" x14ac:dyDescent="0.3">
      <c r="A378" t="s">
        <v>411</v>
      </c>
      <c r="B378" t="s">
        <v>21</v>
      </c>
      <c r="C378" t="s">
        <v>22</v>
      </c>
      <c r="D378" t="s">
        <v>23</v>
      </c>
      <c r="E378" t="s">
        <v>27</v>
      </c>
      <c r="F378">
        <v>95500</v>
      </c>
      <c r="G378">
        <v>4</v>
      </c>
      <c r="H378">
        <v>59959</v>
      </c>
    </row>
    <row r="379" spans="1:8" x14ac:dyDescent="0.3">
      <c r="A379" t="s">
        <v>412</v>
      </c>
      <c r="B379" t="s">
        <v>14</v>
      </c>
      <c r="C379" t="s">
        <v>15</v>
      </c>
      <c r="D379" t="s">
        <v>23</v>
      </c>
      <c r="E379" t="s">
        <v>12</v>
      </c>
      <c r="F379">
        <v>73712</v>
      </c>
      <c r="G379">
        <v>6</v>
      </c>
      <c r="H379">
        <v>52114</v>
      </c>
    </row>
    <row r="380" spans="1:8" x14ac:dyDescent="0.3">
      <c r="A380" t="s">
        <v>413</v>
      </c>
      <c r="B380" t="s">
        <v>40</v>
      </c>
      <c r="C380" t="s">
        <v>10</v>
      </c>
      <c r="D380" t="s">
        <v>37</v>
      </c>
      <c r="E380" t="s">
        <v>24</v>
      </c>
      <c r="F380">
        <v>145011</v>
      </c>
      <c r="G380">
        <v>3</v>
      </c>
      <c r="H380">
        <v>103027</v>
      </c>
    </row>
    <row r="381" spans="1:8" x14ac:dyDescent="0.3">
      <c r="A381" t="s">
        <v>414</v>
      </c>
      <c r="B381" t="s">
        <v>48</v>
      </c>
      <c r="C381" t="s">
        <v>15</v>
      </c>
      <c r="D381" t="s">
        <v>31</v>
      </c>
      <c r="E381" t="s">
        <v>29</v>
      </c>
      <c r="F381">
        <v>126821</v>
      </c>
      <c r="G381">
        <v>2</v>
      </c>
      <c r="H381">
        <v>87809</v>
      </c>
    </row>
    <row r="382" spans="1:8" x14ac:dyDescent="0.3">
      <c r="A382" t="s">
        <v>415</v>
      </c>
      <c r="B382" t="s">
        <v>21</v>
      </c>
      <c r="C382" t="s">
        <v>22</v>
      </c>
      <c r="D382" t="s">
        <v>11</v>
      </c>
      <c r="E382" t="s">
        <v>16</v>
      </c>
      <c r="F382">
        <v>34259</v>
      </c>
      <c r="G382">
        <v>10</v>
      </c>
      <c r="H382">
        <v>21101</v>
      </c>
    </row>
    <row r="383" spans="1:8" x14ac:dyDescent="0.3">
      <c r="A383" t="s">
        <v>416</v>
      </c>
      <c r="B383" t="s">
        <v>40</v>
      </c>
      <c r="C383" t="s">
        <v>10</v>
      </c>
      <c r="D383" t="s">
        <v>23</v>
      </c>
      <c r="E383" t="s">
        <v>49</v>
      </c>
      <c r="F383">
        <v>82753</v>
      </c>
      <c r="G383">
        <v>11</v>
      </c>
      <c r="H383">
        <v>51138</v>
      </c>
    </row>
    <row r="384" spans="1:8" x14ac:dyDescent="0.3">
      <c r="A384" t="s">
        <v>417</v>
      </c>
      <c r="B384" t="s">
        <v>21</v>
      </c>
      <c r="C384" t="s">
        <v>22</v>
      </c>
      <c r="D384" t="s">
        <v>37</v>
      </c>
      <c r="E384" t="s">
        <v>29</v>
      </c>
      <c r="F384">
        <v>144895</v>
      </c>
      <c r="G384">
        <v>8</v>
      </c>
      <c r="H384">
        <v>92216</v>
      </c>
    </row>
    <row r="385" spans="1:8" x14ac:dyDescent="0.3">
      <c r="A385" t="s">
        <v>418</v>
      </c>
      <c r="B385" t="s">
        <v>42</v>
      </c>
      <c r="C385" t="s">
        <v>10</v>
      </c>
      <c r="D385" t="s">
        <v>23</v>
      </c>
      <c r="E385" t="s">
        <v>61</v>
      </c>
      <c r="F385">
        <v>47982</v>
      </c>
      <c r="G385">
        <v>4</v>
      </c>
      <c r="H385">
        <v>33897</v>
      </c>
    </row>
    <row r="386" spans="1:8" x14ac:dyDescent="0.3">
      <c r="A386" t="s">
        <v>419</v>
      </c>
      <c r="B386" t="s">
        <v>42</v>
      </c>
      <c r="C386" t="s">
        <v>10</v>
      </c>
      <c r="D386" t="s">
        <v>23</v>
      </c>
      <c r="E386" t="s">
        <v>61</v>
      </c>
      <c r="F386">
        <v>63471</v>
      </c>
      <c r="G386">
        <v>15</v>
      </c>
      <c r="H386">
        <v>46803</v>
      </c>
    </row>
    <row r="387" spans="1:8" x14ac:dyDescent="0.3">
      <c r="A387" t="s">
        <v>420</v>
      </c>
      <c r="B387" t="s">
        <v>21</v>
      </c>
      <c r="C387" t="s">
        <v>22</v>
      </c>
      <c r="D387" t="s">
        <v>31</v>
      </c>
      <c r="E387" t="s">
        <v>19</v>
      </c>
      <c r="F387">
        <v>34391</v>
      </c>
      <c r="G387">
        <v>9</v>
      </c>
      <c r="H387">
        <v>23996</v>
      </c>
    </row>
    <row r="388" spans="1:8" x14ac:dyDescent="0.3">
      <c r="A388" t="s">
        <v>421</v>
      </c>
      <c r="B388" t="s">
        <v>48</v>
      </c>
      <c r="C388" t="s">
        <v>15</v>
      </c>
      <c r="D388" t="s">
        <v>31</v>
      </c>
      <c r="E388" t="s">
        <v>27</v>
      </c>
      <c r="F388">
        <v>122286</v>
      </c>
      <c r="G388">
        <v>5</v>
      </c>
      <c r="H388">
        <v>88185</v>
      </c>
    </row>
    <row r="389" spans="1:8" x14ac:dyDescent="0.3">
      <c r="A389" t="s">
        <v>422</v>
      </c>
      <c r="B389" t="s">
        <v>42</v>
      </c>
      <c r="C389" t="s">
        <v>10</v>
      </c>
      <c r="D389" t="s">
        <v>37</v>
      </c>
      <c r="E389" t="s">
        <v>34</v>
      </c>
      <c r="F389">
        <v>144218</v>
      </c>
      <c r="G389">
        <v>4</v>
      </c>
      <c r="H389">
        <v>94434</v>
      </c>
    </row>
    <row r="390" spans="1:8" x14ac:dyDescent="0.3">
      <c r="A390" t="s">
        <v>423</v>
      </c>
      <c r="B390" t="s">
        <v>36</v>
      </c>
      <c r="C390" t="s">
        <v>22</v>
      </c>
      <c r="D390" t="s">
        <v>37</v>
      </c>
      <c r="E390" t="s">
        <v>16</v>
      </c>
      <c r="F390">
        <v>30878</v>
      </c>
      <c r="G390">
        <v>7</v>
      </c>
      <c r="H390">
        <v>19906</v>
      </c>
    </row>
    <row r="391" spans="1:8" x14ac:dyDescent="0.3">
      <c r="A391" t="s">
        <v>424</v>
      </c>
      <c r="B391" t="s">
        <v>48</v>
      </c>
      <c r="C391" t="s">
        <v>15</v>
      </c>
      <c r="D391" t="s">
        <v>31</v>
      </c>
      <c r="E391" t="s">
        <v>27</v>
      </c>
      <c r="F391">
        <v>77865</v>
      </c>
      <c r="G391">
        <v>5</v>
      </c>
      <c r="H391">
        <v>52050</v>
      </c>
    </row>
    <row r="392" spans="1:8" x14ac:dyDescent="0.3">
      <c r="A392" t="s">
        <v>425</v>
      </c>
      <c r="B392" t="s">
        <v>48</v>
      </c>
      <c r="C392" t="s">
        <v>15</v>
      </c>
      <c r="D392" t="s">
        <v>23</v>
      </c>
      <c r="E392" t="s">
        <v>24</v>
      </c>
      <c r="F392">
        <v>118089</v>
      </c>
      <c r="G392">
        <v>8</v>
      </c>
      <c r="H392">
        <v>74074</v>
      </c>
    </row>
    <row r="393" spans="1:8" x14ac:dyDescent="0.3">
      <c r="A393" t="s">
        <v>426</v>
      </c>
      <c r="B393" t="s">
        <v>40</v>
      </c>
      <c r="C393" t="s">
        <v>10</v>
      </c>
      <c r="D393" t="s">
        <v>37</v>
      </c>
      <c r="E393" t="s">
        <v>16</v>
      </c>
      <c r="F393">
        <v>112771</v>
      </c>
      <c r="G393">
        <v>4</v>
      </c>
      <c r="H393">
        <v>70427</v>
      </c>
    </row>
    <row r="394" spans="1:8" x14ac:dyDescent="0.3">
      <c r="A394" t="s">
        <v>427</v>
      </c>
      <c r="B394" t="s">
        <v>9</v>
      </c>
      <c r="C394" t="s">
        <v>10</v>
      </c>
      <c r="D394" t="s">
        <v>11</v>
      </c>
      <c r="E394" t="s">
        <v>43</v>
      </c>
      <c r="F394">
        <v>111479</v>
      </c>
      <c r="G394">
        <v>7</v>
      </c>
      <c r="H394">
        <v>71497</v>
      </c>
    </row>
    <row r="395" spans="1:8" x14ac:dyDescent="0.3">
      <c r="A395" t="s">
        <v>428</v>
      </c>
      <c r="B395" t="s">
        <v>9</v>
      </c>
      <c r="C395" t="s">
        <v>10</v>
      </c>
      <c r="D395" t="s">
        <v>23</v>
      </c>
      <c r="E395" t="s">
        <v>19</v>
      </c>
      <c r="F395">
        <v>100390</v>
      </c>
      <c r="G395">
        <v>11</v>
      </c>
      <c r="H395">
        <v>73028</v>
      </c>
    </row>
    <row r="396" spans="1:8" x14ac:dyDescent="0.3">
      <c r="A396" t="s">
        <v>429</v>
      </c>
      <c r="B396" t="s">
        <v>48</v>
      </c>
      <c r="C396" t="s">
        <v>15</v>
      </c>
      <c r="D396" t="s">
        <v>37</v>
      </c>
      <c r="E396" t="s">
        <v>16</v>
      </c>
      <c r="F396">
        <v>73245</v>
      </c>
      <c r="G396">
        <v>15</v>
      </c>
      <c r="H396">
        <v>49094</v>
      </c>
    </row>
    <row r="397" spans="1:8" x14ac:dyDescent="0.3">
      <c r="A397" t="s">
        <v>430</v>
      </c>
      <c r="B397" t="s">
        <v>48</v>
      </c>
      <c r="C397" t="s">
        <v>15</v>
      </c>
      <c r="D397" t="s">
        <v>37</v>
      </c>
      <c r="E397" t="s">
        <v>27</v>
      </c>
      <c r="F397">
        <v>49279</v>
      </c>
      <c r="G397">
        <v>12</v>
      </c>
      <c r="H397">
        <v>30684</v>
      </c>
    </row>
    <row r="398" spans="1:8" x14ac:dyDescent="0.3">
      <c r="A398" t="s">
        <v>431</v>
      </c>
      <c r="B398" t="s">
        <v>9</v>
      </c>
      <c r="C398" t="s">
        <v>10</v>
      </c>
      <c r="D398" t="s">
        <v>11</v>
      </c>
      <c r="E398" t="s">
        <v>61</v>
      </c>
      <c r="F398">
        <v>83586</v>
      </c>
      <c r="G398">
        <v>7</v>
      </c>
      <c r="H398">
        <v>59246</v>
      </c>
    </row>
    <row r="399" spans="1:8" x14ac:dyDescent="0.3">
      <c r="A399" t="s">
        <v>432</v>
      </c>
      <c r="B399" t="s">
        <v>18</v>
      </c>
      <c r="C399" t="s">
        <v>15</v>
      </c>
      <c r="D399" t="s">
        <v>31</v>
      </c>
      <c r="E399" t="s">
        <v>43</v>
      </c>
      <c r="F399">
        <v>35316</v>
      </c>
      <c r="G399">
        <v>9</v>
      </c>
      <c r="H399">
        <v>22806</v>
      </c>
    </row>
    <row r="400" spans="1:8" x14ac:dyDescent="0.3">
      <c r="A400" t="s">
        <v>433</v>
      </c>
      <c r="B400" t="s">
        <v>18</v>
      </c>
      <c r="C400" t="s">
        <v>15</v>
      </c>
      <c r="D400" t="s">
        <v>11</v>
      </c>
      <c r="E400" t="s">
        <v>24</v>
      </c>
      <c r="F400">
        <v>43762</v>
      </c>
      <c r="G400">
        <v>12</v>
      </c>
      <c r="H400">
        <v>32684</v>
      </c>
    </row>
    <row r="401" spans="1:8" x14ac:dyDescent="0.3">
      <c r="A401" t="s">
        <v>434</v>
      </c>
      <c r="B401" t="s">
        <v>36</v>
      </c>
      <c r="C401" t="s">
        <v>22</v>
      </c>
      <c r="D401" t="s">
        <v>23</v>
      </c>
      <c r="E401" t="s">
        <v>19</v>
      </c>
      <c r="F401">
        <v>129947</v>
      </c>
      <c r="G401">
        <v>11</v>
      </c>
      <c r="H401">
        <v>87330</v>
      </c>
    </row>
    <row r="402" spans="1:8" x14ac:dyDescent="0.3">
      <c r="A402" t="s">
        <v>435</v>
      </c>
      <c r="B402" t="s">
        <v>14</v>
      </c>
      <c r="C402" t="s">
        <v>15</v>
      </c>
      <c r="D402" t="s">
        <v>11</v>
      </c>
      <c r="E402" t="s">
        <v>12</v>
      </c>
      <c r="F402">
        <v>9167</v>
      </c>
      <c r="G402">
        <v>13</v>
      </c>
      <c r="H402">
        <v>6413</v>
      </c>
    </row>
    <row r="403" spans="1:8" x14ac:dyDescent="0.3">
      <c r="A403" t="s">
        <v>436</v>
      </c>
      <c r="B403" t="s">
        <v>36</v>
      </c>
      <c r="C403" t="s">
        <v>22</v>
      </c>
      <c r="D403" t="s">
        <v>31</v>
      </c>
      <c r="E403" t="s">
        <v>27</v>
      </c>
      <c r="F403">
        <v>88324</v>
      </c>
      <c r="G403">
        <v>1</v>
      </c>
      <c r="H403">
        <v>62748</v>
      </c>
    </row>
    <row r="404" spans="1:8" x14ac:dyDescent="0.3">
      <c r="A404" t="s">
        <v>437</v>
      </c>
      <c r="B404" t="s">
        <v>9</v>
      </c>
      <c r="C404" t="s">
        <v>10</v>
      </c>
      <c r="D404" t="s">
        <v>37</v>
      </c>
      <c r="E404" t="s">
        <v>12</v>
      </c>
      <c r="F404">
        <v>135731</v>
      </c>
      <c r="G404">
        <v>7</v>
      </c>
      <c r="H404">
        <v>92604</v>
      </c>
    </row>
    <row r="405" spans="1:8" x14ac:dyDescent="0.3">
      <c r="A405" t="s">
        <v>438</v>
      </c>
      <c r="B405" t="s">
        <v>42</v>
      </c>
      <c r="C405" t="s">
        <v>10</v>
      </c>
      <c r="D405" t="s">
        <v>23</v>
      </c>
      <c r="E405" t="s">
        <v>32</v>
      </c>
      <c r="F405">
        <v>52716</v>
      </c>
      <c r="G405">
        <v>10</v>
      </c>
      <c r="H405">
        <v>37317</v>
      </c>
    </row>
    <row r="406" spans="1:8" x14ac:dyDescent="0.3">
      <c r="A406" t="s">
        <v>439</v>
      </c>
      <c r="B406" t="s">
        <v>9</v>
      </c>
      <c r="C406" t="s">
        <v>10</v>
      </c>
      <c r="D406" t="s">
        <v>23</v>
      </c>
      <c r="E406" t="s">
        <v>12</v>
      </c>
      <c r="F406">
        <v>80694</v>
      </c>
      <c r="G406">
        <v>13</v>
      </c>
      <c r="H406">
        <v>58406</v>
      </c>
    </row>
    <row r="407" spans="1:8" x14ac:dyDescent="0.3">
      <c r="A407" t="s">
        <v>440</v>
      </c>
      <c r="B407" t="s">
        <v>18</v>
      </c>
      <c r="C407" t="s">
        <v>15</v>
      </c>
      <c r="D407" t="s">
        <v>23</v>
      </c>
      <c r="E407" t="s">
        <v>12</v>
      </c>
      <c r="F407">
        <v>34296</v>
      </c>
      <c r="G407">
        <v>11</v>
      </c>
      <c r="H407">
        <v>22872</v>
      </c>
    </row>
    <row r="408" spans="1:8" x14ac:dyDescent="0.3">
      <c r="A408" t="s">
        <v>441</v>
      </c>
      <c r="B408" t="s">
        <v>42</v>
      </c>
      <c r="C408" t="s">
        <v>10</v>
      </c>
      <c r="D408" t="s">
        <v>23</v>
      </c>
      <c r="E408" t="s">
        <v>46</v>
      </c>
      <c r="F408">
        <v>103557</v>
      </c>
      <c r="G408">
        <v>13</v>
      </c>
      <c r="H408">
        <v>65914</v>
      </c>
    </row>
    <row r="409" spans="1:8" x14ac:dyDescent="0.3">
      <c r="A409" t="s">
        <v>442</v>
      </c>
      <c r="B409" t="s">
        <v>42</v>
      </c>
      <c r="C409" t="s">
        <v>10</v>
      </c>
      <c r="D409" t="s">
        <v>31</v>
      </c>
      <c r="E409" t="s">
        <v>27</v>
      </c>
      <c r="F409">
        <v>108441</v>
      </c>
      <c r="G409">
        <v>14</v>
      </c>
      <c r="H409">
        <v>80671</v>
      </c>
    </row>
    <row r="410" spans="1:8" x14ac:dyDescent="0.3">
      <c r="A410" t="s">
        <v>443</v>
      </c>
      <c r="B410" t="s">
        <v>36</v>
      </c>
      <c r="C410" t="s">
        <v>22</v>
      </c>
      <c r="D410" t="s">
        <v>23</v>
      </c>
      <c r="E410" t="s">
        <v>29</v>
      </c>
      <c r="F410">
        <v>18135</v>
      </c>
      <c r="G410">
        <v>8</v>
      </c>
      <c r="H410">
        <v>11820</v>
      </c>
    </row>
    <row r="411" spans="1:8" x14ac:dyDescent="0.3">
      <c r="A411" t="s">
        <v>444</v>
      </c>
      <c r="B411" t="s">
        <v>40</v>
      </c>
      <c r="C411" t="s">
        <v>10</v>
      </c>
      <c r="D411" t="s">
        <v>31</v>
      </c>
      <c r="E411" t="s">
        <v>61</v>
      </c>
      <c r="F411">
        <v>116985</v>
      </c>
      <c r="G411">
        <v>3</v>
      </c>
      <c r="H411">
        <v>83325</v>
      </c>
    </row>
    <row r="412" spans="1:8" x14ac:dyDescent="0.3">
      <c r="A412" t="s">
        <v>445</v>
      </c>
      <c r="B412" t="s">
        <v>21</v>
      </c>
      <c r="C412" t="s">
        <v>22</v>
      </c>
      <c r="D412" t="s">
        <v>37</v>
      </c>
      <c r="E412" t="s">
        <v>19</v>
      </c>
      <c r="F412">
        <v>34966</v>
      </c>
      <c r="G412">
        <v>7</v>
      </c>
      <c r="H412">
        <v>23564</v>
      </c>
    </row>
    <row r="413" spans="1:8" x14ac:dyDescent="0.3">
      <c r="A413" t="s">
        <v>446</v>
      </c>
      <c r="B413" t="s">
        <v>21</v>
      </c>
      <c r="C413" t="s">
        <v>22</v>
      </c>
      <c r="D413" t="s">
        <v>37</v>
      </c>
      <c r="E413" t="s">
        <v>29</v>
      </c>
      <c r="F413">
        <v>84644</v>
      </c>
      <c r="G413">
        <v>1</v>
      </c>
      <c r="H413">
        <v>54703</v>
      </c>
    </row>
    <row r="414" spans="1:8" x14ac:dyDescent="0.3">
      <c r="A414" t="s">
        <v>447</v>
      </c>
      <c r="B414" t="s">
        <v>9</v>
      </c>
      <c r="C414" t="s">
        <v>10</v>
      </c>
      <c r="D414" t="s">
        <v>11</v>
      </c>
      <c r="E414" t="s">
        <v>34</v>
      </c>
      <c r="F414">
        <v>100374</v>
      </c>
      <c r="G414">
        <v>13</v>
      </c>
      <c r="H414">
        <v>73329</v>
      </c>
    </row>
    <row r="415" spans="1:8" x14ac:dyDescent="0.3">
      <c r="A415" t="s">
        <v>448</v>
      </c>
      <c r="B415" t="s">
        <v>42</v>
      </c>
      <c r="C415" t="s">
        <v>10</v>
      </c>
      <c r="D415" t="s">
        <v>37</v>
      </c>
      <c r="E415" t="s">
        <v>29</v>
      </c>
      <c r="F415">
        <v>83572</v>
      </c>
      <c r="G415">
        <v>6</v>
      </c>
      <c r="H415">
        <v>61660</v>
      </c>
    </row>
    <row r="416" spans="1:8" x14ac:dyDescent="0.3">
      <c r="A416" t="s">
        <v>449</v>
      </c>
      <c r="B416" t="s">
        <v>9</v>
      </c>
      <c r="C416" t="s">
        <v>10</v>
      </c>
      <c r="D416" t="s">
        <v>23</v>
      </c>
      <c r="E416" t="s">
        <v>19</v>
      </c>
      <c r="F416">
        <v>124875</v>
      </c>
      <c r="G416">
        <v>4</v>
      </c>
      <c r="H416">
        <v>78724</v>
      </c>
    </row>
    <row r="417" spans="1:8" x14ac:dyDescent="0.3">
      <c r="A417" t="s">
        <v>450</v>
      </c>
      <c r="B417" t="s">
        <v>36</v>
      </c>
      <c r="C417" t="s">
        <v>22</v>
      </c>
      <c r="D417" t="s">
        <v>37</v>
      </c>
      <c r="E417" t="s">
        <v>29</v>
      </c>
      <c r="F417">
        <v>33660</v>
      </c>
      <c r="G417">
        <v>4</v>
      </c>
      <c r="H417">
        <v>22225</v>
      </c>
    </row>
    <row r="418" spans="1:8" x14ac:dyDescent="0.3">
      <c r="A418" t="s">
        <v>451</v>
      </c>
      <c r="B418" t="s">
        <v>42</v>
      </c>
      <c r="C418" t="s">
        <v>10</v>
      </c>
      <c r="D418" t="s">
        <v>31</v>
      </c>
      <c r="E418" t="s">
        <v>32</v>
      </c>
      <c r="F418">
        <v>128484</v>
      </c>
      <c r="G418">
        <v>6</v>
      </c>
      <c r="H418">
        <v>90571</v>
      </c>
    </row>
    <row r="419" spans="1:8" x14ac:dyDescent="0.3">
      <c r="A419" t="s">
        <v>452</v>
      </c>
      <c r="B419" t="s">
        <v>40</v>
      </c>
      <c r="C419" t="s">
        <v>10</v>
      </c>
      <c r="D419" t="s">
        <v>11</v>
      </c>
      <c r="E419" t="s">
        <v>49</v>
      </c>
      <c r="F419">
        <v>144182</v>
      </c>
      <c r="G419">
        <v>7</v>
      </c>
      <c r="H419">
        <v>87521</v>
      </c>
    </row>
    <row r="420" spans="1:8" x14ac:dyDescent="0.3">
      <c r="A420" t="s">
        <v>453</v>
      </c>
      <c r="B420" t="s">
        <v>36</v>
      </c>
      <c r="C420" t="s">
        <v>22</v>
      </c>
      <c r="D420" t="s">
        <v>23</v>
      </c>
      <c r="E420" t="s">
        <v>29</v>
      </c>
      <c r="F420">
        <v>78627</v>
      </c>
      <c r="G420">
        <v>7</v>
      </c>
      <c r="H420">
        <v>52726</v>
      </c>
    </row>
    <row r="421" spans="1:8" x14ac:dyDescent="0.3">
      <c r="A421" t="s">
        <v>454</v>
      </c>
      <c r="B421" t="s">
        <v>18</v>
      </c>
      <c r="C421" t="s">
        <v>15</v>
      </c>
      <c r="D421" t="s">
        <v>23</v>
      </c>
      <c r="E421" t="s">
        <v>43</v>
      </c>
      <c r="F421">
        <v>14047</v>
      </c>
      <c r="G421">
        <v>9</v>
      </c>
      <c r="H421">
        <v>9908</v>
      </c>
    </row>
    <row r="422" spans="1:8" x14ac:dyDescent="0.3">
      <c r="A422" t="s">
        <v>455</v>
      </c>
      <c r="B422" t="s">
        <v>14</v>
      </c>
      <c r="C422" t="s">
        <v>15</v>
      </c>
      <c r="D422" t="s">
        <v>37</v>
      </c>
      <c r="E422" t="s">
        <v>19</v>
      </c>
      <c r="F422">
        <v>89564</v>
      </c>
      <c r="G422">
        <v>7</v>
      </c>
      <c r="H422">
        <v>61759</v>
      </c>
    </row>
    <row r="423" spans="1:8" x14ac:dyDescent="0.3">
      <c r="A423" t="s">
        <v>456</v>
      </c>
      <c r="B423" t="s">
        <v>40</v>
      </c>
      <c r="C423" t="s">
        <v>10</v>
      </c>
      <c r="D423" t="s">
        <v>37</v>
      </c>
      <c r="E423" t="s">
        <v>61</v>
      </c>
      <c r="F423">
        <v>77512</v>
      </c>
      <c r="G423">
        <v>12</v>
      </c>
      <c r="H423">
        <v>50672</v>
      </c>
    </row>
    <row r="424" spans="1:8" x14ac:dyDescent="0.3">
      <c r="A424" t="s">
        <v>457</v>
      </c>
      <c r="B424" t="s">
        <v>9</v>
      </c>
      <c r="C424" t="s">
        <v>10</v>
      </c>
      <c r="D424" t="s">
        <v>37</v>
      </c>
      <c r="E424" t="s">
        <v>49</v>
      </c>
      <c r="F424">
        <v>7716</v>
      </c>
      <c r="G424">
        <v>11</v>
      </c>
      <c r="H424">
        <v>4917</v>
      </c>
    </row>
    <row r="425" spans="1:8" x14ac:dyDescent="0.3">
      <c r="A425" t="s">
        <v>458</v>
      </c>
      <c r="B425" t="s">
        <v>42</v>
      </c>
      <c r="C425" t="s">
        <v>10</v>
      </c>
      <c r="D425" t="s">
        <v>31</v>
      </c>
      <c r="E425" t="s">
        <v>24</v>
      </c>
      <c r="F425">
        <v>123941</v>
      </c>
      <c r="G425">
        <v>15</v>
      </c>
      <c r="H425">
        <v>84755</v>
      </c>
    </row>
    <row r="426" spans="1:8" x14ac:dyDescent="0.3">
      <c r="A426" t="s">
        <v>459</v>
      </c>
      <c r="B426" t="s">
        <v>9</v>
      </c>
      <c r="C426" t="s">
        <v>10</v>
      </c>
      <c r="D426" t="s">
        <v>11</v>
      </c>
      <c r="E426" t="s">
        <v>24</v>
      </c>
      <c r="F426">
        <v>106298</v>
      </c>
      <c r="G426">
        <v>15</v>
      </c>
      <c r="H426">
        <v>75497</v>
      </c>
    </row>
    <row r="427" spans="1:8" x14ac:dyDescent="0.3">
      <c r="A427" t="s">
        <v>460</v>
      </c>
      <c r="B427" t="s">
        <v>40</v>
      </c>
      <c r="C427" t="s">
        <v>10</v>
      </c>
      <c r="D427" t="s">
        <v>11</v>
      </c>
      <c r="E427" t="s">
        <v>49</v>
      </c>
      <c r="F427">
        <v>13577</v>
      </c>
      <c r="G427">
        <v>12</v>
      </c>
      <c r="H427">
        <v>9780</v>
      </c>
    </row>
    <row r="428" spans="1:8" x14ac:dyDescent="0.3">
      <c r="A428" t="s">
        <v>461</v>
      </c>
      <c r="B428" t="s">
        <v>18</v>
      </c>
      <c r="C428" t="s">
        <v>15</v>
      </c>
      <c r="D428" t="s">
        <v>11</v>
      </c>
      <c r="E428" t="s">
        <v>27</v>
      </c>
      <c r="F428">
        <v>45790</v>
      </c>
      <c r="G428">
        <v>12</v>
      </c>
      <c r="H428">
        <v>32825</v>
      </c>
    </row>
    <row r="429" spans="1:8" x14ac:dyDescent="0.3">
      <c r="A429" t="s">
        <v>462</v>
      </c>
      <c r="B429" t="s">
        <v>21</v>
      </c>
      <c r="C429" t="s">
        <v>22</v>
      </c>
      <c r="D429" t="s">
        <v>31</v>
      </c>
      <c r="E429" t="s">
        <v>46</v>
      </c>
      <c r="F429">
        <v>5528</v>
      </c>
      <c r="G429">
        <v>5</v>
      </c>
      <c r="H429">
        <v>4069</v>
      </c>
    </row>
    <row r="430" spans="1:8" x14ac:dyDescent="0.3">
      <c r="A430" t="s">
        <v>463</v>
      </c>
      <c r="B430" t="s">
        <v>48</v>
      </c>
      <c r="C430" t="s">
        <v>15</v>
      </c>
      <c r="D430" t="s">
        <v>23</v>
      </c>
      <c r="E430" t="s">
        <v>61</v>
      </c>
      <c r="F430">
        <v>9544</v>
      </c>
      <c r="G430">
        <v>2</v>
      </c>
      <c r="H430">
        <v>6847</v>
      </c>
    </row>
    <row r="431" spans="1:8" x14ac:dyDescent="0.3">
      <c r="A431" t="s">
        <v>464</v>
      </c>
      <c r="B431" t="s">
        <v>40</v>
      </c>
      <c r="C431" t="s">
        <v>10</v>
      </c>
      <c r="D431" t="s">
        <v>37</v>
      </c>
      <c r="E431" t="s">
        <v>46</v>
      </c>
      <c r="F431">
        <v>34619</v>
      </c>
      <c r="G431">
        <v>15</v>
      </c>
      <c r="H431">
        <v>23894</v>
      </c>
    </row>
    <row r="432" spans="1:8" x14ac:dyDescent="0.3">
      <c r="A432" t="s">
        <v>465</v>
      </c>
      <c r="B432" t="s">
        <v>36</v>
      </c>
      <c r="C432" t="s">
        <v>22</v>
      </c>
      <c r="D432" t="s">
        <v>31</v>
      </c>
      <c r="E432" t="s">
        <v>12</v>
      </c>
      <c r="F432">
        <v>23128</v>
      </c>
      <c r="G432">
        <v>15</v>
      </c>
      <c r="H432">
        <v>16264</v>
      </c>
    </row>
    <row r="433" spans="1:8" x14ac:dyDescent="0.3">
      <c r="A433" t="s">
        <v>466</v>
      </c>
      <c r="B433" t="s">
        <v>9</v>
      </c>
      <c r="C433" t="s">
        <v>10</v>
      </c>
      <c r="D433" t="s">
        <v>31</v>
      </c>
      <c r="E433" t="s">
        <v>32</v>
      </c>
      <c r="F433">
        <v>79654</v>
      </c>
      <c r="G433">
        <v>9</v>
      </c>
      <c r="H433">
        <v>59651</v>
      </c>
    </row>
    <row r="434" spans="1:8" x14ac:dyDescent="0.3">
      <c r="A434" t="s">
        <v>467</v>
      </c>
      <c r="B434" t="s">
        <v>9</v>
      </c>
      <c r="C434" t="s">
        <v>10</v>
      </c>
      <c r="D434" t="s">
        <v>11</v>
      </c>
      <c r="E434" t="s">
        <v>24</v>
      </c>
      <c r="F434">
        <v>27384</v>
      </c>
      <c r="G434">
        <v>13</v>
      </c>
      <c r="H434">
        <v>18466</v>
      </c>
    </row>
    <row r="435" spans="1:8" x14ac:dyDescent="0.3">
      <c r="A435" t="s">
        <v>468</v>
      </c>
      <c r="B435" t="s">
        <v>42</v>
      </c>
      <c r="C435" t="s">
        <v>10</v>
      </c>
      <c r="D435" t="s">
        <v>11</v>
      </c>
      <c r="E435" t="s">
        <v>19</v>
      </c>
      <c r="F435">
        <v>129361</v>
      </c>
      <c r="G435">
        <v>14</v>
      </c>
      <c r="H435">
        <v>83667</v>
      </c>
    </row>
    <row r="436" spans="1:8" x14ac:dyDescent="0.3">
      <c r="A436" t="s">
        <v>469</v>
      </c>
      <c r="B436" t="s">
        <v>9</v>
      </c>
      <c r="C436" t="s">
        <v>10</v>
      </c>
      <c r="D436" t="s">
        <v>23</v>
      </c>
      <c r="E436" t="s">
        <v>27</v>
      </c>
      <c r="F436">
        <v>92897</v>
      </c>
      <c r="G436">
        <v>13</v>
      </c>
      <c r="H436">
        <v>61819</v>
      </c>
    </row>
    <row r="437" spans="1:8" x14ac:dyDescent="0.3">
      <c r="A437" t="s">
        <v>470</v>
      </c>
      <c r="B437" t="s">
        <v>36</v>
      </c>
      <c r="C437" t="s">
        <v>22</v>
      </c>
      <c r="D437" t="s">
        <v>23</v>
      </c>
      <c r="E437" t="s">
        <v>32</v>
      </c>
      <c r="F437">
        <v>126790</v>
      </c>
      <c r="G437">
        <v>5</v>
      </c>
      <c r="H437">
        <v>85066</v>
      </c>
    </row>
    <row r="438" spans="1:8" x14ac:dyDescent="0.3">
      <c r="A438" t="s">
        <v>471</v>
      </c>
      <c r="B438" t="s">
        <v>36</v>
      </c>
      <c r="C438" t="s">
        <v>22</v>
      </c>
      <c r="D438" t="s">
        <v>31</v>
      </c>
      <c r="E438" t="s">
        <v>24</v>
      </c>
      <c r="F438">
        <v>54696</v>
      </c>
      <c r="G438">
        <v>12</v>
      </c>
      <c r="H438">
        <v>38708</v>
      </c>
    </row>
    <row r="439" spans="1:8" x14ac:dyDescent="0.3">
      <c r="A439" t="s">
        <v>472</v>
      </c>
      <c r="B439" t="s">
        <v>48</v>
      </c>
      <c r="C439" t="s">
        <v>15</v>
      </c>
      <c r="D439" t="s">
        <v>37</v>
      </c>
      <c r="E439" t="s">
        <v>46</v>
      </c>
      <c r="F439">
        <v>139375</v>
      </c>
      <c r="G439">
        <v>9</v>
      </c>
      <c r="H439">
        <v>97097</v>
      </c>
    </row>
    <row r="440" spans="1:8" x14ac:dyDescent="0.3">
      <c r="A440" t="s">
        <v>473</v>
      </c>
      <c r="B440" t="s">
        <v>40</v>
      </c>
      <c r="C440" t="s">
        <v>10</v>
      </c>
      <c r="D440" t="s">
        <v>23</v>
      </c>
      <c r="E440" t="s">
        <v>61</v>
      </c>
      <c r="F440">
        <v>65221</v>
      </c>
      <c r="G440">
        <v>11</v>
      </c>
      <c r="H440">
        <v>45305</v>
      </c>
    </row>
    <row r="441" spans="1:8" x14ac:dyDescent="0.3">
      <c r="A441" t="s">
        <v>474</v>
      </c>
      <c r="B441" t="s">
        <v>21</v>
      </c>
      <c r="C441" t="s">
        <v>22</v>
      </c>
      <c r="D441" t="s">
        <v>11</v>
      </c>
      <c r="E441" t="s">
        <v>61</v>
      </c>
      <c r="F441">
        <v>146308</v>
      </c>
      <c r="G441">
        <v>4</v>
      </c>
      <c r="H441">
        <v>107974</v>
      </c>
    </row>
    <row r="442" spans="1:8" x14ac:dyDescent="0.3">
      <c r="A442" t="s">
        <v>475</v>
      </c>
      <c r="B442" t="s">
        <v>48</v>
      </c>
      <c r="C442" t="s">
        <v>15</v>
      </c>
      <c r="D442" t="s">
        <v>31</v>
      </c>
      <c r="E442" t="s">
        <v>16</v>
      </c>
      <c r="F442">
        <v>98009</v>
      </c>
      <c r="G442">
        <v>14</v>
      </c>
      <c r="H442">
        <v>67250</v>
      </c>
    </row>
    <row r="443" spans="1:8" x14ac:dyDescent="0.3">
      <c r="A443" t="s">
        <v>476</v>
      </c>
      <c r="B443" t="s">
        <v>40</v>
      </c>
      <c r="C443" t="s">
        <v>10</v>
      </c>
      <c r="D443" t="s">
        <v>11</v>
      </c>
      <c r="E443" t="s">
        <v>61</v>
      </c>
      <c r="F443">
        <v>13208</v>
      </c>
      <c r="G443">
        <v>3</v>
      </c>
      <c r="H443">
        <v>8581</v>
      </c>
    </row>
    <row r="444" spans="1:8" x14ac:dyDescent="0.3">
      <c r="A444" t="s">
        <v>477</v>
      </c>
      <c r="B444" t="s">
        <v>9</v>
      </c>
      <c r="C444" t="s">
        <v>10</v>
      </c>
      <c r="D444" t="s">
        <v>11</v>
      </c>
      <c r="E444" t="s">
        <v>24</v>
      </c>
      <c r="F444">
        <v>115346</v>
      </c>
      <c r="G444">
        <v>7</v>
      </c>
      <c r="H444">
        <v>78625</v>
      </c>
    </row>
    <row r="445" spans="1:8" x14ac:dyDescent="0.3">
      <c r="A445" t="s">
        <v>478</v>
      </c>
      <c r="B445" t="s">
        <v>21</v>
      </c>
      <c r="C445" t="s">
        <v>22</v>
      </c>
      <c r="D445" t="s">
        <v>37</v>
      </c>
      <c r="E445" t="s">
        <v>49</v>
      </c>
      <c r="F445">
        <v>148413</v>
      </c>
      <c r="G445">
        <v>1</v>
      </c>
      <c r="H445">
        <v>93449</v>
      </c>
    </row>
    <row r="446" spans="1:8" x14ac:dyDescent="0.3">
      <c r="A446" t="s">
        <v>479</v>
      </c>
      <c r="B446" t="s">
        <v>40</v>
      </c>
      <c r="C446" t="s">
        <v>10</v>
      </c>
      <c r="D446" t="s">
        <v>23</v>
      </c>
      <c r="E446" t="s">
        <v>43</v>
      </c>
      <c r="F446">
        <v>124167</v>
      </c>
      <c r="G446">
        <v>13</v>
      </c>
      <c r="H446">
        <v>85690</v>
      </c>
    </row>
    <row r="447" spans="1:8" x14ac:dyDescent="0.3">
      <c r="A447" t="s">
        <v>480</v>
      </c>
      <c r="B447" t="s">
        <v>9</v>
      </c>
      <c r="C447" t="s">
        <v>10</v>
      </c>
      <c r="D447" t="s">
        <v>31</v>
      </c>
      <c r="E447" t="s">
        <v>49</v>
      </c>
      <c r="F447">
        <v>76425</v>
      </c>
      <c r="G447">
        <v>4</v>
      </c>
      <c r="H447">
        <v>46838</v>
      </c>
    </row>
    <row r="448" spans="1:8" x14ac:dyDescent="0.3">
      <c r="A448" t="s">
        <v>481</v>
      </c>
      <c r="B448" t="s">
        <v>9</v>
      </c>
      <c r="C448" t="s">
        <v>10</v>
      </c>
      <c r="D448" t="s">
        <v>23</v>
      </c>
      <c r="E448" t="s">
        <v>24</v>
      </c>
      <c r="F448">
        <v>56182</v>
      </c>
      <c r="G448">
        <v>9</v>
      </c>
      <c r="H448">
        <v>41482</v>
      </c>
    </row>
    <row r="449" spans="1:8" x14ac:dyDescent="0.3">
      <c r="A449" t="s">
        <v>482</v>
      </c>
      <c r="B449" t="s">
        <v>21</v>
      </c>
      <c r="C449" t="s">
        <v>22</v>
      </c>
      <c r="D449" t="s">
        <v>37</v>
      </c>
      <c r="E449" t="s">
        <v>43</v>
      </c>
      <c r="F449">
        <v>134530</v>
      </c>
      <c r="G449">
        <v>7</v>
      </c>
      <c r="H449">
        <v>87301</v>
      </c>
    </row>
    <row r="450" spans="1:8" x14ac:dyDescent="0.3">
      <c r="A450" t="s">
        <v>483</v>
      </c>
      <c r="B450" t="s">
        <v>42</v>
      </c>
      <c r="C450" t="s">
        <v>10</v>
      </c>
      <c r="D450" t="s">
        <v>23</v>
      </c>
      <c r="E450" t="s">
        <v>43</v>
      </c>
      <c r="F450">
        <v>50860</v>
      </c>
      <c r="G450">
        <v>5</v>
      </c>
      <c r="H450">
        <v>33414</v>
      </c>
    </row>
    <row r="451" spans="1:8" x14ac:dyDescent="0.3">
      <c r="A451" t="s">
        <v>484</v>
      </c>
      <c r="B451" t="s">
        <v>9</v>
      </c>
      <c r="C451" t="s">
        <v>10</v>
      </c>
      <c r="D451" t="s">
        <v>23</v>
      </c>
      <c r="E451" t="s">
        <v>32</v>
      </c>
      <c r="F451">
        <v>94560</v>
      </c>
      <c r="G451">
        <v>11</v>
      </c>
      <c r="H451">
        <v>62848</v>
      </c>
    </row>
    <row r="452" spans="1:8" x14ac:dyDescent="0.3">
      <c r="A452" t="s">
        <v>485</v>
      </c>
      <c r="B452" t="s">
        <v>14</v>
      </c>
      <c r="C452" t="s">
        <v>15</v>
      </c>
      <c r="D452" t="s">
        <v>23</v>
      </c>
      <c r="E452" t="s">
        <v>61</v>
      </c>
      <c r="F452">
        <v>98034</v>
      </c>
      <c r="G452">
        <v>2</v>
      </c>
      <c r="H452">
        <v>61134</v>
      </c>
    </row>
    <row r="453" spans="1:8" x14ac:dyDescent="0.3">
      <c r="A453" t="s">
        <v>486</v>
      </c>
      <c r="B453" t="s">
        <v>48</v>
      </c>
      <c r="C453" t="s">
        <v>15</v>
      </c>
      <c r="D453" t="s">
        <v>23</v>
      </c>
      <c r="E453" t="s">
        <v>43</v>
      </c>
      <c r="F453">
        <v>25149</v>
      </c>
      <c r="G453">
        <v>12</v>
      </c>
      <c r="H453">
        <v>17710</v>
      </c>
    </row>
    <row r="454" spans="1:8" x14ac:dyDescent="0.3">
      <c r="A454" t="s">
        <v>487</v>
      </c>
      <c r="B454" t="s">
        <v>14</v>
      </c>
      <c r="C454" t="s">
        <v>15</v>
      </c>
      <c r="D454" t="s">
        <v>37</v>
      </c>
      <c r="E454" t="s">
        <v>24</v>
      </c>
      <c r="F454">
        <v>19841</v>
      </c>
      <c r="G454">
        <v>3</v>
      </c>
      <c r="H454">
        <v>13255</v>
      </c>
    </row>
    <row r="455" spans="1:8" x14ac:dyDescent="0.3">
      <c r="A455" t="s">
        <v>488</v>
      </c>
      <c r="B455" t="s">
        <v>18</v>
      </c>
      <c r="C455" t="s">
        <v>15</v>
      </c>
      <c r="D455" t="s">
        <v>37</v>
      </c>
      <c r="E455" t="s">
        <v>46</v>
      </c>
      <c r="F455">
        <v>86514</v>
      </c>
      <c r="G455">
        <v>1</v>
      </c>
      <c r="H455">
        <v>52836</v>
      </c>
    </row>
    <row r="456" spans="1:8" x14ac:dyDescent="0.3">
      <c r="A456" t="s">
        <v>489</v>
      </c>
      <c r="B456" t="s">
        <v>18</v>
      </c>
      <c r="C456" t="s">
        <v>15</v>
      </c>
      <c r="D456" t="s">
        <v>23</v>
      </c>
      <c r="E456" t="s">
        <v>46</v>
      </c>
      <c r="F456">
        <v>88593</v>
      </c>
      <c r="G456">
        <v>7</v>
      </c>
      <c r="H456">
        <v>58711</v>
      </c>
    </row>
    <row r="457" spans="1:8" x14ac:dyDescent="0.3">
      <c r="A457" t="s">
        <v>490</v>
      </c>
      <c r="B457" t="s">
        <v>40</v>
      </c>
      <c r="C457" t="s">
        <v>10</v>
      </c>
      <c r="D457" t="s">
        <v>11</v>
      </c>
      <c r="E457" t="s">
        <v>46</v>
      </c>
      <c r="F457">
        <v>77704</v>
      </c>
      <c r="G457">
        <v>10</v>
      </c>
      <c r="H457">
        <v>56522</v>
      </c>
    </row>
    <row r="458" spans="1:8" x14ac:dyDescent="0.3">
      <c r="A458" t="s">
        <v>491</v>
      </c>
      <c r="B458" t="s">
        <v>14</v>
      </c>
      <c r="C458" t="s">
        <v>15</v>
      </c>
      <c r="D458" t="s">
        <v>11</v>
      </c>
      <c r="E458" t="s">
        <v>29</v>
      </c>
      <c r="F458">
        <v>41206</v>
      </c>
      <c r="G458">
        <v>6</v>
      </c>
      <c r="H458">
        <v>27881</v>
      </c>
    </row>
    <row r="459" spans="1:8" x14ac:dyDescent="0.3">
      <c r="A459" t="s">
        <v>492</v>
      </c>
      <c r="B459" t="s">
        <v>14</v>
      </c>
      <c r="C459" t="s">
        <v>15</v>
      </c>
      <c r="D459" t="s">
        <v>23</v>
      </c>
      <c r="E459" t="s">
        <v>32</v>
      </c>
      <c r="F459">
        <v>5935</v>
      </c>
      <c r="G459">
        <v>15</v>
      </c>
      <c r="H459">
        <v>4021</v>
      </c>
    </row>
    <row r="460" spans="1:8" x14ac:dyDescent="0.3">
      <c r="A460" t="s">
        <v>493</v>
      </c>
      <c r="B460" t="s">
        <v>40</v>
      </c>
      <c r="C460" t="s">
        <v>10</v>
      </c>
      <c r="D460" t="s">
        <v>31</v>
      </c>
      <c r="E460" t="s">
        <v>24</v>
      </c>
      <c r="F460">
        <v>134887</v>
      </c>
      <c r="G460">
        <v>14</v>
      </c>
      <c r="H460">
        <v>84830</v>
      </c>
    </row>
    <row r="461" spans="1:8" x14ac:dyDescent="0.3">
      <c r="A461" t="s">
        <v>494</v>
      </c>
      <c r="B461" t="s">
        <v>9</v>
      </c>
      <c r="C461" t="s">
        <v>10</v>
      </c>
      <c r="D461" t="s">
        <v>23</v>
      </c>
      <c r="E461" t="s">
        <v>12</v>
      </c>
      <c r="F461">
        <v>117052</v>
      </c>
      <c r="G461">
        <v>9</v>
      </c>
      <c r="H461">
        <v>75376</v>
      </c>
    </row>
    <row r="462" spans="1:8" x14ac:dyDescent="0.3">
      <c r="A462" t="s">
        <v>495</v>
      </c>
      <c r="B462" t="s">
        <v>9</v>
      </c>
      <c r="C462" t="s">
        <v>10</v>
      </c>
      <c r="D462" t="s">
        <v>31</v>
      </c>
      <c r="E462" t="s">
        <v>27</v>
      </c>
      <c r="F462">
        <v>13277</v>
      </c>
      <c r="G462">
        <v>4</v>
      </c>
      <c r="H462">
        <v>8797</v>
      </c>
    </row>
    <row r="463" spans="1:8" x14ac:dyDescent="0.3">
      <c r="A463" t="s">
        <v>496</v>
      </c>
      <c r="B463" t="s">
        <v>36</v>
      </c>
      <c r="C463" t="s">
        <v>22</v>
      </c>
      <c r="D463" t="s">
        <v>37</v>
      </c>
      <c r="E463" t="s">
        <v>34</v>
      </c>
      <c r="F463">
        <v>50430</v>
      </c>
      <c r="G463">
        <v>12</v>
      </c>
      <c r="H463">
        <v>36402</v>
      </c>
    </row>
    <row r="464" spans="1:8" x14ac:dyDescent="0.3">
      <c r="A464" t="s">
        <v>497</v>
      </c>
      <c r="B464" t="s">
        <v>40</v>
      </c>
      <c r="C464" t="s">
        <v>10</v>
      </c>
      <c r="D464" t="s">
        <v>23</v>
      </c>
      <c r="E464" t="s">
        <v>12</v>
      </c>
      <c r="F464">
        <v>146960</v>
      </c>
      <c r="G464">
        <v>1</v>
      </c>
      <c r="H464">
        <v>102583</v>
      </c>
    </row>
    <row r="465" spans="1:8" x14ac:dyDescent="0.3">
      <c r="A465" t="s">
        <v>498</v>
      </c>
      <c r="B465" t="s">
        <v>21</v>
      </c>
      <c r="C465" t="s">
        <v>22</v>
      </c>
      <c r="D465" t="s">
        <v>23</v>
      </c>
      <c r="E465" t="s">
        <v>19</v>
      </c>
      <c r="F465">
        <v>24006</v>
      </c>
      <c r="G465">
        <v>14</v>
      </c>
      <c r="H465">
        <v>16947</v>
      </c>
    </row>
    <row r="466" spans="1:8" x14ac:dyDescent="0.3">
      <c r="A466" t="s">
        <v>499</v>
      </c>
      <c r="B466" t="s">
        <v>9</v>
      </c>
      <c r="C466" t="s">
        <v>10</v>
      </c>
      <c r="D466" t="s">
        <v>37</v>
      </c>
      <c r="E466" t="s">
        <v>34</v>
      </c>
      <c r="F466">
        <v>143941</v>
      </c>
      <c r="G466">
        <v>7</v>
      </c>
      <c r="H466">
        <v>101676</v>
      </c>
    </row>
    <row r="467" spans="1:8" x14ac:dyDescent="0.3">
      <c r="A467" t="s">
        <v>500</v>
      </c>
      <c r="B467" t="s">
        <v>48</v>
      </c>
      <c r="C467" t="s">
        <v>15</v>
      </c>
      <c r="D467" t="s">
        <v>23</v>
      </c>
      <c r="E467" t="s">
        <v>27</v>
      </c>
      <c r="F467">
        <v>79842</v>
      </c>
      <c r="G467">
        <v>2</v>
      </c>
      <c r="H467">
        <v>48418</v>
      </c>
    </row>
    <row r="468" spans="1:8" x14ac:dyDescent="0.3">
      <c r="A468" t="s">
        <v>501</v>
      </c>
      <c r="B468" t="s">
        <v>40</v>
      </c>
      <c r="C468" t="s">
        <v>10</v>
      </c>
      <c r="D468" t="s">
        <v>11</v>
      </c>
      <c r="E468" t="s">
        <v>32</v>
      </c>
      <c r="F468">
        <v>115296</v>
      </c>
      <c r="G468">
        <v>14</v>
      </c>
      <c r="H468">
        <v>77782</v>
      </c>
    </row>
    <row r="469" spans="1:8" x14ac:dyDescent="0.3">
      <c r="A469" t="s">
        <v>502</v>
      </c>
      <c r="B469" t="s">
        <v>42</v>
      </c>
      <c r="C469" t="s">
        <v>10</v>
      </c>
      <c r="D469" t="s">
        <v>31</v>
      </c>
      <c r="E469" t="s">
        <v>29</v>
      </c>
      <c r="F469">
        <v>41121</v>
      </c>
      <c r="G469">
        <v>3</v>
      </c>
      <c r="H469">
        <v>27346</v>
      </c>
    </row>
    <row r="470" spans="1:8" x14ac:dyDescent="0.3">
      <c r="A470" t="s">
        <v>503</v>
      </c>
      <c r="B470" t="s">
        <v>36</v>
      </c>
      <c r="C470" t="s">
        <v>22</v>
      </c>
      <c r="D470" t="s">
        <v>31</v>
      </c>
      <c r="E470" t="s">
        <v>34</v>
      </c>
      <c r="F470">
        <v>54784</v>
      </c>
      <c r="G470">
        <v>7</v>
      </c>
      <c r="H470">
        <v>37608</v>
      </c>
    </row>
    <row r="471" spans="1:8" x14ac:dyDescent="0.3">
      <c r="A471" t="s">
        <v>504</v>
      </c>
      <c r="B471" t="s">
        <v>40</v>
      </c>
      <c r="C471" t="s">
        <v>10</v>
      </c>
      <c r="D471" t="s">
        <v>11</v>
      </c>
      <c r="E471" t="s">
        <v>43</v>
      </c>
      <c r="F471">
        <v>149744</v>
      </c>
      <c r="G471">
        <v>11</v>
      </c>
      <c r="H471">
        <v>104482</v>
      </c>
    </row>
    <row r="472" spans="1:8" x14ac:dyDescent="0.3">
      <c r="A472" t="s">
        <v>505</v>
      </c>
      <c r="B472" t="s">
        <v>14</v>
      </c>
      <c r="C472" t="s">
        <v>15</v>
      </c>
      <c r="D472" t="s">
        <v>37</v>
      </c>
      <c r="E472" t="s">
        <v>43</v>
      </c>
      <c r="F472">
        <v>84374</v>
      </c>
      <c r="G472">
        <v>5</v>
      </c>
      <c r="H472">
        <v>52957</v>
      </c>
    </row>
    <row r="473" spans="1:8" x14ac:dyDescent="0.3">
      <c r="A473" t="s">
        <v>506</v>
      </c>
      <c r="B473" t="s">
        <v>36</v>
      </c>
      <c r="C473" t="s">
        <v>22</v>
      </c>
      <c r="D473" t="s">
        <v>23</v>
      </c>
      <c r="E473" t="s">
        <v>61</v>
      </c>
      <c r="F473">
        <v>125225</v>
      </c>
      <c r="G473">
        <v>6</v>
      </c>
      <c r="H473">
        <v>77081</v>
      </c>
    </row>
    <row r="474" spans="1:8" x14ac:dyDescent="0.3">
      <c r="A474" t="s">
        <v>507</v>
      </c>
      <c r="B474" t="s">
        <v>36</v>
      </c>
      <c r="C474" t="s">
        <v>22</v>
      </c>
      <c r="D474" t="s">
        <v>11</v>
      </c>
      <c r="E474" t="s">
        <v>46</v>
      </c>
      <c r="F474">
        <v>5323</v>
      </c>
      <c r="G474">
        <v>4</v>
      </c>
      <c r="H474">
        <v>3217</v>
      </c>
    </row>
    <row r="475" spans="1:8" x14ac:dyDescent="0.3">
      <c r="A475" t="s">
        <v>508</v>
      </c>
      <c r="B475" t="s">
        <v>36</v>
      </c>
      <c r="C475" t="s">
        <v>22</v>
      </c>
      <c r="D475" t="s">
        <v>11</v>
      </c>
      <c r="E475" t="s">
        <v>29</v>
      </c>
      <c r="F475">
        <v>112442</v>
      </c>
      <c r="G475">
        <v>15</v>
      </c>
      <c r="H475">
        <v>80117</v>
      </c>
    </row>
    <row r="476" spans="1:8" x14ac:dyDescent="0.3">
      <c r="A476" t="s">
        <v>509</v>
      </c>
      <c r="B476" t="s">
        <v>14</v>
      </c>
      <c r="C476" t="s">
        <v>15</v>
      </c>
      <c r="D476" t="s">
        <v>37</v>
      </c>
      <c r="E476" t="s">
        <v>12</v>
      </c>
      <c r="F476">
        <v>128554</v>
      </c>
      <c r="G476">
        <v>1</v>
      </c>
      <c r="H476">
        <v>77316</v>
      </c>
    </row>
    <row r="477" spans="1:8" x14ac:dyDescent="0.3">
      <c r="A477" t="s">
        <v>510</v>
      </c>
      <c r="B477" t="s">
        <v>40</v>
      </c>
      <c r="C477" t="s">
        <v>10</v>
      </c>
      <c r="D477" t="s">
        <v>37</v>
      </c>
      <c r="E477" t="s">
        <v>61</v>
      </c>
      <c r="F477">
        <v>6855</v>
      </c>
      <c r="G477">
        <v>5</v>
      </c>
      <c r="H477">
        <v>4979</v>
      </c>
    </row>
    <row r="478" spans="1:8" x14ac:dyDescent="0.3">
      <c r="A478" t="s">
        <v>511</v>
      </c>
      <c r="B478" t="s">
        <v>18</v>
      </c>
      <c r="C478" t="s">
        <v>15</v>
      </c>
      <c r="D478" t="s">
        <v>11</v>
      </c>
      <c r="E478" t="s">
        <v>27</v>
      </c>
      <c r="F478">
        <v>9831</v>
      </c>
      <c r="G478">
        <v>11</v>
      </c>
      <c r="H478">
        <v>6896</v>
      </c>
    </row>
    <row r="479" spans="1:8" x14ac:dyDescent="0.3">
      <c r="A479" t="s">
        <v>512</v>
      </c>
      <c r="B479" t="s">
        <v>18</v>
      </c>
      <c r="C479" t="s">
        <v>15</v>
      </c>
      <c r="D479" t="s">
        <v>11</v>
      </c>
      <c r="E479" t="s">
        <v>49</v>
      </c>
      <c r="F479">
        <v>64780</v>
      </c>
      <c r="G479">
        <v>9</v>
      </c>
      <c r="H479">
        <v>45541</v>
      </c>
    </row>
    <row r="480" spans="1:8" x14ac:dyDescent="0.3">
      <c r="A480" t="s">
        <v>513</v>
      </c>
      <c r="B480" t="s">
        <v>14</v>
      </c>
      <c r="C480" t="s">
        <v>15</v>
      </c>
      <c r="D480" t="s">
        <v>23</v>
      </c>
      <c r="E480" t="s">
        <v>32</v>
      </c>
      <c r="F480">
        <v>27810</v>
      </c>
      <c r="G480">
        <v>1</v>
      </c>
      <c r="H480">
        <v>19728</v>
      </c>
    </row>
    <row r="481" spans="1:8" x14ac:dyDescent="0.3">
      <c r="A481" t="s">
        <v>514</v>
      </c>
      <c r="B481" t="s">
        <v>9</v>
      </c>
      <c r="C481" t="s">
        <v>10</v>
      </c>
      <c r="D481" t="s">
        <v>37</v>
      </c>
      <c r="E481" t="s">
        <v>19</v>
      </c>
      <c r="F481">
        <v>84167</v>
      </c>
      <c r="G481">
        <v>14</v>
      </c>
      <c r="H481">
        <v>51406</v>
      </c>
    </row>
    <row r="482" spans="1:8" x14ac:dyDescent="0.3">
      <c r="A482" t="s">
        <v>515</v>
      </c>
      <c r="B482" t="s">
        <v>36</v>
      </c>
      <c r="C482" t="s">
        <v>22</v>
      </c>
      <c r="D482" t="s">
        <v>23</v>
      </c>
      <c r="E482" t="s">
        <v>27</v>
      </c>
      <c r="F482">
        <v>13424</v>
      </c>
      <c r="G482">
        <v>4</v>
      </c>
      <c r="H482">
        <v>9211</v>
      </c>
    </row>
    <row r="483" spans="1:8" x14ac:dyDescent="0.3">
      <c r="A483" t="s">
        <v>516</v>
      </c>
      <c r="B483" t="s">
        <v>21</v>
      </c>
      <c r="C483" t="s">
        <v>22</v>
      </c>
      <c r="D483" t="s">
        <v>31</v>
      </c>
      <c r="E483" t="s">
        <v>19</v>
      </c>
      <c r="F483">
        <v>48610</v>
      </c>
      <c r="G483">
        <v>4</v>
      </c>
      <c r="H483">
        <v>29999</v>
      </c>
    </row>
    <row r="484" spans="1:8" x14ac:dyDescent="0.3">
      <c r="A484" t="s">
        <v>517</v>
      </c>
      <c r="B484" t="s">
        <v>42</v>
      </c>
      <c r="C484" t="s">
        <v>10</v>
      </c>
      <c r="D484" t="s">
        <v>11</v>
      </c>
      <c r="E484" t="s">
        <v>27</v>
      </c>
      <c r="F484">
        <v>103961</v>
      </c>
      <c r="G484">
        <v>12</v>
      </c>
      <c r="H484">
        <v>74722</v>
      </c>
    </row>
    <row r="485" spans="1:8" x14ac:dyDescent="0.3">
      <c r="A485" t="s">
        <v>518</v>
      </c>
      <c r="B485" t="s">
        <v>36</v>
      </c>
      <c r="C485" t="s">
        <v>22</v>
      </c>
      <c r="D485" t="s">
        <v>31</v>
      </c>
      <c r="E485" t="s">
        <v>61</v>
      </c>
      <c r="F485">
        <v>34215</v>
      </c>
      <c r="G485">
        <v>3</v>
      </c>
      <c r="H485">
        <v>23225</v>
      </c>
    </row>
    <row r="486" spans="1:8" x14ac:dyDescent="0.3">
      <c r="A486" t="s">
        <v>519</v>
      </c>
      <c r="B486" t="s">
        <v>36</v>
      </c>
      <c r="C486" t="s">
        <v>22</v>
      </c>
      <c r="D486" t="s">
        <v>37</v>
      </c>
      <c r="E486" t="s">
        <v>19</v>
      </c>
      <c r="F486">
        <v>84243</v>
      </c>
      <c r="G486">
        <v>15</v>
      </c>
      <c r="H486">
        <v>53260</v>
      </c>
    </row>
    <row r="487" spans="1:8" x14ac:dyDescent="0.3">
      <c r="A487" t="s">
        <v>520</v>
      </c>
      <c r="B487" t="s">
        <v>48</v>
      </c>
      <c r="C487" t="s">
        <v>15</v>
      </c>
      <c r="D487" t="s">
        <v>31</v>
      </c>
      <c r="E487" t="s">
        <v>43</v>
      </c>
      <c r="F487">
        <v>81883</v>
      </c>
      <c r="G487">
        <v>5</v>
      </c>
      <c r="H487">
        <v>55181</v>
      </c>
    </row>
    <row r="488" spans="1:8" x14ac:dyDescent="0.3">
      <c r="A488" t="s">
        <v>521</v>
      </c>
      <c r="B488" t="s">
        <v>9</v>
      </c>
      <c r="C488" t="s">
        <v>10</v>
      </c>
      <c r="D488" t="s">
        <v>37</v>
      </c>
      <c r="E488" t="s">
        <v>61</v>
      </c>
      <c r="F488">
        <v>41978</v>
      </c>
      <c r="G488">
        <v>1</v>
      </c>
      <c r="H488">
        <v>29368</v>
      </c>
    </row>
    <row r="489" spans="1:8" x14ac:dyDescent="0.3">
      <c r="A489" t="s">
        <v>522</v>
      </c>
      <c r="B489" t="s">
        <v>42</v>
      </c>
      <c r="C489" t="s">
        <v>10</v>
      </c>
      <c r="D489" t="s">
        <v>23</v>
      </c>
      <c r="E489" t="s">
        <v>16</v>
      </c>
      <c r="F489">
        <v>140771</v>
      </c>
      <c r="G489">
        <v>12</v>
      </c>
      <c r="H489">
        <v>92602</v>
      </c>
    </row>
    <row r="490" spans="1:8" x14ac:dyDescent="0.3">
      <c r="A490" t="s">
        <v>523</v>
      </c>
      <c r="B490" t="s">
        <v>42</v>
      </c>
      <c r="C490" t="s">
        <v>10</v>
      </c>
      <c r="D490" t="s">
        <v>23</v>
      </c>
      <c r="E490" t="s">
        <v>32</v>
      </c>
      <c r="F490">
        <v>130306</v>
      </c>
      <c r="G490">
        <v>8</v>
      </c>
      <c r="H490">
        <v>80262</v>
      </c>
    </row>
    <row r="491" spans="1:8" x14ac:dyDescent="0.3">
      <c r="A491" t="s">
        <v>524</v>
      </c>
      <c r="B491" t="s">
        <v>48</v>
      </c>
      <c r="C491" t="s">
        <v>15</v>
      </c>
      <c r="D491" t="s">
        <v>11</v>
      </c>
      <c r="E491" t="s">
        <v>46</v>
      </c>
      <c r="F491">
        <v>5365</v>
      </c>
      <c r="G491">
        <v>15</v>
      </c>
      <c r="H491">
        <v>3768</v>
      </c>
    </row>
    <row r="492" spans="1:8" x14ac:dyDescent="0.3">
      <c r="A492" t="s">
        <v>525</v>
      </c>
      <c r="B492" t="s">
        <v>40</v>
      </c>
      <c r="C492" t="s">
        <v>10</v>
      </c>
      <c r="D492" t="s">
        <v>37</v>
      </c>
      <c r="E492" t="s">
        <v>12</v>
      </c>
      <c r="F492">
        <v>111659</v>
      </c>
      <c r="G492">
        <v>15</v>
      </c>
      <c r="H492">
        <v>81150</v>
      </c>
    </row>
    <row r="493" spans="1:8" x14ac:dyDescent="0.3">
      <c r="A493" t="s">
        <v>526</v>
      </c>
      <c r="B493" t="s">
        <v>18</v>
      </c>
      <c r="C493" t="s">
        <v>15</v>
      </c>
      <c r="D493" t="s">
        <v>23</v>
      </c>
      <c r="E493" t="s">
        <v>46</v>
      </c>
      <c r="F493">
        <v>75145</v>
      </c>
      <c r="G493">
        <v>14</v>
      </c>
      <c r="H493">
        <v>51435</v>
      </c>
    </row>
    <row r="494" spans="1:8" x14ac:dyDescent="0.3">
      <c r="A494" t="s">
        <v>527</v>
      </c>
      <c r="B494" t="s">
        <v>48</v>
      </c>
      <c r="C494" t="s">
        <v>15</v>
      </c>
      <c r="D494" t="s">
        <v>11</v>
      </c>
      <c r="E494" t="s">
        <v>27</v>
      </c>
      <c r="F494">
        <v>35122</v>
      </c>
      <c r="G494">
        <v>4</v>
      </c>
      <c r="H494">
        <v>22994</v>
      </c>
    </row>
    <row r="495" spans="1:8" x14ac:dyDescent="0.3">
      <c r="A495" t="s">
        <v>528</v>
      </c>
      <c r="B495" t="s">
        <v>14</v>
      </c>
      <c r="C495" t="s">
        <v>15</v>
      </c>
      <c r="D495" t="s">
        <v>11</v>
      </c>
      <c r="E495" t="s">
        <v>34</v>
      </c>
      <c r="F495">
        <v>107559</v>
      </c>
      <c r="G495">
        <v>1</v>
      </c>
      <c r="H495">
        <v>66290</v>
      </c>
    </row>
    <row r="496" spans="1:8" x14ac:dyDescent="0.3">
      <c r="A496" t="s">
        <v>529</v>
      </c>
      <c r="B496" t="s">
        <v>40</v>
      </c>
      <c r="C496" t="s">
        <v>10</v>
      </c>
      <c r="D496" t="s">
        <v>31</v>
      </c>
      <c r="E496" t="s">
        <v>29</v>
      </c>
      <c r="F496">
        <v>92240</v>
      </c>
      <c r="G496">
        <v>3</v>
      </c>
      <c r="H496">
        <v>64932</v>
      </c>
    </row>
    <row r="497" spans="1:8" x14ac:dyDescent="0.3">
      <c r="A497" t="s">
        <v>530</v>
      </c>
      <c r="B497" t="s">
        <v>14</v>
      </c>
      <c r="C497" t="s">
        <v>15</v>
      </c>
      <c r="D497" t="s">
        <v>37</v>
      </c>
      <c r="E497" t="s">
        <v>49</v>
      </c>
      <c r="F497">
        <v>19858</v>
      </c>
      <c r="G497">
        <v>4</v>
      </c>
      <c r="H497">
        <v>13616</v>
      </c>
    </row>
    <row r="498" spans="1:8" x14ac:dyDescent="0.3">
      <c r="A498" t="s">
        <v>531</v>
      </c>
      <c r="B498" t="s">
        <v>14</v>
      </c>
      <c r="C498" t="s">
        <v>15</v>
      </c>
      <c r="D498" t="s">
        <v>37</v>
      </c>
      <c r="E498" t="s">
        <v>29</v>
      </c>
      <c r="F498">
        <v>55152</v>
      </c>
      <c r="G498">
        <v>7</v>
      </c>
      <c r="H498">
        <v>34933</v>
      </c>
    </row>
    <row r="499" spans="1:8" x14ac:dyDescent="0.3">
      <c r="A499" t="s">
        <v>532</v>
      </c>
      <c r="B499" t="s">
        <v>48</v>
      </c>
      <c r="C499" t="s">
        <v>15</v>
      </c>
      <c r="D499" t="s">
        <v>11</v>
      </c>
      <c r="E499" t="s">
        <v>29</v>
      </c>
      <c r="F499">
        <v>10125</v>
      </c>
      <c r="G499">
        <v>14</v>
      </c>
      <c r="H499">
        <v>6529</v>
      </c>
    </row>
    <row r="500" spans="1:8" x14ac:dyDescent="0.3">
      <c r="A500" t="s">
        <v>533</v>
      </c>
      <c r="B500" t="s">
        <v>18</v>
      </c>
      <c r="C500" t="s">
        <v>15</v>
      </c>
      <c r="D500" t="s">
        <v>37</v>
      </c>
      <c r="E500" t="s">
        <v>46</v>
      </c>
      <c r="F500">
        <v>20973</v>
      </c>
      <c r="G500">
        <v>7</v>
      </c>
      <c r="H500">
        <v>14179</v>
      </c>
    </row>
    <row r="501" spans="1:8" x14ac:dyDescent="0.3">
      <c r="A501" t="s">
        <v>534</v>
      </c>
      <c r="B501" t="s">
        <v>48</v>
      </c>
      <c r="C501" t="s">
        <v>15</v>
      </c>
      <c r="D501" t="s">
        <v>23</v>
      </c>
      <c r="E501" t="s">
        <v>12</v>
      </c>
      <c r="F501">
        <v>125616</v>
      </c>
      <c r="G501">
        <v>13</v>
      </c>
      <c r="H501">
        <v>81011</v>
      </c>
    </row>
    <row r="502" spans="1:8" x14ac:dyDescent="0.3">
      <c r="A502" t="s">
        <v>535</v>
      </c>
      <c r="B502" t="s">
        <v>48</v>
      </c>
      <c r="C502" t="s">
        <v>15</v>
      </c>
      <c r="D502" t="s">
        <v>23</v>
      </c>
      <c r="E502" t="s">
        <v>49</v>
      </c>
      <c r="F502">
        <v>46041</v>
      </c>
      <c r="G502">
        <v>6</v>
      </c>
      <c r="H502">
        <v>29650</v>
      </c>
    </row>
    <row r="503" spans="1:8" x14ac:dyDescent="0.3">
      <c r="A503" t="s">
        <v>536</v>
      </c>
      <c r="B503" t="s">
        <v>14</v>
      </c>
      <c r="C503" t="s">
        <v>15</v>
      </c>
      <c r="D503" t="s">
        <v>11</v>
      </c>
      <c r="E503" t="s">
        <v>16</v>
      </c>
      <c r="F503">
        <v>135460</v>
      </c>
      <c r="G503">
        <v>12</v>
      </c>
      <c r="H503">
        <v>87310</v>
      </c>
    </row>
    <row r="504" spans="1:8" x14ac:dyDescent="0.3">
      <c r="A504" t="s">
        <v>537</v>
      </c>
      <c r="B504" t="s">
        <v>40</v>
      </c>
      <c r="C504" t="s">
        <v>10</v>
      </c>
      <c r="D504" t="s">
        <v>37</v>
      </c>
      <c r="E504" t="s">
        <v>32</v>
      </c>
      <c r="F504">
        <v>96829</v>
      </c>
      <c r="G504">
        <v>14</v>
      </c>
      <c r="H504">
        <v>70658</v>
      </c>
    </row>
    <row r="505" spans="1:8" x14ac:dyDescent="0.3">
      <c r="A505" t="s">
        <v>538</v>
      </c>
      <c r="B505" t="s">
        <v>40</v>
      </c>
      <c r="C505" t="s">
        <v>10</v>
      </c>
      <c r="D505" t="s">
        <v>31</v>
      </c>
      <c r="E505" t="s">
        <v>12</v>
      </c>
      <c r="F505">
        <v>125185</v>
      </c>
      <c r="G505">
        <v>4</v>
      </c>
      <c r="H505">
        <v>76400</v>
      </c>
    </row>
    <row r="506" spans="1:8" x14ac:dyDescent="0.3">
      <c r="A506" t="s">
        <v>539</v>
      </c>
      <c r="B506" t="s">
        <v>40</v>
      </c>
      <c r="C506" t="s">
        <v>10</v>
      </c>
      <c r="D506" t="s">
        <v>11</v>
      </c>
      <c r="E506" t="s">
        <v>16</v>
      </c>
      <c r="F506">
        <v>106809</v>
      </c>
      <c r="G506">
        <v>13</v>
      </c>
      <c r="H506">
        <v>67506</v>
      </c>
    </row>
    <row r="507" spans="1:8" x14ac:dyDescent="0.3">
      <c r="A507" t="s">
        <v>540</v>
      </c>
      <c r="B507" t="s">
        <v>42</v>
      </c>
      <c r="C507" t="s">
        <v>10</v>
      </c>
      <c r="D507" t="s">
        <v>11</v>
      </c>
      <c r="E507" t="s">
        <v>19</v>
      </c>
      <c r="F507">
        <v>68525</v>
      </c>
      <c r="G507">
        <v>15</v>
      </c>
      <c r="H507">
        <v>45118</v>
      </c>
    </row>
    <row r="508" spans="1:8" x14ac:dyDescent="0.3">
      <c r="A508" t="s">
        <v>541</v>
      </c>
      <c r="B508" t="s">
        <v>18</v>
      </c>
      <c r="C508" t="s">
        <v>15</v>
      </c>
      <c r="D508" t="s">
        <v>37</v>
      </c>
      <c r="E508" t="s">
        <v>43</v>
      </c>
      <c r="F508">
        <v>45540</v>
      </c>
      <c r="G508">
        <v>7</v>
      </c>
      <c r="H508">
        <v>31672</v>
      </c>
    </row>
    <row r="509" spans="1:8" x14ac:dyDescent="0.3">
      <c r="A509" t="s">
        <v>542</v>
      </c>
      <c r="B509" t="s">
        <v>36</v>
      </c>
      <c r="C509" t="s">
        <v>22</v>
      </c>
      <c r="D509" t="s">
        <v>31</v>
      </c>
      <c r="E509" t="s">
        <v>16</v>
      </c>
      <c r="F509">
        <v>46250</v>
      </c>
      <c r="G509">
        <v>15</v>
      </c>
      <c r="H509">
        <v>30780</v>
      </c>
    </row>
    <row r="510" spans="1:8" x14ac:dyDescent="0.3">
      <c r="A510" t="s">
        <v>543</v>
      </c>
      <c r="B510" t="s">
        <v>40</v>
      </c>
      <c r="C510" t="s">
        <v>10</v>
      </c>
      <c r="D510" t="s">
        <v>23</v>
      </c>
      <c r="E510" t="s">
        <v>16</v>
      </c>
      <c r="F510">
        <v>80236</v>
      </c>
      <c r="G510">
        <v>6</v>
      </c>
      <c r="H510">
        <v>48288</v>
      </c>
    </row>
    <row r="511" spans="1:8" x14ac:dyDescent="0.3">
      <c r="A511" t="s">
        <v>544</v>
      </c>
      <c r="B511" t="s">
        <v>18</v>
      </c>
      <c r="C511" t="s">
        <v>15</v>
      </c>
      <c r="D511" t="s">
        <v>23</v>
      </c>
      <c r="E511" t="s">
        <v>24</v>
      </c>
      <c r="F511">
        <v>145808</v>
      </c>
      <c r="G511">
        <v>10</v>
      </c>
      <c r="H511">
        <v>93118</v>
      </c>
    </row>
    <row r="512" spans="1:8" x14ac:dyDescent="0.3">
      <c r="A512" t="s">
        <v>545</v>
      </c>
      <c r="B512" t="s">
        <v>14</v>
      </c>
      <c r="C512" t="s">
        <v>15</v>
      </c>
      <c r="D512" t="s">
        <v>31</v>
      </c>
      <c r="E512" t="s">
        <v>29</v>
      </c>
      <c r="F512">
        <v>77320</v>
      </c>
      <c r="G512">
        <v>11</v>
      </c>
      <c r="H512">
        <v>54411</v>
      </c>
    </row>
    <row r="513" spans="1:8" x14ac:dyDescent="0.3">
      <c r="A513" t="s">
        <v>546</v>
      </c>
      <c r="B513" t="s">
        <v>21</v>
      </c>
      <c r="C513" t="s">
        <v>22</v>
      </c>
      <c r="D513" t="s">
        <v>23</v>
      </c>
      <c r="E513" t="s">
        <v>32</v>
      </c>
      <c r="F513">
        <v>120060</v>
      </c>
      <c r="G513">
        <v>6</v>
      </c>
      <c r="H513">
        <v>88656</v>
      </c>
    </row>
    <row r="514" spans="1:8" x14ac:dyDescent="0.3">
      <c r="A514" t="s">
        <v>547</v>
      </c>
      <c r="B514" t="s">
        <v>40</v>
      </c>
      <c r="C514" t="s">
        <v>10</v>
      </c>
      <c r="D514" t="s">
        <v>31</v>
      </c>
      <c r="E514" t="s">
        <v>27</v>
      </c>
      <c r="F514">
        <v>49643</v>
      </c>
      <c r="G514">
        <v>10</v>
      </c>
      <c r="H514">
        <v>36873</v>
      </c>
    </row>
    <row r="515" spans="1:8" x14ac:dyDescent="0.3">
      <c r="A515" t="s">
        <v>548</v>
      </c>
      <c r="B515" t="s">
        <v>9</v>
      </c>
      <c r="C515" t="s">
        <v>10</v>
      </c>
      <c r="D515" t="s">
        <v>31</v>
      </c>
      <c r="E515" t="s">
        <v>34</v>
      </c>
      <c r="F515">
        <v>122493</v>
      </c>
      <c r="G515">
        <v>10</v>
      </c>
      <c r="H515">
        <v>90880</v>
      </c>
    </row>
    <row r="516" spans="1:8" x14ac:dyDescent="0.3">
      <c r="A516" t="s">
        <v>549</v>
      </c>
      <c r="B516" t="s">
        <v>48</v>
      </c>
      <c r="C516" t="s">
        <v>15</v>
      </c>
      <c r="D516" t="s">
        <v>37</v>
      </c>
      <c r="E516" t="s">
        <v>46</v>
      </c>
      <c r="F516">
        <v>22733</v>
      </c>
      <c r="G516">
        <v>4</v>
      </c>
      <c r="H516">
        <v>13951</v>
      </c>
    </row>
    <row r="517" spans="1:8" x14ac:dyDescent="0.3">
      <c r="A517" t="s">
        <v>550</v>
      </c>
      <c r="B517" t="s">
        <v>14</v>
      </c>
      <c r="C517" t="s">
        <v>15</v>
      </c>
      <c r="D517" t="s">
        <v>11</v>
      </c>
      <c r="E517" t="s">
        <v>27</v>
      </c>
      <c r="F517">
        <v>57421</v>
      </c>
      <c r="G517">
        <v>6</v>
      </c>
      <c r="H517">
        <v>40376</v>
      </c>
    </row>
    <row r="518" spans="1:8" x14ac:dyDescent="0.3">
      <c r="A518" t="s">
        <v>551</v>
      </c>
      <c r="B518" t="s">
        <v>14</v>
      </c>
      <c r="C518" t="s">
        <v>15</v>
      </c>
      <c r="D518" t="s">
        <v>37</v>
      </c>
      <c r="E518" t="s">
        <v>16</v>
      </c>
      <c r="F518">
        <v>80748</v>
      </c>
      <c r="G518">
        <v>11</v>
      </c>
      <c r="H518">
        <v>52102</v>
      </c>
    </row>
    <row r="519" spans="1:8" x14ac:dyDescent="0.3">
      <c r="A519" t="s">
        <v>552</v>
      </c>
      <c r="B519" t="s">
        <v>36</v>
      </c>
      <c r="C519" t="s">
        <v>22</v>
      </c>
      <c r="D519" t="s">
        <v>23</v>
      </c>
      <c r="E519" t="s">
        <v>19</v>
      </c>
      <c r="F519">
        <v>143862</v>
      </c>
      <c r="G519">
        <v>11</v>
      </c>
      <c r="H519">
        <v>105489</v>
      </c>
    </row>
    <row r="520" spans="1:8" x14ac:dyDescent="0.3">
      <c r="A520" t="s">
        <v>553</v>
      </c>
      <c r="B520" t="s">
        <v>9</v>
      </c>
      <c r="C520" t="s">
        <v>10</v>
      </c>
      <c r="D520" t="s">
        <v>23</v>
      </c>
      <c r="E520" t="s">
        <v>16</v>
      </c>
      <c r="F520">
        <v>48738</v>
      </c>
      <c r="G520">
        <v>4</v>
      </c>
      <c r="H520">
        <v>33544</v>
      </c>
    </row>
    <row r="521" spans="1:8" x14ac:dyDescent="0.3">
      <c r="A521" t="s">
        <v>554</v>
      </c>
      <c r="B521" t="s">
        <v>36</v>
      </c>
      <c r="C521" t="s">
        <v>22</v>
      </c>
      <c r="D521" t="s">
        <v>37</v>
      </c>
      <c r="E521" t="s">
        <v>34</v>
      </c>
      <c r="F521">
        <v>18766</v>
      </c>
      <c r="G521">
        <v>12</v>
      </c>
      <c r="H521">
        <v>12747</v>
      </c>
    </row>
    <row r="522" spans="1:8" x14ac:dyDescent="0.3">
      <c r="A522" t="s">
        <v>555</v>
      </c>
      <c r="B522" t="s">
        <v>9</v>
      </c>
      <c r="C522" t="s">
        <v>10</v>
      </c>
      <c r="D522" t="s">
        <v>11</v>
      </c>
      <c r="E522" t="s">
        <v>61</v>
      </c>
      <c r="F522">
        <v>74681</v>
      </c>
      <c r="G522">
        <v>3</v>
      </c>
      <c r="H522">
        <v>46881</v>
      </c>
    </row>
    <row r="523" spans="1:8" x14ac:dyDescent="0.3">
      <c r="A523" t="s">
        <v>556</v>
      </c>
      <c r="B523" t="s">
        <v>9</v>
      </c>
      <c r="C523" t="s">
        <v>10</v>
      </c>
      <c r="D523" t="s">
        <v>11</v>
      </c>
      <c r="E523" t="s">
        <v>61</v>
      </c>
      <c r="F523">
        <v>146117</v>
      </c>
      <c r="G523">
        <v>8</v>
      </c>
      <c r="H523">
        <v>99406</v>
      </c>
    </row>
    <row r="524" spans="1:8" x14ac:dyDescent="0.3">
      <c r="A524" t="s">
        <v>557</v>
      </c>
      <c r="B524" t="s">
        <v>40</v>
      </c>
      <c r="C524" t="s">
        <v>10</v>
      </c>
      <c r="D524" t="s">
        <v>37</v>
      </c>
      <c r="E524" t="s">
        <v>16</v>
      </c>
      <c r="F524">
        <v>73640</v>
      </c>
      <c r="G524">
        <v>4</v>
      </c>
      <c r="H524">
        <v>53838</v>
      </c>
    </row>
    <row r="525" spans="1:8" x14ac:dyDescent="0.3">
      <c r="A525" t="s">
        <v>558</v>
      </c>
      <c r="B525" t="s">
        <v>21</v>
      </c>
      <c r="C525" t="s">
        <v>22</v>
      </c>
      <c r="D525" t="s">
        <v>37</v>
      </c>
      <c r="E525" t="s">
        <v>29</v>
      </c>
      <c r="F525">
        <v>59443</v>
      </c>
      <c r="G525">
        <v>6</v>
      </c>
      <c r="H525">
        <v>37084</v>
      </c>
    </row>
    <row r="526" spans="1:8" x14ac:dyDescent="0.3">
      <c r="A526" t="s">
        <v>559</v>
      </c>
      <c r="B526" t="s">
        <v>9</v>
      </c>
      <c r="C526" t="s">
        <v>10</v>
      </c>
      <c r="D526" t="s">
        <v>11</v>
      </c>
      <c r="E526" t="s">
        <v>12</v>
      </c>
      <c r="F526">
        <v>56522</v>
      </c>
      <c r="G526">
        <v>1</v>
      </c>
      <c r="H526">
        <v>41599</v>
      </c>
    </row>
    <row r="527" spans="1:8" x14ac:dyDescent="0.3">
      <c r="A527" t="s">
        <v>560</v>
      </c>
      <c r="B527" t="s">
        <v>18</v>
      </c>
      <c r="C527" t="s">
        <v>15</v>
      </c>
      <c r="D527" t="s">
        <v>23</v>
      </c>
      <c r="E527" t="s">
        <v>32</v>
      </c>
      <c r="F527">
        <v>142543</v>
      </c>
      <c r="G527">
        <v>15</v>
      </c>
      <c r="H527">
        <v>97719</v>
      </c>
    </row>
    <row r="528" spans="1:8" x14ac:dyDescent="0.3">
      <c r="A528" t="s">
        <v>561</v>
      </c>
      <c r="B528" t="s">
        <v>36</v>
      </c>
      <c r="C528" t="s">
        <v>22</v>
      </c>
      <c r="D528" t="s">
        <v>37</v>
      </c>
      <c r="E528" t="s">
        <v>19</v>
      </c>
      <c r="F528">
        <v>46996</v>
      </c>
      <c r="G528">
        <v>10</v>
      </c>
      <c r="H528">
        <v>31565</v>
      </c>
    </row>
    <row r="529" spans="1:8" x14ac:dyDescent="0.3">
      <c r="A529" t="s">
        <v>562</v>
      </c>
      <c r="B529" t="s">
        <v>14</v>
      </c>
      <c r="C529" t="s">
        <v>15</v>
      </c>
      <c r="D529" t="s">
        <v>31</v>
      </c>
      <c r="E529" t="s">
        <v>12</v>
      </c>
      <c r="F529">
        <v>146927</v>
      </c>
      <c r="G529">
        <v>4</v>
      </c>
      <c r="H529">
        <v>90449</v>
      </c>
    </row>
    <row r="530" spans="1:8" x14ac:dyDescent="0.3">
      <c r="A530" t="s">
        <v>563</v>
      </c>
      <c r="B530" t="s">
        <v>42</v>
      </c>
      <c r="C530" t="s">
        <v>10</v>
      </c>
      <c r="D530" t="s">
        <v>37</v>
      </c>
      <c r="E530" t="s">
        <v>49</v>
      </c>
      <c r="F530">
        <v>140997</v>
      </c>
      <c r="G530">
        <v>7</v>
      </c>
      <c r="H530">
        <v>94992</v>
      </c>
    </row>
    <row r="531" spans="1:8" x14ac:dyDescent="0.3">
      <c r="A531" t="s">
        <v>564</v>
      </c>
      <c r="B531" t="s">
        <v>9</v>
      </c>
      <c r="C531" t="s">
        <v>10</v>
      </c>
      <c r="D531" t="s">
        <v>23</v>
      </c>
      <c r="E531" t="s">
        <v>29</v>
      </c>
      <c r="F531">
        <v>27627</v>
      </c>
      <c r="G531">
        <v>8</v>
      </c>
      <c r="H531">
        <v>19964</v>
      </c>
    </row>
    <row r="532" spans="1:8" x14ac:dyDescent="0.3">
      <c r="A532" t="s">
        <v>565</v>
      </c>
      <c r="B532" t="s">
        <v>48</v>
      </c>
      <c r="C532" t="s">
        <v>15</v>
      </c>
      <c r="D532" t="s">
        <v>11</v>
      </c>
      <c r="E532" t="s">
        <v>32</v>
      </c>
      <c r="F532">
        <v>143238</v>
      </c>
      <c r="G532">
        <v>2</v>
      </c>
      <c r="H532">
        <v>88374</v>
      </c>
    </row>
    <row r="533" spans="1:8" x14ac:dyDescent="0.3">
      <c r="A533" t="s">
        <v>566</v>
      </c>
      <c r="B533" t="s">
        <v>18</v>
      </c>
      <c r="C533" t="s">
        <v>15</v>
      </c>
      <c r="D533" t="s">
        <v>31</v>
      </c>
      <c r="E533" t="s">
        <v>61</v>
      </c>
      <c r="F533">
        <v>46435</v>
      </c>
      <c r="G533">
        <v>2</v>
      </c>
      <c r="H533">
        <v>31869</v>
      </c>
    </row>
    <row r="534" spans="1:8" x14ac:dyDescent="0.3">
      <c r="A534" t="s">
        <v>567</v>
      </c>
      <c r="B534" t="s">
        <v>42</v>
      </c>
      <c r="C534" t="s">
        <v>10</v>
      </c>
      <c r="D534" t="s">
        <v>11</v>
      </c>
      <c r="E534" t="s">
        <v>29</v>
      </c>
      <c r="F534">
        <v>108697</v>
      </c>
      <c r="G534">
        <v>8</v>
      </c>
      <c r="H534">
        <v>67546</v>
      </c>
    </row>
    <row r="535" spans="1:8" x14ac:dyDescent="0.3">
      <c r="A535" t="s">
        <v>568</v>
      </c>
      <c r="B535" t="s">
        <v>48</v>
      </c>
      <c r="C535" t="s">
        <v>15</v>
      </c>
      <c r="D535" t="s">
        <v>11</v>
      </c>
      <c r="E535" t="s">
        <v>61</v>
      </c>
      <c r="F535">
        <v>67645</v>
      </c>
      <c r="G535">
        <v>4</v>
      </c>
      <c r="H535">
        <v>48041</v>
      </c>
    </row>
    <row r="536" spans="1:8" x14ac:dyDescent="0.3">
      <c r="A536" t="s">
        <v>569</v>
      </c>
      <c r="B536" t="s">
        <v>36</v>
      </c>
      <c r="C536" t="s">
        <v>22</v>
      </c>
      <c r="D536" t="s">
        <v>23</v>
      </c>
      <c r="E536" t="s">
        <v>12</v>
      </c>
      <c r="F536">
        <v>43392</v>
      </c>
      <c r="G536">
        <v>1</v>
      </c>
      <c r="H536">
        <v>28453</v>
      </c>
    </row>
    <row r="537" spans="1:8" x14ac:dyDescent="0.3">
      <c r="A537" t="s">
        <v>570</v>
      </c>
      <c r="B537" t="s">
        <v>18</v>
      </c>
      <c r="C537" t="s">
        <v>15</v>
      </c>
      <c r="D537" t="s">
        <v>23</v>
      </c>
      <c r="E537" t="s">
        <v>32</v>
      </c>
      <c r="F537">
        <v>39376</v>
      </c>
      <c r="G537">
        <v>7</v>
      </c>
      <c r="H537">
        <v>26594</v>
      </c>
    </row>
    <row r="538" spans="1:8" x14ac:dyDescent="0.3">
      <c r="A538" t="s">
        <v>571</v>
      </c>
      <c r="B538" t="s">
        <v>18</v>
      </c>
      <c r="C538" t="s">
        <v>15</v>
      </c>
      <c r="D538" t="s">
        <v>37</v>
      </c>
      <c r="E538" t="s">
        <v>12</v>
      </c>
      <c r="F538">
        <v>135014</v>
      </c>
      <c r="G538">
        <v>5</v>
      </c>
      <c r="H538">
        <v>99592</v>
      </c>
    </row>
    <row r="539" spans="1:8" x14ac:dyDescent="0.3">
      <c r="A539" t="s">
        <v>572</v>
      </c>
      <c r="B539" t="s">
        <v>18</v>
      </c>
      <c r="C539" t="s">
        <v>15</v>
      </c>
      <c r="D539" t="s">
        <v>11</v>
      </c>
      <c r="E539" t="s">
        <v>49</v>
      </c>
      <c r="F539">
        <v>113099</v>
      </c>
      <c r="G539">
        <v>11</v>
      </c>
      <c r="H539">
        <v>83420</v>
      </c>
    </row>
    <row r="540" spans="1:8" x14ac:dyDescent="0.3">
      <c r="A540" t="s">
        <v>573</v>
      </c>
      <c r="B540" t="s">
        <v>42</v>
      </c>
      <c r="C540" t="s">
        <v>10</v>
      </c>
      <c r="D540" t="s">
        <v>31</v>
      </c>
      <c r="E540" t="s">
        <v>29</v>
      </c>
      <c r="F540">
        <v>107500</v>
      </c>
      <c r="G540">
        <v>15</v>
      </c>
      <c r="H540">
        <v>79986</v>
      </c>
    </row>
    <row r="541" spans="1:8" x14ac:dyDescent="0.3">
      <c r="A541" t="s">
        <v>574</v>
      </c>
      <c r="B541" t="s">
        <v>21</v>
      </c>
      <c r="C541" t="s">
        <v>22</v>
      </c>
      <c r="D541" t="s">
        <v>11</v>
      </c>
      <c r="E541" t="s">
        <v>12</v>
      </c>
      <c r="F541">
        <v>149616</v>
      </c>
      <c r="G541">
        <v>12</v>
      </c>
      <c r="H541">
        <v>102451</v>
      </c>
    </row>
    <row r="542" spans="1:8" x14ac:dyDescent="0.3">
      <c r="A542" t="s">
        <v>575</v>
      </c>
      <c r="B542" t="s">
        <v>36</v>
      </c>
      <c r="C542" t="s">
        <v>22</v>
      </c>
      <c r="D542" t="s">
        <v>11</v>
      </c>
      <c r="E542" t="s">
        <v>24</v>
      </c>
      <c r="F542">
        <v>112783</v>
      </c>
      <c r="G542">
        <v>12</v>
      </c>
      <c r="H542">
        <v>72568</v>
      </c>
    </row>
    <row r="543" spans="1:8" x14ac:dyDescent="0.3">
      <c r="A543" t="s">
        <v>576</v>
      </c>
      <c r="B543" t="s">
        <v>18</v>
      </c>
      <c r="C543" t="s">
        <v>15</v>
      </c>
      <c r="D543" t="s">
        <v>37</v>
      </c>
      <c r="E543" t="s">
        <v>27</v>
      </c>
      <c r="F543">
        <v>15782</v>
      </c>
      <c r="G543">
        <v>5</v>
      </c>
      <c r="H543">
        <v>10020</v>
      </c>
    </row>
    <row r="544" spans="1:8" x14ac:dyDescent="0.3">
      <c r="A544" t="s">
        <v>577</v>
      </c>
      <c r="B544" t="s">
        <v>48</v>
      </c>
      <c r="C544" t="s">
        <v>15</v>
      </c>
      <c r="D544" t="s">
        <v>37</v>
      </c>
      <c r="E544" t="s">
        <v>12</v>
      </c>
      <c r="F544">
        <v>22195</v>
      </c>
      <c r="G544">
        <v>1</v>
      </c>
      <c r="H544">
        <v>15550</v>
      </c>
    </row>
    <row r="545" spans="1:8" x14ac:dyDescent="0.3">
      <c r="A545" t="s">
        <v>578</v>
      </c>
      <c r="B545" t="s">
        <v>42</v>
      </c>
      <c r="C545" t="s">
        <v>10</v>
      </c>
      <c r="D545" t="s">
        <v>23</v>
      </c>
      <c r="E545" t="s">
        <v>49</v>
      </c>
      <c r="F545">
        <v>128068</v>
      </c>
      <c r="G545">
        <v>10</v>
      </c>
      <c r="H545">
        <v>92824</v>
      </c>
    </row>
    <row r="546" spans="1:8" x14ac:dyDescent="0.3">
      <c r="A546" t="s">
        <v>579</v>
      </c>
      <c r="B546" t="s">
        <v>36</v>
      </c>
      <c r="C546" t="s">
        <v>22</v>
      </c>
      <c r="D546" t="s">
        <v>37</v>
      </c>
      <c r="E546" t="s">
        <v>29</v>
      </c>
      <c r="F546">
        <v>87761</v>
      </c>
      <c r="G546">
        <v>2</v>
      </c>
      <c r="H546">
        <v>55800</v>
      </c>
    </row>
    <row r="547" spans="1:8" x14ac:dyDescent="0.3">
      <c r="A547" t="s">
        <v>580</v>
      </c>
      <c r="B547" t="s">
        <v>14</v>
      </c>
      <c r="C547" t="s">
        <v>15</v>
      </c>
      <c r="D547" t="s">
        <v>11</v>
      </c>
      <c r="E547" t="s">
        <v>34</v>
      </c>
      <c r="F547">
        <v>108457</v>
      </c>
      <c r="G547">
        <v>10</v>
      </c>
      <c r="H547">
        <v>80667</v>
      </c>
    </row>
    <row r="548" spans="1:8" x14ac:dyDescent="0.3">
      <c r="A548" t="s">
        <v>581</v>
      </c>
      <c r="B548" t="s">
        <v>48</v>
      </c>
      <c r="C548" t="s">
        <v>15</v>
      </c>
      <c r="D548" t="s">
        <v>11</v>
      </c>
      <c r="E548" t="s">
        <v>27</v>
      </c>
      <c r="F548">
        <v>77263</v>
      </c>
      <c r="G548">
        <v>3</v>
      </c>
      <c r="H548">
        <v>50590</v>
      </c>
    </row>
    <row r="549" spans="1:8" x14ac:dyDescent="0.3">
      <c r="A549" t="s">
        <v>582</v>
      </c>
      <c r="B549" t="s">
        <v>40</v>
      </c>
      <c r="C549" t="s">
        <v>10</v>
      </c>
      <c r="D549" t="s">
        <v>11</v>
      </c>
      <c r="E549" t="s">
        <v>24</v>
      </c>
      <c r="F549">
        <v>33713</v>
      </c>
      <c r="G549">
        <v>1</v>
      </c>
      <c r="H549">
        <v>23874</v>
      </c>
    </row>
    <row r="550" spans="1:8" x14ac:dyDescent="0.3">
      <c r="A550" t="s">
        <v>583</v>
      </c>
      <c r="B550" t="s">
        <v>40</v>
      </c>
      <c r="C550" t="s">
        <v>10</v>
      </c>
      <c r="D550" t="s">
        <v>11</v>
      </c>
      <c r="E550" t="s">
        <v>46</v>
      </c>
      <c r="F550">
        <v>112410</v>
      </c>
      <c r="G550">
        <v>9</v>
      </c>
      <c r="H550">
        <v>71805</v>
      </c>
    </row>
    <row r="551" spans="1:8" x14ac:dyDescent="0.3">
      <c r="A551" t="s">
        <v>584</v>
      </c>
      <c r="B551" t="s">
        <v>40</v>
      </c>
      <c r="C551" t="s">
        <v>10</v>
      </c>
      <c r="D551" t="s">
        <v>11</v>
      </c>
      <c r="E551" t="s">
        <v>32</v>
      </c>
      <c r="F551">
        <v>62719</v>
      </c>
      <c r="G551">
        <v>14</v>
      </c>
      <c r="H551">
        <v>44841</v>
      </c>
    </row>
    <row r="552" spans="1:8" x14ac:dyDescent="0.3">
      <c r="A552" t="s">
        <v>585</v>
      </c>
      <c r="B552" t="s">
        <v>48</v>
      </c>
      <c r="C552" t="s">
        <v>15</v>
      </c>
      <c r="D552" t="s">
        <v>23</v>
      </c>
      <c r="E552" t="s">
        <v>24</v>
      </c>
      <c r="F552">
        <v>62084</v>
      </c>
      <c r="G552">
        <v>12</v>
      </c>
      <c r="H552">
        <v>45147</v>
      </c>
    </row>
    <row r="553" spans="1:8" x14ac:dyDescent="0.3">
      <c r="A553" t="s">
        <v>586</v>
      </c>
      <c r="B553" t="s">
        <v>18</v>
      </c>
      <c r="C553" t="s">
        <v>15</v>
      </c>
      <c r="D553" t="s">
        <v>37</v>
      </c>
      <c r="E553" t="s">
        <v>49</v>
      </c>
      <c r="F553">
        <v>111272</v>
      </c>
      <c r="G553">
        <v>10</v>
      </c>
      <c r="H553">
        <v>80418</v>
      </c>
    </row>
    <row r="554" spans="1:8" x14ac:dyDescent="0.3">
      <c r="A554" t="s">
        <v>587</v>
      </c>
      <c r="B554" t="s">
        <v>40</v>
      </c>
      <c r="C554" t="s">
        <v>10</v>
      </c>
      <c r="D554" t="s">
        <v>11</v>
      </c>
      <c r="E554" t="s">
        <v>12</v>
      </c>
      <c r="F554">
        <v>79433</v>
      </c>
      <c r="G554">
        <v>10</v>
      </c>
      <c r="H554">
        <v>47701</v>
      </c>
    </row>
    <row r="555" spans="1:8" x14ac:dyDescent="0.3">
      <c r="A555" t="s">
        <v>588</v>
      </c>
      <c r="B555" t="s">
        <v>36</v>
      </c>
      <c r="C555" t="s">
        <v>22</v>
      </c>
      <c r="D555" t="s">
        <v>31</v>
      </c>
      <c r="E555" t="s">
        <v>49</v>
      </c>
      <c r="F555">
        <v>127321</v>
      </c>
      <c r="G555">
        <v>1</v>
      </c>
      <c r="H555">
        <v>94386</v>
      </c>
    </row>
    <row r="556" spans="1:8" x14ac:dyDescent="0.3">
      <c r="A556" t="s">
        <v>589</v>
      </c>
      <c r="B556" t="s">
        <v>42</v>
      </c>
      <c r="C556" t="s">
        <v>10</v>
      </c>
      <c r="D556" t="s">
        <v>37</v>
      </c>
      <c r="E556" t="s">
        <v>43</v>
      </c>
      <c r="F556">
        <v>77597</v>
      </c>
      <c r="G556">
        <v>4</v>
      </c>
      <c r="H556">
        <v>53394</v>
      </c>
    </row>
    <row r="557" spans="1:8" x14ac:dyDescent="0.3">
      <c r="A557" t="s">
        <v>590</v>
      </c>
      <c r="B557" t="s">
        <v>42</v>
      </c>
      <c r="C557" t="s">
        <v>10</v>
      </c>
      <c r="D557" t="s">
        <v>31</v>
      </c>
      <c r="E557" t="s">
        <v>34</v>
      </c>
      <c r="F557">
        <v>135832</v>
      </c>
      <c r="G557">
        <v>2</v>
      </c>
      <c r="H557">
        <v>85715</v>
      </c>
    </row>
    <row r="558" spans="1:8" x14ac:dyDescent="0.3">
      <c r="A558" t="s">
        <v>591</v>
      </c>
      <c r="B558" t="s">
        <v>18</v>
      </c>
      <c r="C558" t="s">
        <v>15</v>
      </c>
      <c r="D558" t="s">
        <v>23</v>
      </c>
      <c r="E558" t="s">
        <v>27</v>
      </c>
      <c r="F558">
        <v>102217</v>
      </c>
      <c r="G558">
        <v>11</v>
      </c>
      <c r="H558">
        <v>75754</v>
      </c>
    </row>
    <row r="559" spans="1:8" x14ac:dyDescent="0.3">
      <c r="A559" t="s">
        <v>592</v>
      </c>
      <c r="B559" t="s">
        <v>40</v>
      </c>
      <c r="C559" t="s">
        <v>10</v>
      </c>
      <c r="D559" t="s">
        <v>31</v>
      </c>
      <c r="E559" t="s">
        <v>27</v>
      </c>
      <c r="F559">
        <v>96979</v>
      </c>
      <c r="G559">
        <v>3</v>
      </c>
      <c r="H559">
        <v>72242</v>
      </c>
    </row>
    <row r="560" spans="1:8" x14ac:dyDescent="0.3">
      <c r="A560" t="s">
        <v>593</v>
      </c>
      <c r="B560" t="s">
        <v>9</v>
      </c>
      <c r="C560" t="s">
        <v>10</v>
      </c>
      <c r="D560" t="s">
        <v>11</v>
      </c>
      <c r="E560" t="s">
        <v>46</v>
      </c>
      <c r="F560">
        <v>60978</v>
      </c>
      <c r="G560">
        <v>14</v>
      </c>
      <c r="H560">
        <v>37756</v>
      </c>
    </row>
    <row r="561" spans="1:8" x14ac:dyDescent="0.3">
      <c r="A561" t="s">
        <v>594</v>
      </c>
      <c r="B561" t="s">
        <v>14</v>
      </c>
      <c r="C561" t="s">
        <v>15</v>
      </c>
      <c r="D561" t="s">
        <v>37</v>
      </c>
      <c r="E561" t="s">
        <v>12</v>
      </c>
      <c r="F561">
        <v>132737</v>
      </c>
      <c r="G561">
        <v>10</v>
      </c>
      <c r="H561">
        <v>83654</v>
      </c>
    </row>
    <row r="562" spans="1:8" x14ac:dyDescent="0.3">
      <c r="A562" t="s">
        <v>595</v>
      </c>
      <c r="B562" t="s">
        <v>40</v>
      </c>
      <c r="C562" t="s">
        <v>10</v>
      </c>
      <c r="D562" t="s">
        <v>11</v>
      </c>
      <c r="E562" t="s">
        <v>46</v>
      </c>
      <c r="F562">
        <v>56237</v>
      </c>
      <c r="G562">
        <v>15</v>
      </c>
      <c r="H562">
        <v>35931</v>
      </c>
    </row>
    <row r="563" spans="1:8" x14ac:dyDescent="0.3">
      <c r="A563" t="s">
        <v>596</v>
      </c>
      <c r="B563" t="s">
        <v>21</v>
      </c>
      <c r="C563" t="s">
        <v>22</v>
      </c>
      <c r="D563" t="s">
        <v>31</v>
      </c>
      <c r="E563" t="s">
        <v>16</v>
      </c>
      <c r="F563">
        <v>54484</v>
      </c>
      <c r="G563">
        <v>13</v>
      </c>
      <c r="H563">
        <v>39715</v>
      </c>
    </row>
    <row r="564" spans="1:8" x14ac:dyDescent="0.3">
      <c r="A564" t="s">
        <v>597</v>
      </c>
      <c r="B564" t="s">
        <v>48</v>
      </c>
      <c r="C564" t="s">
        <v>15</v>
      </c>
      <c r="D564" t="s">
        <v>37</v>
      </c>
      <c r="E564" t="s">
        <v>16</v>
      </c>
      <c r="F564">
        <v>58813</v>
      </c>
      <c r="G564">
        <v>2</v>
      </c>
      <c r="H564">
        <v>43802</v>
      </c>
    </row>
    <row r="565" spans="1:8" x14ac:dyDescent="0.3">
      <c r="A565" t="s">
        <v>598</v>
      </c>
      <c r="B565" t="s">
        <v>18</v>
      </c>
      <c r="C565" t="s">
        <v>15</v>
      </c>
      <c r="D565" t="s">
        <v>37</v>
      </c>
      <c r="E565" t="s">
        <v>16</v>
      </c>
      <c r="F565">
        <v>109601</v>
      </c>
      <c r="G565">
        <v>3</v>
      </c>
      <c r="H565">
        <v>81967</v>
      </c>
    </row>
    <row r="566" spans="1:8" x14ac:dyDescent="0.3">
      <c r="A566" t="s">
        <v>599</v>
      </c>
      <c r="B566" t="s">
        <v>36</v>
      </c>
      <c r="C566" t="s">
        <v>22</v>
      </c>
      <c r="D566" t="s">
        <v>11</v>
      </c>
      <c r="E566" t="s">
        <v>43</v>
      </c>
      <c r="F566">
        <v>86920</v>
      </c>
      <c r="G566">
        <v>6</v>
      </c>
      <c r="H566">
        <v>55085</v>
      </c>
    </row>
    <row r="567" spans="1:8" x14ac:dyDescent="0.3">
      <c r="A567" t="s">
        <v>600</v>
      </c>
      <c r="B567" t="s">
        <v>48</v>
      </c>
      <c r="C567" t="s">
        <v>15</v>
      </c>
      <c r="D567" t="s">
        <v>23</v>
      </c>
      <c r="E567" t="s">
        <v>16</v>
      </c>
      <c r="F567">
        <v>39691</v>
      </c>
      <c r="G567">
        <v>1</v>
      </c>
      <c r="H567">
        <v>29305</v>
      </c>
    </row>
    <row r="568" spans="1:8" x14ac:dyDescent="0.3">
      <c r="A568" t="s">
        <v>601</v>
      </c>
      <c r="B568" t="s">
        <v>21</v>
      </c>
      <c r="C568" t="s">
        <v>22</v>
      </c>
      <c r="D568" t="s">
        <v>23</v>
      </c>
      <c r="E568" t="s">
        <v>43</v>
      </c>
      <c r="F568">
        <v>144490</v>
      </c>
      <c r="G568">
        <v>6</v>
      </c>
      <c r="H568">
        <v>88183</v>
      </c>
    </row>
    <row r="569" spans="1:8" x14ac:dyDescent="0.3">
      <c r="A569" t="s">
        <v>602</v>
      </c>
      <c r="B569" t="s">
        <v>21</v>
      </c>
      <c r="C569" t="s">
        <v>22</v>
      </c>
      <c r="D569" t="s">
        <v>23</v>
      </c>
      <c r="E569" t="s">
        <v>49</v>
      </c>
      <c r="F569">
        <v>77368</v>
      </c>
      <c r="G569">
        <v>10</v>
      </c>
      <c r="H569">
        <v>46594</v>
      </c>
    </row>
    <row r="570" spans="1:8" x14ac:dyDescent="0.3">
      <c r="A570" t="s">
        <v>603</v>
      </c>
      <c r="B570" t="s">
        <v>9</v>
      </c>
      <c r="C570" t="s">
        <v>10</v>
      </c>
      <c r="D570" t="s">
        <v>31</v>
      </c>
      <c r="E570" t="s">
        <v>32</v>
      </c>
      <c r="F570">
        <v>97957</v>
      </c>
      <c r="G570">
        <v>14</v>
      </c>
      <c r="H570">
        <v>61185</v>
      </c>
    </row>
    <row r="571" spans="1:8" x14ac:dyDescent="0.3">
      <c r="A571" t="s">
        <v>604</v>
      </c>
      <c r="B571" t="s">
        <v>9</v>
      </c>
      <c r="C571" t="s">
        <v>10</v>
      </c>
      <c r="D571" t="s">
        <v>31</v>
      </c>
      <c r="E571" t="s">
        <v>49</v>
      </c>
      <c r="F571">
        <v>16658</v>
      </c>
      <c r="G571">
        <v>12</v>
      </c>
      <c r="H571">
        <v>10042</v>
      </c>
    </row>
    <row r="572" spans="1:8" x14ac:dyDescent="0.3">
      <c r="A572" t="s">
        <v>605</v>
      </c>
      <c r="B572" t="s">
        <v>21</v>
      </c>
      <c r="C572" t="s">
        <v>22</v>
      </c>
      <c r="D572" t="s">
        <v>31</v>
      </c>
      <c r="E572" t="s">
        <v>32</v>
      </c>
      <c r="F572">
        <v>35785</v>
      </c>
      <c r="G572">
        <v>5</v>
      </c>
      <c r="H572">
        <v>23602</v>
      </c>
    </row>
    <row r="573" spans="1:8" x14ac:dyDescent="0.3">
      <c r="A573" t="s">
        <v>606</v>
      </c>
      <c r="B573" t="s">
        <v>40</v>
      </c>
      <c r="C573" t="s">
        <v>10</v>
      </c>
      <c r="D573" t="s">
        <v>11</v>
      </c>
      <c r="E573" t="s">
        <v>19</v>
      </c>
      <c r="F573">
        <v>93118</v>
      </c>
      <c r="G573">
        <v>15</v>
      </c>
      <c r="H573">
        <v>68973</v>
      </c>
    </row>
    <row r="574" spans="1:8" x14ac:dyDescent="0.3">
      <c r="A574" t="s">
        <v>607</v>
      </c>
      <c r="B574" t="s">
        <v>14</v>
      </c>
      <c r="C574" t="s">
        <v>15</v>
      </c>
      <c r="D574" t="s">
        <v>11</v>
      </c>
      <c r="E574" t="s">
        <v>34</v>
      </c>
      <c r="F574">
        <v>23680</v>
      </c>
      <c r="G574">
        <v>9</v>
      </c>
      <c r="H574">
        <v>17243</v>
      </c>
    </row>
    <row r="575" spans="1:8" x14ac:dyDescent="0.3">
      <c r="A575" t="s">
        <v>608</v>
      </c>
      <c r="B575" t="s">
        <v>14</v>
      </c>
      <c r="C575" t="s">
        <v>15</v>
      </c>
      <c r="D575" t="s">
        <v>11</v>
      </c>
      <c r="E575" t="s">
        <v>46</v>
      </c>
      <c r="F575">
        <v>62760</v>
      </c>
      <c r="G575">
        <v>7</v>
      </c>
      <c r="H575">
        <v>40131</v>
      </c>
    </row>
    <row r="576" spans="1:8" x14ac:dyDescent="0.3">
      <c r="A576" t="s">
        <v>609</v>
      </c>
      <c r="B576" t="s">
        <v>48</v>
      </c>
      <c r="C576" t="s">
        <v>15</v>
      </c>
      <c r="D576" t="s">
        <v>23</v>
      </c>
      <c r="E576" t="s">
        <v>16</v>
      </c>
      <c r="F576">
        <v>62852</v>
      </c>
      <c r="G576">
        <v>13</v>
      </c>
      <c r="H576">
        <v>45832</v>
      </c>
    </row>
    <row r="577" spans="1:8" x14ac:dyDescent="0.3">
      <c r="A577" t="s">
        <v>610</v>
      </c>
      <c r="B577" t="s">
        <v>18</v>
      </c>
      <c r="C577" t="s">
        <v>15</v>
      </c>
      <c r="D577" t="s">
        <v>11</v>
      </c>
      <c r="E577" t="s">
        <v>12</v>
      </c>
      <c r="F577">
        <v>75080</v>
      </c>
      <c r="G577">
        <v>10</v>
      </c>
      <c r="H577">
        <v>46746</v>
      </c>
    </row>
    <row r="578" spans="1:8" x14ac:dyDescent="0.3">
      <c r="A578" t="s">
        <v>611</v>
      </c>
      <c r="B578" t="s">
        <v>48</v>
      </c>
      <c r="C578" t="s">
        <v>15</v>
      </c>
      <c r="D578" t="s">
        <v>11</v>
      </c>
      <c r="E578" t="s">
        <v>46</v>
      </c>
      <c r="F578">
        <v>111469</v>
      </c>
      <c r="G578">
        <v>1</v>
      </c>
      <c r="H578">
        <v>76990</v>
      </c>
    </row>
    <row r="579" spans="1:8" x14ac:dyDescent="0.3">
      <c r="A579" t="s">
        <v>612</v>
      </c>
      <c r="B579" t="s">
        <v>36</v>
      </c>
      <c r="C579" t="s">
        <v>22</v>
      </c>
      <c r="D579" t="s">
        <v>11</v>
      </c>
      <c r="E579" t="s">
        <v>61</v>
      </c>
      <c r="F579">
        <v>47048</v>
      </c>
      <c r="G579">
        <v>15</v>
      </c>
      <c r="H579">
        <v>35171</v>
      </c>
    </row>
    <row r="580" spans="1:8" x14ac:dyDescent="0.3">
      <c r="A580" t="s">
        <v>613</v>
      </c>
      <c r="B580" t="s">
        <v>48</v>
      </c>
      <c r="C580" t="s">
        <v>15</v>
      </c>
      <c r="D580" t="s">
        <v>11</v>
      </c>
      <c r="E580" t="s">
        <v>24</v>
      </c>
      <c r="F580">
        <v>8685</v>
      </c>
      <c r="G580">
        <v>10</v>
      </c>
      <c r="H580">
        <v>5262</v>
      </c>
    </row>
    <row r="581" spans="1:8" x14ac:dyDescent="0.3">
      <c r="A581" t="s">
        <v>614</v>
      </c>
      <c r="B581" t="s">
        <v>9</v>
      </c>
      <c r="C581" t="s">
        <v>10</v>
      </c>
      <c r="D581" t="s">
        <v>23</v>
      </c>
      <c r="E581" t="s">
        <v>12</v>
      </c>
      <c r="F581">
        <v>136384</v>
      </c>
      <c r="G581">
        <v>4</v>
      </c>
      <c r="H581">
        <v>96637</v>
      </c>
    </row>
    <row r="582" spans="1:8" x14ac:dyDescent="0.3">
      <c r="A582" t="s">
        <v>615</v>
      </c>
      <c r="B582" t="s">
        <v>48</v>
      </c>
      <c r="C582" t="s">
        <v>15</v>
      </c>
      <c r="D582" t="s">
        <v>31</v>
      </c>
      <c r="E582" t="s">
        <v>46</v>
      </c>
      <c r="F582">
        <v>148457</v>
      </c>
      <c r="G582">
        <v>6</v>
      </c>
      <c r="H582">
        <v>94057</v>
      </c>
    </row>
    <row r="583" spans="1:8" x14ac:dyDescent="0.3">
      <c r="A583" t="s">
        <v>616</v>
      </c>
      <c r="B583" t="s">
        <v>42</v>
      </c>
      <c r="C583" t="s">
        <v>10</v>
      </c>
      <c r="D583" t="s">
        <v>37</v>
      </c>
      <c r="E583" t="s">
        <v>16</v>
      </c>
      <c r="F583">
        <v>65970</v>
      </c>
      <c r="G583">
        <v>13</v>
      </c>
      <c r="H583">
        <v>48905</v>
      </c>
    </row>
    <row r="584" spans="1:8" x14ac:dyDescent="0.3">
      <c r="A584" t="s">
        <v>617</v>
      </c>
      <c r="B584" t="s">
        <v>14</v>
      </c>
      <c r="C584" t="s">
        <v>15</v>
      </c>
      <c r="D584" t="s">
        <v>11</v>
      </c>
      <c r="E584" t="s">
        <v>16</v>
      </c>
      <c r="F584">
        <v>48468</v>
      </c>
      <c r="G584">
        <v>5</v>
      </c>
      <c r="H584">
        <v>33694</v>
      </c>
    </row>
    <row r="585" spans="1:8" x14ac:dyDescent="0.3">
      <c r="A585" t="s">
        <v>618</v>
      </c>
      <c r="B585" t="s">
        <v>48</v>
      </c>
      <c r="C585" t="s">
        <v>15</v>
      </c>
      <c r="D585" t="s">
        <v>31</v>
      </c>
      <c r="E585" t="s">
        <v>24</v>
      </c>
      <c r="F585">
        <v>131443</v>
      </c>
      <c r="G585">
        <v>15</v>
      </c>
      <c r="H585">
        <v>94840</v>
      </c>
    </row>
    <row r="586" spans="1:8" x14ac:dyDescent="0.3">
      <c r="A586" t="s">
        <v>619</v>
      </c>
      <c r="B586" t="s">
        <v>48</v>
      </c>
      <c r="C586" t="s">
        <v>15</v>
      </c>
      <c r="D586" t="s">
        <v>31</v>
      </c>
      <c r="E586" t="s">
        <v>43</v>
      </c>
      <c r="F586">
        <v>127887</v>
      </c>
      <c r="G586">
        <v>7</v>
      </c>
      <c r="H586">
        <v>82380</v>
      </c>
    </row>
    <row r="587" spans="1:8" x14ac:dyDescent="0.3">
      <c r="A587" t="s">
        <v>620</v>
      </c>
      <c r="B587" t="s">
        <v>42</v>
      </c>
      <c r="C587" t="s">
        <v>10</v>
      </c>
      <c r="D587" t="s">
        <v>31</v>
      </c>
      <c r="E587" t="s">
        <v>49</v>
      </c>
      <c r="F587">
        <v>114482</v>
      </c>
      <c r="G587">
        <v>13</v>
      </c>
      <c r="H587">
        <v>74287</v>
      </c>
    </row>
    <row r="588" spans="1:8" x14ac:dyDescent="0.3">
      <c r="A588" t="s">
        <v>621</v>
      </c>
      <c r="B588" t="s">
        <v>18</v>
      </c>
      <c r="C588" t="s">
        <v>15</v>
      </c>
      <c r="D588" t="s">
        <v>37</v>
      </c>
      <c r="E588" t="s">
        <v>24</v>
      </c>
      <c r="F588">
        <v>135306</v>
      </c>
      <c r="G588">
        <v>5</v>
      </c>
      <c r="H588">
        <v>94028</v>
      </c>
    </row>
    <row r="589" spans="1:8" x14ac:dyDescent="0.3">
      <c r="A589" t="s">
        <v>622</v>
      </c>
      <c r="B589" t="s">
        <v>48</v>
      </c>
      <c r="C589" t="s">
        <v>15</v>
      </c>
      <c r="D589" t="s">
        <v>23</v>
      </c>
      <c r="E589" t="s">
        <v>19</v>
      </c>
      <c r="F589">
        <v>141323</v>
      </c>
      <c r="G589">
        <v>11</v>
      </c>
      <c r="H589">
        <v>87889</v>
      </c>
    </row>
    <row r="590" spans="1:8" x14ac:dyDescent="0.3">
      <c r="A590" t="s">
        <v>623</v>
      </c>
      <c r="B590" t="s">
        <v>14</v>
      </c>
      <c r="C590" t="s">
        <v>15</v>
      </c>
      <c r="D590" t="s">
        <v>11</v>
      </c>
      <c r="E590" t="s">
        <v>61</v>
      </c>
      <c r="F590">
        <v>7059</v>
      </c>
      <c r="G590">
        <v>2</v>
      </c>
      <c r="H590">
        <v>4902</v>
      </c>
    </row>
    <row r="591" spans="1:8" x14ac:dyDescent="0.3">
      <c r="A591" t="s">
        <v>624</v>
      </c>
      <c r="B591" t="s">
        <v>40</v>
      </c>
      <c r="C591" t="s">
        <v>10</v>
      </c>
      <c r="D591" t="s">
        <v>31</v>
      </c>
      <c r="E591" t="s">
        <v>49</v>
      </c>
      <c r="F591">
        <v>64106</v>
      </c>
      <c r="G591">
        <v>2</v>
      </c>
      <c r="H591">
        <v>42493</v>
      </c>
    </row>
    <row r="592" spans="1:8" x14ac:dyDescent="0.3">
      <c r="A592" t="s">
        <v>625</v>
      </c>
      <c r="B592" t="s">
        <v>36</v>
      </c>
      <c r="C592" t="s">
        <v>22</v>
      </c>
      <c r="D592" t="s">
        <v>11</v>
      </c>
      <c r="E592" t="s">
        <v>34</v>
      </c>
      <c r="F592">
        <v>38125</v>
      </c>
      <c r="G592">
        <v>15</v>
      </c>
      <c r="H592">
        <v>24921</v>
      </c>
    </row>
    <row r="593" spans="1:8" x14ac:dyDescent="0.3">
      <c r="A593" t="s">
        <v>626</v>
      </c>
      <c r="B593" t="s">
        <v>21</v>
      </c>
      <c r="C593" t="s">
        <v>22</v>
      </c>
      <c r="D593" t="s">
        <v>11</v>
      </c>
      <c r="E593" t="s">
        <v>34</v>
      </c>
      <c r="F593">
        <v>32329</v>
      </c>
      <c r="G593">
        <v>14</v>
      </c>
      <c r="H593">
        <v>23939</v>
      </c>
    </row>
    <row r="594" spans="1:8" x14ac:dyDescent="0.3">
      <c r="A594" t="s">
        <v>627</v>
      </c>
      <c r="B594" t="s">
        <v>36</v>
      </c>
      <c r="C594" t="s">
        <v>22</v>
      </c>
      <c r="D594" t="s">
        <v>11</v>
      </c>
      <c r="E594" t="s">
        <v>24</v>
      </c>
      <c r="F594">
        <v>108469</v>
      </c>
      <c r="G594">
        <v>10</v>
      </c>
      <c r="H594">
        <v>71899</v>
      </c>
    </row>
    <row r="595" spans="1:8" x14ac:dyDescent="0.3">
      <c r="A595" t="s">
        <v>628</v>
      </c>
      <c r="B595" t="s">
        <v>21</v>
      </c>
      <c r="C595" t="s">
        <v>22</v>
      </c>
      <c r="D595" t="s">
        <v>23</v>
      </c>
      <c r="E595" t="s">
        <v>43</v>
      </c>
      <c r="F595">
        <v>134901</v>
      </c>
      <c r="G595">
        <v>7</v>
      </c>
      <c r="H595">
        <v>85562</v>
      </c>
    </row>
    <row r="596" spans="1:8" x14ac:dyDescent="0.3">
      <c r="A596" t="s">
        <v>629</v>
      </c>
      <c r="B596" t="s">
        <v>18</v>
      </c>
      <c r="C596" t="s">
        <v>15</v>
      </c>
      <c r="D596" t="s">
        <v>31</v>
      </c>
      <c r="E596" t="s">
        <v>46</v>
      </c>
      <c r="F596">
        <v>121242</v>
      </c>
      <c r="G596">
        <v>15</v>
      </c>
      <c r="H596">
        <v>75849</v>
      </c>
    </row>
    <row r="597" spans="1:8" x14ac:dyDescent="0.3">
      <c r="A597" t="s">
        <v>630</v>
      </c>
      <c r="B597" t="s">
        <v>36</v>
      </c>
      <c r="C597" t="s">
        <v>22</v>
      </c>
      <c r="D597" t="s">
        <v>23</v>
      </c>
      <c r="E597" t="s">
        <v>49</v>
      </c>
      <c r="F597">
        <v>110953</v>
      </c>
      <c r="G597">
        <v>11</v>
      </c>
      <c r="H597">
        <v>74371</v>
      </c>
    </row>
    <row r="598" spans="1:8" x14ac:dyDescent="0.3">
      <c r="A598" t="s">
        <v>631</v>
      </c>
      <c r="B598" t="s">
        <v>18</v>
      </c>
      <c r="C598" t="s">
        <v>15</v>
      </c>
      <c r="D598" t="s">
        <v>31</v>
      </c>
      <c r="E598" t="s">
        <v>46</v>
      </c>
      <c r="F598">
        <v>53479</v>
      </c>
      <c r="G598">
        <v>2</v>
      </c>
      <c r="H598">
        <v>39925</v>
      </c>
    </row>
    <row r="599" spans="1:8" x14ac:dyDescent="0.3">
      <c r="A599" t="s">
        <v>632</v>
      </c>
      <c r="B599" t="s">
        <v>18</v>
      </c>
      <c r="C599" t="s">
        <v>15</v>
      </c>
      <c r="D599" t="s">
        <v>31</v>
      </c>
      <c r="E599" t="s">
        <v>29</v>
      </c>
      <c r="F599">
        <v>36003</v>
      </c>
      <c r="G599">
        <v>8</v>
      </c>
      <c r="H599">
        <v>21712</v>
      </c>
    </row>
    <row r="600" spans="1:8" x14ac:dyDescent="0.3">
      <c r="A600" t="s">
        <v>633</v>
      </c>
      <c r="B600" t="s">
        <v>40</v>
      </c>
      <c r="C600" t="s">
        <v>10</v>
      </c>
      <c r="D600" t="s">
        <v>37</v>
      </c>
      <c r="E600" t="s">
        <v>19</v>
      </c>
      <c r="F600">
        <v>14007</v>
      </c>
      <c r="G600">
        <v>5</v>
      </c>
      <c r="H600">
        <v>9282</v>
      </c>
    </row>
    <row r="601" spans="1:8" x14ac:dyDescent="0.3">
      <c r="A601" t="s">
        <v>634</v>
      </c>
      <c r="B601" t="s">
        <v>40</v>
      </c>
      <c r="C601" t="s">
        <v>10</v>
      </c>
      <c r="D601" t="s">
        <v>23</v>
      </c>
      <c r="E601" t="s">
        <v>32</v>
      </c>
      <c r="F601">
        <v>16887</v>
      </c>
      <c r="G601">
        <v>9</v>
      </c>
      <c r="H601">
        <v>11204</v>
      </c>
    </row>
    <row r="602" spans="1:8" x14ac:dyDescent="0.3">
      <c r="A602" t="s">
        <v>635</v>
      </c>
      <c r="B602" t="s">
        <v>40</v>
      </c>
      <c r="C602" t="s">
        <v>10</v>
      </c>
      <c r="D602" t="s">
        <v>31</v>
      </c>
      <c r="E602" t="s">
        <v>12</v>
      </c>
      <c r="F602">
        <v>58816</v>
      </c>
      <c r="G602">
        <v>10</v>
      </c>
      <c r="H602">
        <v>39563</v>
      </c>
    </row>
    <row r="603" spans="1:8" x14ac:dyDescent="0.3">
      <c r="A603" t="s">
        <v>636</v>
      </c>
      <c r="B603" t="s">
        <v>40</v>
      </c>
      <c r="C603" t="s">
        <v>10</v>
      </c>
      <c r="D603" t="s">
        <v>31</v>
      </c>
      <c r="E603" t="s">
        <v>46</v>
      </c>
      <c r="F603">
        <v>106975</v>
      </c>
      <c r="G603">
        <v>7</v>
      </c>
      <c r="H603">
        <v>68053</v>
      </c>
    </row>
    <row r="604" spans="1:8" x14ac:dyDescent="0.3">
      <c r="A604" t="s">
        <v>637</v>
      </c>
      <c r="B604" t="s">
        <v>9</v>
      </c>
      <c r="C604" t="s">
        <v>10</v>
      </c>
      <c r="D604" t="s">
        <v>23</v>
      </c>
      <c r="E604" t="s">
        <v>12</v>
      </c>
      <c r="F604">
        <v>139939</v>
      </c>
      <c r="G604">
        <v>5</v>
      </c>
      <c r="H604">
        <v>95664</v>
      </c>
    </row>
    <row r="605" spans="1:8" x14ac:dyDescent="0.3">
      <c r="A605" t="s">
        <v>638</v>
      </c>
      <c r="B605" t="s">
        <v>40</v>
      </c>
      <c r="C605" t="s">
        <v>10</v>
      </c>
      <c r="D605" t="s">
        <v>23</v>
      </c>
      <c r="E605" t="s">
        <v>19</v>
      </c>
      <c r="F605">
        <v>14066</v>
      </c>
      <c r="G605">
        <v>11</v>
      </c>
      <c r="H605">
        <v>9687</v>
      </c>
    </row>
    <row r="606" spans="1:8" x14ac:dyDescent="0.3">
      <c r="A606" t="s">
        <v>639</v>
      </c>
      <c r="B606" t="s">
        <v>42</v>
      </c>
      <c r="C606" t="s">
        <v>10</v>
      </c>
      <c r="D606" t="s">
        <v>11</v>
      </c>
      <c r="E606" t="s">
        <v>24</v>
      </c>
      <c r="F606">
        <v>48564</v>
      </c>
      <c r="G606">
        <v>6</v>
      </c>
      <c r="H606">
        <v>33043</v>
      </c>
    </row>
    <row r="607" spans="1:8" x14ac:dyDescent="0.3">
      <c r="A607" t="s">
        <v>640</v>
      </c>
      <c r="B607" t="s">
        <v>14</v>
      </c>
      <c r="C607" t="s">
        <v>15</v>
      </c>
      <c r="D607" t="s">
        <v>37</v>
      </c>
      <c r="E607" t="s">
        <v>12</v>
      </c>
      <c r="F607">
        <v>42749</v>
      </c>
      <c r="G607">
        <v>14</v>
      </c>
      <c r="H607">
        <v>26913</v>
      </c>
    </row>
    <row r="608" spans="1:8" x14ac:dyDescent="0.3">
      <c r="A608" t="s">
        <v>641</v>
      </c>
      <c r="B608" t="s">
        <v>9</v>
      </c>
      <c r="C608" t="s">
        <v>10</v>
      </c>
      <c r="D608" t="s">
        <v>37</v>
      </c>
      <c r="E608" t="s">
        <v>43</v>
      </c>
      <c r="F608">
        <v>89673</v>
      </c>
      <c r="G608">
        <v>5</v>
      </c>
      <c r="H608">
        <v>65532</v>
      </c>
    </row>
    <row r="609" spans="1:8" x14ac:dyDescent="0.3">
      <c r="A609" t="s">
        <v>642</v>
      </c>
      <c r="B609" t="s">
        <v>18</v>
      </c>
      <c r="C609" t="s">
        <v>15</v>
      </c>
      <c r="D609" t="s">
        <v>23</v>
      </c>
      <c r="E609" t="s">
        <v>12</v>
      </c>
      <c r="F609">
        <v>42582</v>
      </c>
      <c r="G609">
        <v>15</v>
      </c>
      <c r="H609">
        <v>26590</v>
      </c>
    </row>
    <row r="610" spans="1:8" x14ac:dyDescent="0.3">
      <c r="A610" t="s">
        <v>643</v>
      </c>
      <c r="B610" t="s">
        <v>14</v>
      </c>
      <c r="C610" t="s">
        <v>15</v>
      </c>
      <c r="D610" t="s">
        <v>37</v>
      </c>
      <c r="E610" t="s">
        <v>43</v>
      </c>
      <c r="F610">
        <v>114753</v>
      </c>
      <c r="G610">
        <v>3</v>
      </c>
      <c r="H610">
        <v>75690</v>
      </c>
    </row>
    <row r="611" spans="1:8" x14ac:dyDescent="0.3">
      <c r="A611" t="s">
        <v>644</v>
      </c>
      <c r="B611" t="s">
        <v>42</v>
      </c>
      <c r="C611" t="s">
        <v>10</v>
      </c>
      <c r="D611" t="s">
        <v>37</v>
      </c>
      <c r="E611" t="s">
        <v>61</v>
      </c>
      <c r="F611">
        <v>66260</v>
      </c>
      <c r="G611">
        <v>13</v>
      </c>
      <c r="H611">
        <v>42338</v>
      </c>
    </row>
    <row r="612" spans="1:8" x14ac:dyDescent="0.3">
      <c r="A612" t="s">
        <v>645</v>
      </c>
      <c r="B612" t="s">
        <v>14</v>
      </c>
      <c r="C612" t="s">
        <v>15</v>
      </c>
      <c r="D612" t="s">
        <v>23</v>
      </c>
      <c r="E612" t="s">
        <v>43</v>
      </c>
      <c r="F612">
        <v>82575</v>
      </c>
      <c r="G612">
        <v>12</v>
      </c>
      <c r="H612">
        <v>57210</v>
      </c>
    </row>
    <row r="613" spans="1:8" x14ac:dyDescent="0.3">
      <c r="A613" t="s">
        <v>646</v>
      </c>
      <c r="B613" t="s">
        <v>9</v>
      </c>
      <c r="C613" t="s">
        <v>10</v>
      </c>
      <c r="D613" t="s">
        <v>23</v>
      </c>
      <c r="E613" t="s">
        <v>61</v>
      </c>
      <c r="F613">
        <v>33448</v>
      </c>
      <c r="G613">
        <v>6</v>
      </c>
      <c r="H613">
        <v>23502</v>
      </c>
    </row>
    <row r="614" spans="1:8" x14ac:dyDescent="0.3">
      <c r="A614" t="s">
        <v>647</v>
      </c>
      <c r="B614" t="s">
        <v>18</v>
      </c>
      <c r="C614" t="s">
        <v>15</v>
      </c>
      <c r="D614" t="s">
        <v>31</v>
      </c>
      <c r="E614" t="s">
        <v>19</v>
      </c>
      <c r="F614">
        <v>27424</v>
      </c>
      <c r="G614">
        <v>1</v>
      </c>
      <c r="H614">
        <v>19304</v>
      </c>
    </row>
    <row r="615" spans="1:8" x14ac:dyDescent="0.3">
      <c r="A615" t="s">
        <v>648</v>
      </c>
      <c r="B615" t="s">
        <v>9</v>
      </c>
      <c r="C615" t="s">
        <v>10</v>
      </c>
      <c r="D615" t="s">
        <v>37</v>
      </c>
      <c r="E615" t="s">
        <v>34</v>
      </c>
      <c r="F615">
        <v>39310</v>
      </c>
      <c r="G615">
        <v>6</v>
      </c>
      <c r="H615">
        <v>25899</v>
      </c>
    </row>
    <row r="616" spans="1:8" x14ac:dyDescent="0.3">
      <c r="A616" t="s">
        <v>649</v>
      </c>
      <c r="B616" t="s">
        <v>9</v>
      </c>
      <c r="C616" t="s">
        <v>10</v>
      </c>
      <c r="D616" t="s">
        <v>37</v>
      </c>
      <c r="E616" t="s">
        <v>43</v>
      </c>
      <c r="F616">
        <v>104491</v>
      </c>
      <c r="G616">
        <v>11</v>
      </c>
      <c r="H616">
        <v>74029</v>
      </c>
    </row>
    <row r="617" spans="1:8" x14ac:dyDescent="0.3">
      <c r="A617" t="s">
        <v>650</v>
      </c>
      <c r="B617" t="s">
        <v>21</v>
      </c>
      <c r="C617" t="s">
        <v>22</v>
      </c>
      <c r="D617" t="s">
        <v>37</v>
      </c>
      <c r="E617" t="s">
        <v>19</v>
      </c>
      <c r="F617">
        <v>79103</v>
      </c>
      <c r="G617">
        <v>1</v>
      </c>
      <c r="H617">
        <v>54095</v>
      </c>
    </row>
    <row r="618" spans="1:8" x14ac:dyDescent="0.3">
      <c r="A618" t="s">
        <v>651</v>
      </c>
      <c r="B618" t="s">
        <v>21</v>
      </c>
      <c r="C618" t="s">
        <v>22</v>
      </c>
      <c r="D618" t="s">
        <v>11</v>
      </c>
      <c r="E618" t="s">
        <v>46</v>
      </c>
      <c r="F618">
        <v>60643</v>
      </c>
      <c r="G618">
        <v>9</v>
      </c>
      <c r="H618">
        <v>38809</v>
      </c>
    </row>
    <row r="619" spans="1:8" x14ac:dyDescent="0.3">
      <c r="A619" t="s">
        <v>652</v>
      </c>
      <c r="B619" t="s">
        <v>21</v>
      </c>
      <c r="C619" t="s">
        <v>22</v>
      </c>
      <c r="D619" t="s">
        <v>11</v>
      </c>
      <c r="E619" t="s">
        <v>16</v>
      </c>
      <c r="F619">
        <v>27250</v>
      </c>
      <c r="G619">
        <v>6</v>
      </c>
      <c r="H619">
        <v>18666</v>
      </c>
    </row>
    <row r="620" spans="1:8" x14ac:dyDescent="0.3">
      <c r="A620" t="s">
        <v>653</v>
      </c>
      <c r="B620" t="s">
        <v>21</v>
      </c>
      <c r="C620" t="s">
        <v>22</v>
      </c>
      <c r="D620" t="s">
        <v>11</v>
      </c>
      <c r="E620" t="s">
        <v>29</v>
      </c>
      <c r="F620">
        <v>86000</v>
      </c>
      <c r="G620">
        <v>13</v>
      </c>
      <c r="H620">
        <v>58502</v>
      </c>
    </row>
    <row r="621" spans="1:8" x14ac:dyDescent="0.3">
      <c r="A621" t="s">
        <v>654</v>
      </c>
      <c r="B621" t="s">
        <v>9</v>
      </c>
      <c r="C621" t="s">
        <v>10</v>
      </c>
      <c r="D621" t="s">
        <v>37</v>
      </c>
      <c r="E621" t="s">
        <v>32</v>
      </c>
      <c r="F621">
        <v>118062</v>
      </c>
      <c r="G621">
        <v>4</v>
      </c>
      <c r="H621">
        <v>71147</v>
      </c>
    </row>
    <row r="622" spans="1:8" x14ac:dyDescent="0.3">
      <c r="A622" t="s">
        <v>655</v>
      </c>
      <c r="B622" t="s">
        <v>9</v>
      </c>
      <c r="C622" t="s">
        <v>10</v>
      </c>
      <c r="D622" t="s">
        <v>11</v>
      </c>
      <c r="E622" t="s">
        <v>24</v>
      </c>
      <c r="F622">
        <v>146162</v>
      </c>
      <c r="G622">
        <v>15</v>
      </c>
      <c r="H622">
        <v>96671</v>
      </c>
    </row>
    <row r="623" spans="1:8" x14ac:dyDescent="0.3">
      <c r="A623" t="s">
        <v>656</v>
      </c>
      <c r="B623" t="s">
        <v>18</v>
      </c>
      <c r="C623" t="s">
        <v>15</v>
      </c>
      <c r="D623" t="s">
        <v>11</v>
      </c>
      <c r="E623" t="s">
        <v>12</v>
      </c>
      <c r="F623">
        <v>23354</v>
      </c>
      <c r="G623">
        <v>7</v>
      </c>
      <c r="H623">
        <v>16925</v>
      </c>
    </row>
    <row r="624" spans="1:8" x14ac:dyDescent="0.3">
      <c r="A624" t="s">
        <v>657</v>
      </c>
      <c r="B624" t="s">
        <v>18</v>
      </c>
      <c r="C624" t="s">
        <v>15</v>
      </c>
      <c r="D624" t="s">
        <v>31</v>
      </c>
      <c r="E624" t="s">
        <v>43</v>
      </c>
      <c r="F624">
        <v>77167</v>
      </c>
      <c r="G624">
        <v>14</v>
      </c>
      <c r="H624">
        <v>52978</v>
      </c>
    </row>
    <row r="625" spans="1:8" x14ac:dyDescent="0.3">
      <c r="A625" t="s">
        <v>658</v>
      </c>
      <c r="B625" t="s">
        <v>48</v>
      </c>
      <c r="C625" t="s">
        <v>15</v>
      </c>
      <c r="D625" t="s">
        <v>31</v>
      </c>
      <c r="E625" t="s">
        <v>46</v>
      </c>
      <c r="F625">
        <v>48020</v>
      </c>
      <c r="G625">
        <v>4</v>
      </c>
      <c r="H625">
        <v>28974</v>
      </c>
    </row>
    <row r="626" spans="1:8" x14ac:dyDescent="0.3">
      <c r="A626" t="s">
        <v>659</v>
      </c>
      <c r="B626" t="s">
        <v>36</v>
      </c>
      <c r="C626" t="s">
        <v>22</v>
      </c>
      <c r="D626" t="s">
        <v>37</v>
      </c>
      <c r="E626" t="s">
        <v>61</v>
      </c>
      <c r="F626">
        <v>7549</v>
      </c>
      <c r="G626">
        <v>15</v>
      </c>
      <c r="H626">
        <v>5584</v>
      </c>
    </row>
    <row r="627" spans="1:8" x14ac:dyDescent="0.3">
      <c r="A627" t="s">
        <v>660</v>
      </c>
      <c r="B627" t="s">
        <v>18</v>
      </c>
      <c r="C627" t="s">
        <v>15</v>
      </c>
      <c r="D627" t="s">
        <v>23</v>
      </c>
      <c r="E627" t="s">
        <v>16</v>
      </c>
      <c r="F627">
        <v>116698</v>
      </c>
      <c r="G627">
        <v>4</v>
      </c>
      <c r="H627">
        <v>85509</v>
      </c>
    </row>
    <row r="628" spans="1:8" x14ac:dyDescent="0.3">
      <c r="A628" t="s">
        <v>661</v>
      </c>
      <c r="B628" t="s">
        <v>21</v>
      </c>
      <c r="C628" t="s">
        <v>22</v>
      </c>
      <c r="D628" t="s">
        <v>23</v>
      </c>
      <c r="E628" t="s">
        <v>24</v>
      </c>
      <c r="F628">
        <v>75394</v>
      </c>
      <c r="G628">
        <v>10</v>
      </c>
      <c r="H628">
        <v>55233</v>
      </c>
    </row>
    <row r="629" spans="1:8" x14ac:dyDescent="0.3">
      <c r="A629" t="s">
        <v>662</v>
      </c>
      <c r="B629" t="s">
        <v>9</v>
      </c>
      <c r="C629" t="s">
        <v>10</v>
      </c>
      <c r="D629" t="s">
        <v>23</v>
      </c>
      <c r="E629" t="s">
        <v>43</v>
      </c>
      <c r="F629">
        <v>123935</v>
      </c>
      <c r="G629">
        <v>13</v>
      </c>
      <c r="H629">
        <v>85504</v>
      </c>
    </row>
    <row r="630" spans="1:8" x14ac:dyDescent="0.3">
      <c r="A630" t="s">
        <v>663</v>
      </c>
      <c r="B630" t="s">
        <v>21</v>
      </c>
      <c r="C630" t="s">
        <v>22</v>
      </c>
      <c r="D630" t="s">
        <v>31</v>
      </c>
      <c r="E630" t="s">
        <v>16</v>
      </c>
      <c r="F630">
        <v>19717</v>
      </c>
      <c r="G630">
        <v>8</v>
      </c>
      <c r="H630">
        <v>12499</v>
      </c>
    </row>
    <row r="631" spans="1:8" x14ac:dyDescent="0.3">
      <c r="A631" t="s">
        <v>664</v>
      </c>
      <c r="B631" t="s">
        <v>36</v>
      </c>
      <c r="C631" t="s">
        <v>22</v>
      </c>
      <c r="D631" t="s">
        <v>31</v>
      </c>
      <c r="E631" t="s">
        <v>43</v>
      </c>
      <c r="F631">
        <v>45521</v>
      </c>
      <c r="G631">
        <v>12</v>
      </c>
      <c r="H631">
        <v>31204</v>
      </c>
    </row>
    <row r="632" spans="1:8" x14ac:dyDescent="0.3">
      <c r="A632" t="s">
        <v>665</v>
      </c>
      <c r="B632" t="s">
        <v>9</v>
      </c>
      <c r="C632" t="s">
        <v>10</v>
      </c>
      <c r="D632" t="s">
        <v>37</v>
      </c>
      <c r="E632" t="s">
        <v>12</v>
      </c>
      <c r="F632">
        <v>120842</v>
      </c>
      <c r="G632">
        <v>11</v>
      </c>
      <c r="H632">
        <v>73555</v>
      </c>
    </row>
    <row r="633" spans="1:8" x14ac:dyDescent="0.3">
      <c r="A633" t="s">
        <v>666</v>
      </c>
      <c r="B633" t="s">
        <v>9</v>
      </c>
      <c r="C633" t="s">
        <v>10</v>
      </c>
      <c r="D633" t="s">
        <v>11</v>
      </c>
      <c r="E633" t="s">
        <v>49</v>
      </c>
      <c r="F633">
        <v>140580</v>
      </c>
      <c r="G633">
        <v>2</v>
      </c>
      <c r="H633">
        <v>86105</v>
      </c>
    </row>
    <row r="634" spans="1:8" x14ac:dyDescent="0.3">
      <c r="A634" t="s">
        <v>667</v>
      </c>
      <c r="B634" t="s">
        <v>9</v>
      </c>
      <c r="C634" t="s">
        <v>10</v>
      </c>
      <c r="D634" t="s">
        <v>37</v>
      </c>
      <c r="E634" t="s">
        <v>19</v>
      </c>
      <c r="F634">
        <v>146895</v>
      </c>
      <c r="G634">
        <v>8</v>
      </c>
      <c r="H634">
        <v>93403</v>
      </c>
    </row>
    <row r="635" spans="1:8" x14ac:dyDescent="0.3">
      <c r="A635" t="s">
        <v>668</v>
      </c>
      <c r="B635" t="s">
        <v>9</v>
      </c>
      <c r="C635" t="s">
        <v>10</v>
      </c>
      <c r="D635" t="s">
        <v>23</v>
      </c>
      <c r="E635" t="s">
        <v>12</v>
      </c>
      <c r="F635">
        <v>144507</v>
      </c>
      <c r="G635">
        <v>6</v>
      </c>
      <c r="H635">
        <v>97505</v>
      </c>
    </row>
    <row r="636" spans="1:8" x14ac:dyDescent="0.3">
      <c r="A636" t="s">
        <v>669</v>
      </c>
      <c r="B636" t="s">
        <v>42</v>
      </c>
      <c r="C636" t="s">
        <v>10</v>
      </c>
      <c r="D636" t="s">
        <v>37</v>
      </c>
      <c r="E636" t="s">
        <v>61</v>
      </c>
      <c r="F636">
        <v>44143</v>
      </c>
      <c r="G636">
        <v>2</v>
      </c>
      <c r="H636">
        <v>32180</v>
      </c>
    </row>
    <row r="637" spans="1:8" x14ac:dyDescent="0.3">
      <c r="A637" t="s">
        <v>670</v>
      </c>
      <c r="B637" t="s">
        <v>42</v>
      </c>
      <c r="C637" t="s">
        <v>10</v>
      </c>
      <c r="D637" t="s">
        <v>11</v>
      </c>
      <c r="E637" t="s">
        <v>29</v>
      </c>
      <c r="F637">
        <v>123292</v>
      </c>
      <c r="G637">
        <v>11</v>
      </c>
      <c r="H637">
        <v>91965</v>
      </c>
    </row>
    <row r="638" spans="1:8" x14ac:dyDescent="0.3">
      <c r="A638" t="s">
        <v>671</v>
      </c>
      <c r="B638" t="s">
        <v>48</v>
      </c>
      <c r="C638" t="s">
        <v>15</v>
      </c>
      <c r="D638" t="s">
        <v>23</v>
      </c>
      <c r="E638" t="s">
        <v>46</v>
      </c>
      <c r="F638">
        <v>97206</v>
      </c>
      <c r="G638">
        <v>8</v>
      </c>
      <c r="H638">
        <v>65043</v>
      </c>
    </row>
    <row r="639" spans="1:8" x14ac:dyDescent="0.3">
      <c r="A639" t="s">
        <v>672</v>
      </c>
      <c r="B639" t="s">
        <v>40</v>
      </c>
      <c r="C639" t="s">
        <v>10</v>
      </c>
      <c r="D639" t="s">
        <v>11</v>
      </c>
      <c r="E639" t="s">
        <v>12</v>
      </c>
      <c r="F639">
        <v>45607</v>
      </c>
      <c r="G639">
        <v>3</v>
      </c>
      <c r="H639">
        <v>28984</v>
      </c>
    </row>
    <row r="640" spans="1:8" x14ac:dyDescent="0.3">
      <c r="A640" t="s">
        <v>673</v>
      </c>
      <c r="B640" t="s">
        <v>9</v>
      </c>
      <c r="C640" t="s">
        <v>10</v>
      </c>
      <c r="D640" t="s">
        <v>23</v>
      </c>
      <c r="E640" t="s">
        <v>43</v>
      </c>
      <c r="F640">
        <v>131110</v>
      </c>
      <c r="G640">
        <v>10</v>
      </c>
      <c r="H640">
        <v>89084</v>
      </c>
    </row>
    <row r="641" spans="1:8" x14ac:dyDescent="0.3">
      <c r="A641" t="s">
        <v>674</v>
      </c>
      <c r="B641" t="s">
        <v>14</v>
      </c>
      <c r="C641" t="s">
        <v>15</v>
      </c>
      <c r="D641" t="s">
        <v>37</v>
      </c>
      <c r="E641" t="s">
        <v>34</v>
      </c>
      <c r="F641">
        <v>44492</v>
      </c>
      <c r="G641">
        <v>10</v>
      </c>
      <c r="H641">
        <v>27324</v>
      </c>
    </row>
    <row r="642" spans="1:8" x14ac:dyDescent="0.3">
      <c r="A642" t="s">
        <v>675</v>
      </c>
      <c r="B642" t="s">
        <v>9</v>
      </c>
      <c r="C642" t="s">
        <v>10</v>
      </c>
      <c r="D642" t="s">
        <v>23</v>
      </c>
      <c r="E642" t="s">
        <v>49</v>
      </c>
      <c r="F642">
        <v>45844</v>
      </c>
      <c r="G642">
        <v>10</v>
      </c>
      <c r="H642">
        <v>32720</v>
      </c>
    </row>
    <row r="643" spans="1:8" x14ac:dyDescent="0.3">
      <c r="A643" t="s">
        <v>676</v>
      </c>
      <c r="B643" t="s">
        <v>40</v>
      </c>
      <c r="C643" t="s">
        <v>10</v>
      </c>
      <c r="D643" t="s">
        <v>31</v>
      </c>
      <c r="E643" t="s">
        <v>24</v>
      </c>
      <c r="F643">
        <v>31657</v>
      </c>
      <c r="G643">
        <v>9</v>
      </c>
      <c r="H643">
        <v>19694</v>
      </c>
    </row>
    <row r="644" spans="1:8" x14ac:dyDescent="0.3">
      <c r="A644" t="s">
        <v>677</v>
      </c>
      <c r="B644" t="s">
        <v>48</v>
      </c>
      <c r="C644" t="s">
        <v>15</v>
      </c>
      <c r="D644" t="s">
        <v>37</v>
      </c>
      <c r="E644" t="s">
        <v>43</v>
      </c>
      <c r="F644">
        <v>11954</v>
      </c>
      <c r="G644">
        <v>14</v>
      </c>
      <c r="H644">
        <v>8916</v>
      </c>
    </row>
    <row r="645" spans="1:8" x14ac:dyDescent="0.3">
      <c r="A645" t="s">
        <v>678</v>
      </c>
      <c r="B645" t="s">
        <v>21</v>
      </c>
      <c r="C645" t="s">
        <v>22</v>
      </c>
      <c r="D645" t="s">
        <v>11</v>
      </c>
      <c r="E645" t="s">
        <v>24</v>
      </c>
      <c r="F645">
        <v>101811</v>
      </c>
      <c r="G645">
        <v>2</v>
      </c>
      <c r="H645">
        <v>67427</v>
      </c>
    </row>
    <row r="646" spans="1:8" x14ac:dyDescent="0.3">
      <c r="A646" t="s">
        <v>679</v>
      </c>
      <c r="B646" t="s">
        <v>40</v>
      </c>
      <c r="C646" t="s">
        <v>10</v>
      </c>
      <c r="D646" t="s">
        <v>23</v>
      </c>
      <c r="E646" t="s">
        <v>61</v>
      </c>
      <c r="F646">
        <v>96409</v>
      </c>
      <c r="G646">
        <v>2</v>
      </c>
      <c r="H646">
        <v>66947</v>
      </c>
    </row>
    <row r="647" spans="1:8" x14ac:dyDescent="0.3">
      <c r="A647" t="s">
        <v>680</v>
      </c>
      <c r="B647" t="s">
        <v>42</v>
      </c>
      <c r="C647" t="s">
        <v>10</v>
      </c>
      <c r="D647" t="s">
        <v>37</v>
      </c>
      <c r="E647" t="s">
        <v>61</v>
      </c>
      <c r="F647">
        <v>5310</v>
      </c>
      <c r="G647">
        <v>12</v>
      </c>
      <c r="H647">
        <v>3341</v>
      </c>
    </row>
    <row r="648" spans="1:8" x14ac:dyDescent="0.3">
      <c r="A648" t="s">
        <v>681</v>
      </c>
      <c r="B648" t="s">
        <v>40</v>
      </c>
      <c r="C648" t="s">
        <v>10</v>
      </c>
      <c r="D648" t="s">
        <v>23</v>
      </c>
      <c r="E648" t="s">
        <v>61</v>
      </c>
      <c r="F648">
        <v>144977</v>
      </c>
      <c r="G648">
        <v>8</v>
      </c>
      <c r="H648">
        <v>95823</v>
      </c>
    </row>
    <row r="649" spans="1:8" x14ac:dyDescent="0.3">
      <c r="A649" t="s">
        <v>682</v>
      </c>
      <c r="B649" t="s">
        <v>42</v>
      </c>
      <c r="C649" t="s">
        <v>10</v>
      </c>
      <c r="D649" t="s">
        <v>23</v>
      </c>
      <c r="E649" t="s">
        <v>16</v>
      </c>
      <c r="F649">
        <v>147690</v>
      </c>
      <c r="G649">
        <v>6</v>
      </c>
      <c r="H649">
        <v>103011</v>
      </c>
    </row>
    <row r="650" spans="1:8" x14ac:dyDescent="0.3">
      <c r="A650" t="s">
        <v>683</v>
      </c>
      <c r="B650" t="s">
        <v>42</v>
      </c>
      <c r="C650" t="s">
        <v>10</v>
      </c>
      <c r="D650" t="s">
        <v>37</v>
      </c>
      <c r="E650" t="s">
        <v>34</v>
      </c>
      <c r="F650">
        <v>89063</v>
      </c>
      <c r="G650">
        <v>1</v>
      </c>
      <c r="H650">
        <v>57293</v>
      </c>
    </row>
    <row r="651" spans="1:8" x14ac:dyDescent="0.3">
      <c r="A651" t="s">
        <v>684</v>
      </c>
      <c r="B651" t="s">
        <v>18</v>
      </c>
      <c r="C651" t="s">
        <v>15</v>
      </c>
      <c r="D651" t="s">
        <v>37</v>
      </c>
      <c r="E651" t="s">
        <v>29</v>
      </c>
      <c r="F651">
        <v>138251</v>
      </c>
      <c r="G651">
        <v>10</v>
      </c>
      <c r="H651">
        <v>98899</v>
      </c>
    </row>
    <row r="652" spans="1:8" x14ac:dyDescent="0.3">
      <c r="A652" t="s">
        <v>685</v>
      </c>
      <c r="B652" t="s">
        <v>9</v>
      </c>
      <c r="C652" t="s">
        <v>10</v>
      </c>
      <c r="D652" t="s">
        <v>11</v>
      </c>
      <c r="E652" t="s">
        <v>34</v>
      </c>
      <c r="F652">
        <v>18527</v>
      </c>
      <c r="G652">
        <v>9</v>
      </c>
      <c r="H652">
        <v>12069</v>
      </c>
    </row>
    <row r="653" spans="1:8" x14ac:dyDescent="0.3">
      <c r="A653" t="s">
        <v>686</v>
      </c>
      <c r="B653" t="s">
        <v>42</v>
      </c>
      <c r="C653" t="s">
        <v>10</v>
      </c>
      <c r="D653" t="s">
        <v>31</v>
      </c>
      <c r="E653" t="s">
        <v>19</v>
      </c>
      <c r="F653">
        <v>47330</v>
      </c>
      <c r="G653">
        <v>12</v>
      </c>
      <c r="H653">
        <v>29716</v>
      </c>
    </row>
    <row r="654" spans="1:8" x14ac:dyDescent="0.3">
      <c r="A654" t="s">
        <v>687</v>
      </c>
      <c r="B654" t="s">
        <v>48</v>
      </c>
      <c r="C654" t="s">
        <v>15</v>
      </c>
      <c r="D654" t="s">
        <v>31</v>
      </c>
      <c r="E654" t="s">
        <v>46</v>
      </c>
      <c r="F654">
        <v>18142</v>
      </c>
      <c r="G654">
        <v>6</v>
      </c>
      <c r="H654">
        <v>12481</v>
      </c>
    </row>
    <row r="655" spans="1:8" x14ac:dyDescent="0.3">
      <c r="A655" t="s">
        <v>688</v>
      </c>
      <c r="B655" t="s">
        <v>9</v>
      </c>
      <c r="C655" t="s">
        <v>10</v>
      </c>
      <c r="D655" t="s">
        <v>11</v>
      </c>
      <c r="E655" t="s">
        <v>27</v>
      </c>
      <c r="F655">
        <v>53972</v>
      </c>
      <c r="G655">
        <v>10</v>
      </c>
      <c r="H655">
        <v>34144</v>
      </c>
    </row>
    <row r="656" spans="1:8" x14ac:dyDescent="0.3">
      <c r="A656" t="s">
        <v>689</v>
      </c>
      <c r="B656" t="s">
        <v>21</v>
      </c>
      <c r="C656" t="s">
        <v>22</v>
      </c>
      <c r="D656" t="s">
        <v>37</v>
      </c>
      <c r="E656" t="s">
        <v>46</v>
      </c>
      <c r="F656">
        <v>59321</v>
      </c>
      <c r="G656">
        <v>7</v>
      </c>
      <c r="H656">
        <v>38105</v>
      </c>
    </row>
    <row r="657" spans="1:8" x14ac:dyDescent="0.3">
      <c r="A657" t="s">
        <v>690</v>
      </c>
      <c r="B657" t="s">
        <v>36</v>
      </c>
      <c r="C657" t="s">
        <v>22</v>
      </c>
      <c r="D657" t="s">
        <v>11</v>
      </c>
      <c r="E657" t="s">
        <v>32</v>
      </c>
      <c r="F657">
        <v>146709</v>
      </c>
      <c r="G657">
        <v>4</v>
      </c>
      <c r="H657">
        <v>107273</v>
      </c>
    </row>
    <row r="658" spans="1:8" x14ac:dyDescent="0.3">
      <c r="A658" t="s">
        <v>691</v>
      </c>
      <c r="B658" t="s">
        <v>21</v>
      </c>
      <c r="C658" t="s">
        <v>22</v>
      </c>
      <c r="D658" t="s">
        <v>11</v>
      </c>
      <c r="E658" t="s">
        <v>27</v>
      </c>
      <c r="F658">
        <v>63209</v>
      </c>
      <c r="G658">
        <v>9</v>
      </c>
      <c r="H658">
        <v>39751</v>
      </c>
    </row>
    <row r="659" spans="1:8" x14ac:dyDescent="0.3">
      <c r="A659" t="s">
        <v>692</v>
      </c>
      <c r="B659" t="s">
        <v>48</v>
      </c>
      <c r="C659" t="s">
        <v>15</v>
      </c>
      <c r="D659" t="s">
        <v>11</v>
      </c>
      <c r="E659" t="s">
        <v>46</v>
      </c>
      <c r="F659">
        <v>43161</v>
      </c>
      <c r="G659">
        <v>14</v>
      </c>
      <c r="H659">
        <v>26290</v>
      </c>
    </row>
    <row r="660" spans="1:8" x14ac:dyDescent="0.3">
      <c r="A660" t="s">
        <v>693</v>
      </c>
      <c r="B660" t="s">
        <v>14</v>
      </c>
      <c r="C660" t="s">
        <v>15</v>
      </c>
      <c r="D660" t="s">
        <v>37</v>
      </c>
      <c r="E660" t="s">
        <v>12</v>
      </c>
      <c r="F660">
        <v>65451</v>
      </c>
      <c r="G660">
        <v>3</v>
      </c>
      <c r="H660">
        <v>42222</v>
      </c>
    </row>
    <row r="661" spans="1:8" x14ac:dyDescent="0.3">
      <c r="A661" t="s">
        <v>694</v>
      </c>
      <c r="B661" t="s">
        <v>14</v>
      </c>
      <c r="C661" t="s">
        <v>15</v>
      </c>
      <c r="D661" t="s">
        <v>37</v>
      </c>
      <c r="E661" t="s">
        <v>34</v>
      </c>
      <c r="F661">
        <v>109093</v>
      </c>
      <c r="G661">
        <v>5</v>
      </c>
      <c r="H661">
        <v>80921</v>
      </c>
    </row>
    <row r="662" spans="1:8" x14ac:dyDescent="0.3">
      <c r="A662" t="s">
        <v>695</v>
      </c>
      <c r="B662" t="s">
        <v>36</v>
      </c>
      <c r="C662" t="s">
        <v>22</v>
      </c>
      <c r="D662" t="s">
        <v>31</v>
      </c>
      <c r="E662" t="s">
        <v>19</v>
      </c>
      <c r="F662">
        <v>63128</v>
      </c>
      <c r="G662">
        <v>5</v>
      </c>
      <c r="H662">
        <v>43596</v>
      </c>
    </row>
    <row r="663" spans="1:8" x14ac:dyDescent="0.3">
      <c r="A663" t="s">
        <v>696</v>
      </c>
      <c r="B663" t="s">
        <v>42</v>
      </c>
      <c r="C663" t="s">
        <v>10</v>
      </c>
      <c r="D663" t="s">
        <v>31</v>
      </c>
      <c r="E663" t="s">
        <v>61</v>
      </c>
      <c r="F663">
        <v>119360</v>
      </c>
      <c r="G663">
        <v>8</v>
      </c>
      <c r="H663">
        <v>86073</v>
      </c>
    </row>
    <row r="664" spans="1:8" x14ac:dyDescent="0.3">
      <c r="A664" t="s">
        <v>697</v>
      </c>
      <c r="B664" t="s">
        <v>36</v>
      </c>
      <c r="C664" t="s">
        <v>22</v>
      </c>
      <c r="D664" t="s">
        <v>23</v>
      </c>
      <c r="E664" t="s">
        <v>32</v>
      </c>
      <c r="F664">
        <v>107256</v>
      </c>
      <c r="G664">
        <v>14</v>
      </c>
      <c r="H664">
        <v>72199</v>
      </c>
    </row>
    <row r="665" spans="1:8" x14ac:dyDescent="0.3">
      <c r="A665" t="s">
        <v>698</v>
      </c>
      <c r="B665" t="s">
        <v>42</v>
      </c>
      <c r="C665" t="s">
        <v>10</v>
      </c>
      <c r="D665" t="s">
        <v>11</v>
      </c>
      <c r="E665" t="s">
        <v>34</v>
      </c>
      <c r="F665">
        <v>92267</v>
      </c>
      <c r="G665">
        <v>5</v>
      </c>
      <c r="H665">
        <v>60574</v>
      </c>
    </row>
    <row r="666" spans="1:8" x14ac:dyDescent="0.3">
      <c r="A666" t="s">
        <v>699</v>
      </c>
      <c r="B666" t="s">
        <v>48</v>
      </c>
      <c r="C666" t="s">
        <v>15</v>
      </c>
      <c r="D666" t="s">
        <v>11</v>
      </c>
      <c r="E666" t="s">
        <v>24</v>
      </c>
      <c r="F666">
        <v>16090</v>
      </c>
      <c r="G666">
        <v>6</v>
      </c>
      <c r="H666">
        <v>10559</v>
      </c>
    </row>
    <row r="667" spans="1:8" x14ac:dyDescent="0.3">
      <c r="A667" t="s">
        <v>700</v>
      </c>
      <c r="B667" t="s">
        <v>14</v>
      </c>
      <c r="C667" t="s">
        <v>15</v>
      </c>
      <c r="D667" t="s">
        <v>37</v>
      </c>
      <c r="E667" t="s">
        <v>49</v>
      </c>
      <c r="F667">
        <v>29558</v>
      </c>
      <c r="G667">
        <v>14</v>
      </c>
      <c r="H667">
        <v>19020</v>
      </c>
    </row>
    <row r="668" spans="1:8" x14ac:dyDescent="0.3">
      <c r="A668" t="s">
        <v>701</v>
      </c>
      <c r="B668" t="s">
        <v>36</v>
      </c>
      <c r="C668" t="s">
        <v>22</v>
      </c>
      <c r="D668" t="s">
        <v>23</v>
      </c>
      <c r="E668" t="s">
        <v>19</v>
      </c>
      <c r="F668">
        <v>40329</v>
      </c>
      <c r="G668">
        <v>4</v>
      </c>
      <c r="H668">
        <v>25960</v>
      </c>
    </row>
    <row r="669" spans="1:8" x14ac:dyDescent="0.3">
      <c r="A669" t="s">
        <v>702</v>
      </c>
      <c r="B669" t="s">
        <v>48</v>
      </c>
      <c r="C669" t="s">
        <v>15</v>
      </c>
      <c r="D669" t="s">
        <v>11</v>
      </c>
      <c r="E669" t="s">
        <v>61</v>
      </c>
      <c r="F669">
        <v>23705</v>
      </c>
      <c r="G669">
        <v>2</v>
      </c>
      <c r="H669">
        <v>17029</v>
      </c>
    </row>
    <row r="670" spans="1:8" x14ac:dyDescent="0.3">
      <c r="A670" t="s">
        <v>703</v>
      </c>
      <c r="B670" t="s">
        <v>9</v>
      </c>
      <c r="C670" t="s">
        <v>10</v>
      </c>
      <c r="D670" t="s">
        <v>23</v>
      </c>
      <c r="E670" t="s">
        <v>12</v>
      </c>
      <c r="F670">
        <v>141545</v>
      </c>
      <c r="G670">
        <v>2</v>
      </c>
      <c r="H670">
        <v>87633</v>
      </c>
    </row>
    <row r="671" spans="1:8" x14ac:dyDescent="0.3">
      <c r="A671" t="s">
        <v>704</v>
      </c>
      <c r="B671" t="s">
        <v>21</v>
      </c>
      <c r="C671" t="s">
        <v>22</v>
      </c>
      <c r="D671" t="s">
        <v>11</v>
      </c>
      <c r="E671" t="s">
        <v>27</v>
      </c>
      <c r="F671">
        <v>121603</v>
      </c>
      <c r="G671">
        <v>4</v>
      </c>
      <c r="H671">
        <v>83725</v>
      </c>
    </row>
    <row r="672" spans="1:8" x14ac:dyDescent="0.3">
      <c r="A672" t="s">
        <v>705</v>
      </c>
      <c r="B672" t="s">
        <v>36</v>
      </c>
      <c r="C672" t="s">
        <v>22</v>
      </c>
      <c r="D672" t="s">
        <v>31</v>
      </c>
      <c r="E672" t="s">
        <v>27</v>
      </c>
      <c r="F672">
        <v>86731</v>
      </c>
      <c r="G672">
        <v>8</v>
      </c>
      <c r="H672">
        <v>58665</v>
      </c>
    </row>
    <row r="673" spans="1:8" x14ac:dyDescent="0.3">
      <c r="A673" t="s">
        <v>706</v>
      </c>
      <c r="B673" t="s">
        <v>40</v>
      </c>
      <c r="C673" t="s">
        <v>10</v>
      </c>
      <c r="D673" t="s">
        <v>31</v>
      </c>
      <c r="E673" t="s">
        <v>61</v>
      </c>
      <c r="F673">
        <v>10480</v>
      </c>
      <c r="G673">
        <v>14</v>
      </c>
      <c r="H673">
        <v>7706</v>
      </c>
    </row>
    <row r="674" spans="1:8" x14ac:dyDescent="0.3">
      <c r="A674" t="s">
        <v>707</v>
      </c>
      <c r="B674" t="s">
        <v>42</v>
      </c>
      <c r="C674" t="s">
        <v>10</v>
      </c>
      <c r="D674" t="s">
        <v>31</v>
      </c>
      <c r="E674" t="s">
        <v>32</v>
      </c>
      <c r="F674">
        <v>44386</v>
      </c>
      <c r="G674">
        <v>15</v>
      </c>
      <c r="H674">
        <v>26899</v>
      </c>
    </row>
    <row r="675" spans="1:8" x14ac:dyDescent="0.3">
      <c r="A675" t="s">
        <v>708</v>
      </c>
      <c r="B675" t="s">
        <v>9</v>
      </c>
      <c r="C675" t="s">
        <v>10</v>
      </c>
      <c r="D675" t="s">
        <v>37</v>
      </c>
      <c r="E675" t="s">
        <v>43</v>
      </c>
      <c r="F675">
        <v>52830</v>
      </c>
      <c r="G675">
        <v>4</v>
      </c>
      <c r="H675">
        <v>31860</v>
      </c>
    </row>
    <row r="676" spans="1:8" x14ac:dyDescent="0.3">
      <c r="A676" t="s">
        <v>709</v>
      </c>
      <c r="B676" t="s">
        <v>18</v>
      </c>
      <c r="C676" t="s">
        <v>15</v>
      </c>
      <c r="D676" t="s">
        <v>23</v>
      </c>
      <c r="E676" t="s">
        <v>12</v>
      </c>
      <c r="F676">
        <v>95661</v>
      </c>
      <c r="G676">
        <v>12</v>
      </c>
      <c r="H676">
        <v>67322</v>
      </c>
    </row>
    <row r="677" spans="1:8" x14ac:dyDescent="0.3">
      <c r="A677" t="s">
        <v>710</v>
      </c>
      <c r="B677" t="s">
        <v>36</v>
      </c>
      <c r="C677" t="s">
        <v>22</v>
      </c>
      <c r="D677" t="s">
        <v>31</v>
      </c>
      <c r="E677" t="s">
        <v>29</v>
      </c>
      <c r="F677">
        <v>83796</v>
      </c>
      <c r="G677">
        <v>1</v>
      </c>
      <c r="H677">
        <v>55351</v>
      </c>
    </row>
    <row r="678" spans="1:8" x14ac:dyDescent="0.3">
      <c r="A678" t="s">
        <v>711</v>
      </c>
      <c r="B678" t="s">
        <v>9</v>
      </c>
      <c r="C678" t="s">
        <v>10</v>
      </c>
      <c r="D678" t="s">
        <v>37</v>
      </c>
      <c r="E678" t="s">
        <v>61</v>
      </c>
      <c r="F678">
        <v>144945</v>
      </c>
      <c r="G678">
        <v>11</v>
      </c>
      <c r="H678">
        <v>101407</v>
      </c>
    </row>
    <row r="679" spans="1:8" x14ac:dyDescent="0.3">
      <c r="A679" t="s">
        <v>712</v>
      </c>
      <c r="B679" t="s">
        <v>9</v>
      </c>
      <c r="C679" t="s">
        <v>10</v>
      </c>
      <c r="D679" t="s">
        <v>23</v>
      </c>
      <c r="E679" t="s">
        <v>34</v>
      </c>
      <c r="F679">
        <v>50513</v>
      </c>
      <c r="G679">
        <v>5</v>
      </c>
      <c r="H679">
        <v>30814</v>
      </c>
    </row>
    <row r="680" spans="1:8" x14ac:dyDescent="0.3">
      <c r="A680" t="s">
        <v>713</v>
      </c>
      <c r="B680" t="s">
        <v>48</v>
      </c>
      <c r="C680" t="s">
        <v>15</v>
      </c>
      <c r="D680" t="s">
        <v>23</v>
      </c>
      <c r="E680" t="s">
        <v>27</v>
      </c>
      <c r="F680">
        <v>58369</v>
      </c>
      <c r="G680">
        <v>5</v>
      </c>
      <c r="H680">
        <v>38052</v>
      </c>
    </row>
    <row r="681" spans="1:8" x14ac:dyDescent="0.3">
      <c r="A681" t="s">
        <v>714</v>
      </c>
      <c r="B681" t="s">
        <v>36</v>
      </c>
      <c r="C681" t="s">
        <v>22</v>
      </c>
      <c r="D681" t="s">
        <v>37</v>
      </c>
      <c r="E681" t="s">
        <v>46</v>
      </c>
      <c r="F681">
        <v>79590</v>
      </c>
      <c r="G681">
        <v>3</v>
      </c>
      <c r="H681">
        <v>57555</v>
      </c>
    </row>
    <row r="682" spans="1:8" x14ac:dyDescent="0.3">
      <c r="A682" t="s">
        <v>715</v>
      </c>
      <c r="B682" t="s">
        <v>18</v>
      </c>
      <c r="C682" t="s">
        <v>15</v>
      </c>
      <c r="D682" t="s">
        <v>23</v>
      </c>
      <c r="E682" t="s">
        <v>19</v>
      </c>
      <c r="F682">
        <v>24535</v>
      </c>
      <c r="G682">
        <v>10</v>
      </c>
      <c r="H682">
        <v>16142</v>
      </c>
    </row>
    <row r="683" spans="1:8" x14ac:dyDescent="0.3">
      <c r="A683" t="s">
        <v>716</v>
      </c>
      <c r="B683" t="s">
        <v>9</v>
      </c>
      <c r="C683" t="s">
        <v>10</v>
      </c>
      <c r="D683" t="s">
        <v>37</v>
      </c>
      <c r="E683" t="s">
        <v>19</v>
      </c>
      <c r="F683">
        <v>68652</v>
      </c>
      <c r="G683">
        <v>15</v>
      </c>
      <c r="H683">
        <v>41225</v>
      </c>
    </row>
    <row r="684" spans="1:8" x14ac:dyDescent="0.3">
      <c r="A684" t="s">
        <v>717</v>
      </c>
      <c r="B684" t="s">
        <v>42</v>
      </c>
      <c r="C684" t="s">
        <v>10</v>
      </c>
      <c r="D684" t="s">
        <v>11</v>
      </c>
      <c r="E684" t="s">
        <v>12</v>
      </c>
      <c r="F684">
        <v>72335</v>
      </c>
      <c r="G684">
        <v>14</v>
      </c>
      <c r="H684">
        <v>51859</v>
      </c>
    </row>
    <row r="685" spans="1:8" x14ac:dyDescent="0.3">
      <c r="A685" t="s">
        <v>718</v>
      </c>
      <c r="B685" t="s">
        <v>42</v>
      </c>
      <c r="C685" t="s">
        <v>10</v>
      </c>
      <c r="D685" t="s">
        <v>11</v>
      </c>
      <c r="E685" t="s">
        <v>24</v>
      </c>
      <c r="F685">
        <v>47297</v>
      </c>
      <c r="G685">
        <v>13</v>
      </c>
      <c r="H685">
        <v>29531</v>
      </c>
    </row>
    <row r="686" spans="1:8" x14ac:dyDescent="0.3">
      <c r="A686" t="s">
        <v>719</v>
      </c>
      <c r="B686" t="s">
        <v>48</v>
      </c>
      <c r="C686" t="s">
        <v>15</v>
      </c>
      <c r="D686" t="s">
        <v>11</v>
      </c>
      <c r="E686" t="s">
        <v>16</v>
      </c>
      <c r="F686">
        <v>19183</v>
      </c>
      <c r="G686">
        <v>13</v>
      </c>
      <c r="H686">
        <v>12978</v>
      </c>
    </row>
    <row r="687" spans="1:8" x14ac:dyDescent="0.3">
      <c r="A687" t="s">
        <v>720</v>
      </c>
      <c r="B687" t="s">
        <v>40</v>
      </c>
      <c r="C687" t="s">
        <v>10</v>
      </c>
      <c r="D687" t="s">
        <v>37</v>
      </c>
      <c r="E687" t="s">
        <v>32</v>
      </c>
      <c r="F687">
        <v>49680</v>
      </c>
      <c r="G687">
        <v>5</v>
      </c>
      <c r="H687">
        <v>30902</v>
      </c>
    </row>
    <row r="688" spans="1:8" x14ac:dyDescent="0.3">
      <c r="A688" t="s">
        <v>721</v>
      </c>
      <c r="B688" t="s">
        <v>36</v>
      </c>
      <c r="C688" t="s">
        <v>22</v>
      </c>
      <c r="D688" t="s">
        <v>11</v>
      </c>
      <c r="E688" t="s">
        <v>46</v>
      </c>
      <c r="F688">
        <v>80415</v>
      </c>
      <c r="G688">
        <v>2</v>
      </c>
      <c r="H688">
        <v>50224</v>
      </c>
    </row>
    <row r="689" spans="1:8" x14ac:dyDescent="0.3">
      <c r="A689" t="s">
        <v>722</v>
      </c>
      <c r="B689" t="s">
        <v>36</v>
      </c>
      <c r="C689" t="s">
        <v>22</v>
      </c>
      <c r="D689" t="s">
        <v>31</v>
      </c>
      <c r="E689" t="s">
        <v>49</v>
      </c>
      <c r="F689">
        <v>133136</v>
      </c>
      <c r="G689">
        <v>14</v>
      </c>
      <c r="H689">
        <v>84531</v>
      </c>
    </row>
    <row r="690" spans="1:8" x14ac:dyDescent="0.3">
      <c r="A690" t="s">
        <v>723</v>
      </c>
      <c r="B690" t="s">
        <v>18</v>
      </c>
      <c r="C690" t="s">
        <v>15</v>
      </c>
      <c r="D690" t="s">
        <v>31</v>
      </c>
      <c r="E690" t="s">
        <v>12</v>
      </c>
      <c r="F690">
        <v>146692</v>
      </c>
      <c r="G690">
        <v>14</v>
      </c>
      <c r="H690">
        <v>91317</v>
      </c>
    </row>
    <row r="691" spans="1:8" x14ac:dyDescent="0.3">
      <c r="A691" t="s">
        <v>724</v>
      </c>
      <c r="B691" t="s">
        <v>14</v>
      </c>
      <c r="C691" t="s">
        <v>15</v>
      </c>
      <c r="D691" t="s">
        <v>37</v>
      </c>
      <c r="E691" t="s">
        <v>49</v>
      </c>
      <c r="F691">
        <v>115822</v>
      </c>
      <c r="G691">
        <v>5</v>
      </c>
      <c r="H691">
        <v>71555</v>
      </c>
    </row>
    <row r="692" spans="1:8" x14ac:dyDescent="0.3">
      <c r="A692" t="s">
        <v>725</v>
      </c>
      <c r="B692" t="s">
        <v>40</v>
      </c>
      <c r="C692" t="s">
        <v>10</v>
      </c>
      <c r="D692" t="s">
        <v>11</v>
      </c>
      <c r="E692" t="s">
        <v>27</v>
      </c>
      <c r="F692">
        <v>127901</v>
      </c>
      <c r="G692">
        <v>11</v>
      </c>
      <c r="H692">
        <v>84399</v>
      </c>
    </row>
    <row r="693" spans="1:8" x14ac:dyDescent="0.3">
      <c r="A693" t="s">
        <v>726</v>
      </c>
      <c r="B693" t="s">
        <v>40</v>
      </c>
      <c r="C693" t="s">
        <v>10</v>
      </c>
      <c r="D693" t="s">
        <v>31</v>
      </c>
      <c r="E693" t="s">
        <v>27</v>
      </c>
      <c r="F693">
        <v>98725</v>
      </c>
      <c r="G693">
        <v>14</v>
      </c>
      <c r="H693">
        <v>62692</v>
      </c>
    </row>
    <row r="694" spans="1:8" x14ac:dyDescent="0.3">
      <c r="A694" t="s">
        <v>727</v>
      </c>
      <c r="B694" t="s">
        <v>21</v>
      </c>
      <c r="C694" t="s">
        <v>22</v>
      </c>
      <c r="D694" t="s">
        <v>11</v>
      </c>
      <c r="E694" t="s">
        <v>24</v>
      </c>
      <c r="F694">
        <v>62005</v>
      </c>
      <c r="G694">
        <v>9</v>
      </c>
      <c r="H694">
        <v>39960</v>
      </c>
    </row>
    <row r="695" spans="1:8" x14ac:dyDescent="0.3">
      <c r="A695" t="s">
        <v>728</v>
      </c>
      <c r="B695" t="s">
        <v>48</v>
      </c>
      <c r="C695" t="s">
        <v>15</v>
      </c>
      <c r="D695" t="s">
        <v>31</v>
      </c>
      <c r="E695" t="s">
        <v>27</v>
      </c>
      <c r="F695">
        <v>111670</v>
      </c>
      <c r="G695">
        <v>11</v>
      </c>
      <c r="H695">
        <v>67789</v>
      </c>
    </row>
    <row r="696" spans="1:8" x14ac:dyDescent="0.3">
      <c r="A696" t="s">
        <v>729</v>
      </c>
      <c r="B696" t="s">
        <v>42</v>
      </c>
      <c r="C696" t="s">
        <v>10</v>
      </c>
      <c r="D696" t="s">
        <v>11</v>
      </c>
      <c r="E696" t="s">
        <v>49</v>
      </c>
      <c r="F696">
        <v>39880</v>
      </c>
      <c r="G696">
        <v>8</v>
      </c>
      <c r="H696">
        <v>24711</v>
      </c>
    </row>
    <row r="697" spans="1:8" x14ac:dyDescent="0.3">
      <c r="A697" t="s">
        <v>730</v>
      </c>
      <c r="B697" t="s">
        <v>36</v>
      </c>
      <c r="C697" t="s">
        <v>22</v>
      </c>
      <c r="D697" t="s">
        <v>23</v>
      </c>
      <c r="E697" t="s">
        <v>16</v>
      </c>
      <c r="F697">
        <v>104304</v>
      </c>
      <c r="G697">
        <v>4</v>
      </c>
      <c r="H697">
        <v>66518</v>
      </c>
    </row>
    <row r="698" spans="1:8" x14ac:dyDescent="0.3">
      <c r="A698" t="s">
        <v>731</v>
      </c>
      <c r="B698" t="s">
        <v>21</v>
      </c>
      <c r="C698" t="s">
        <v>22</v>
      </c>
      <c r="D698" t="s">
        <v>31</v>
      </c>
      <c r="E698" t="s">
        <v>43</v>
      </c>
      <c r="F698">
        <v>117490</v>
      </c>
      <c r="G698">
        <v>9</v>
      </c>
      <c r="H698">
        <v>81495</v>
      </c>
    </row>
    <row r="699" spans="1:8" x14ac:dyDescent="0.3">
      <c r="A699" t="s">
        <v>732</v>
      </c>
      <c r="B699" t="s">
        <v>40</v>
      </c>
      <c r="C699" t="s">
        <v>10</v>
      </c>
      <c r="D699" t="s">
        <v>11</v>
      </c>
      <c r="E699" t="s">
        <v>46</v>
      </c>
      <c r="F699">
        <v>62770</v>
      </c>
      <c r="G699">
        <v>11</v>
      </c>
      <c r="H699">
        <v>43017</v>
      </c>
    </row>
    <row r="700" spans="1:8" x14ac:dyDescent="0.3">
      <c r="A700" t="s">
        <v>733</v>
      </c>
      <c r="B700" t="s">
        <v>14</v>
      </c>
      <c r="C700" t="s">
        <v>15</v>
      </c>
      <c r="D700" t="s">
        <v>31</v>
      </c>
      <c r="E700" t="s">
        <v>43</v>
      </c>
      <c r="F700">
        <v>125448</v>
      </c>
      <c r="G700">
        <v>9</v>
      </c>
      <c r="H700">
        <v>90962</v>
      </c>
    </row>
    <row r="701" spans="1:8" x14ac:dyDescent="0.3">
      <c r="A701" t="s">
        <v>734</v>
      </c>
      <c r="B701" t="s">
        <v>48</v>
      </c>
      <c r="C701" t="s">
        <v>15</v>
      </c>
      <c r="D701" t="s">
        <v>31</v>
      </c>
      <c r="E701" t="s">
        <v>24</v>
      </c>
      <c r="F701">
        <v>9420</v>
      </c>
      <c r="G701">
        <v>3</v>
      </c>
      <c r="H701">
        <v>5994</v>
      </c>
    </row>
    <row r="702" spans="1:8" x14ac:dyDescent="0.3">
      <c r="A702" t="s">
        <v>735</v>
      </c>
      <c r="B702" t="s">
        <v>36</v>
      </c>
      <c r="C702" t="s">
        <v>22</v>
      </c>
      <c r="D702" t="s">
        <v>37</v>
      </c>
      <c r="E702" t="s">
        <v>46</v>
      </c>
      <c r="F702">
        <v>63132</v>
      </c>
      <c r="G702">
        <v>5</v>
      </c>
      <c r="H702">
        <v>41536</v>
      </c>
    </row>
    <row r="703" spans="1:8" x14ac:dyDescent="0.3">
      <c r="A703" t="s">
        <v>736</v>
      </c>
      <c r="B703" t="s">
        <v>18</v>
      </c>
      <c r="C703" t="s">
        <v>15</v>
      </c>
      <c r="D703" t="s">
        <v>11</v>
      </c>
      <c r="E703" t="s">
        <v>43</v>
      </c>
      <c r="F703">
        <v>5498</v>
      </c>
      <c r="G703">
        <v>10</v>
      </c>
      <c r="H703">
        <v>3413</v>
      </c>
    </row>
    <row r="704" spans="1:8" x14ac:dyDescent="0.3">
      <c r="A704" t="s">
        <v>737</v>
      </c>
      <c r="B704" t="s">
        <v>14</v>
      </c>
      <c r="C704" t="s">
        <v>15</v>
      </c>
      <c r="D704" t="s">
        <v>37</v>
      </c>
      <c r="E704" t="s">
        <v>24</v>
      </c>
      <c r="F704">
        <v>59660</v>
      </c>
      <c r="G704">
        <v>15</v>
      </c>
      <c r="H704">
        <v>40359</v>
      </c>
    </row>
    <row r="705" spans="1:8" x14ac:dyDescent="0.3">
      <c r="A705" t="s">
        <v>738</v>
      </c>
      <c r="B705" t="s">
        <v>36</v>
      </c>
      <c r="C705" t="s">
        <v>22</v>
      </c>
      <c r="D705" t="s">
        <v>11</v>
      </c>
      <c r="E705" t="s">
        <v>24</v>
      </c>
      <c r="F705">
        <v>149204</v>
      </c>
      <c r="G705">
        <v>3</v>
      </c>
      <c r="H705">
        <v>90429</v>
      </c>
    </row>
    <row r="706" spans="1:8" x14ac:dyDescent="0.3">
      <c r="A706" t="s">
        <v>739</v>
      </c>
      <c r="B706" t="s">
        <v>9</v>
      </c>
      <c r="C706" t="s">
        <v>10</v>
      </c>
      <c r="D706" t="s">
        <v>37</v>
      </c>
      <c r="E706" t="s">
        <v>29</v>
      </c>
      <c r="F706">
        <v>138521</v>
      </c>
      <c r="G706">
        <v>2</v>
      </c>
      <c r="H706">
        <v>86177</v>
      </c>
    </row>
    <row r="707" spans="1:8" x14ac:dyDescent="0.3">
      <c r="A707" t="s">
        <v>740</v>
      </c>
      <c r="B707" t="s">
        <v>48</v>
      </c>
      <c r="C707" t="s">
        <v>15</v>
      </c>
      <c r="D707" t="s">
        <v>31</v>
      </c>
      <c r="E707" t="s">
        <v>16</v>
      </c>
      <c r="F707">
        <v>89439</v>
      </c>
      <c r="G707">
        <v>5</v>
      </c>
      <c r="H707">
        <v>60440</v>
      </c>
    </row>
    <row r="708" spans="1:8" x14ac:dyDescent="0.3">
      <c r="A708" t="s">
        <v>741</v>
      </c>
      <c r="B708" t="s">
        <v>14</v>
      </c>
      <c r="C708" t="s">
        <v>15</v>
      </c>
      <c r="D708" t="s">
        <v>37</v>
      </c>
      <c r="E708" t="s">
        <v>29</v>
      </c>
      <c r="F708">
        <v>57219</v>
      </c>
      <c r="G708">
        <v>3</v>
      </c>
      <c r="H708">
        <v>35270</v>
      </c>
    </row>
    <row r="709" spans="1:8" x14ac:dyDescent="0.3">
      <c r="A709" t="s">
        <v>742</v>
      </c>
      <c r="B709" t="s">
        <v>36</v>
      </c>
      <c r="C709" t="s">
        <v>22</v>
      </c>
      <c r="D709" t="s">
        <v>37</v>
      </c>
      <c r="E709" t="s">
        <v>19</v>
      </c>
      <c r="F709">
        <v>49444</v>
      </c>
      <c r="G709">
        <v>3</v>
      </c>
      <c r="H709">
        <v>34150</v>
      </c>
    </row>
    <row r="710" spans="1:8" x14ac:dyDescent="0.3">
      <c r="A710" t="s">
        <v>743</v>
      </c>
      <c r="B710" t="s">
        <v>9</v>
      </c>
      <c r="C710" t="s">
        <v>10</v>
      </c>
      <c r="D710" t="s">
        <v>23</v>
      </c>
      <c r="E710" t="s">
        <v>16</v>
      </c>
      <c r="F710">
        <v>67887</v>
      </c>
      <c r="G710">
        <v>10</v>
      </c>
      <c r="H710">
        <v>46531</v>
      </c>
    </row>
    <row r="711" spans="1:8" x14ac:dyDescent="0.3">
      <c r="A711" t="s">
        <v>744</v>
      </c>
      <c r="B711" t="s">
        <v>48</v>
      </c>
      <c r="C711" t="s">
        <v>15</v>
      </c>
      <c r="D711" t="s">
        <v>23</v>
      </c>
      <c r="E711" t="s">
        <v>49</v>
      </c>
      <c r="F711">
        <v>86813</v>
      </c>
      <c r="G711">
        <v>7</v>
      </c>
      <c r="H711">
        <v>60671</v>
      </c>
    </row>
    <row r="712" spans="1:8" x14ac:dyDescent="0.3">
      <c r="A712" t="s">
        <v>745</v>
      </c>
      <c r="B712" t="s">
        <v>9</v>
      </c>
      <c r="C712" t="s">
        <v>10</v>
      </c>
      <c r="D712" t="s">
        <v>37</v>
      </c>
      <c r="E712" t="s">
        <v>29</v>
      </c>
      <c r="F712">
        <v>145533</v>
      </c>
      <c r="G712">
        <v>7</v>
      </c>
      <c r="H712">
        <v>92876</v>
      </c>
    </row>
    <row r="713" spans="1:8" x14ac:dyDescent="0.3">
      <c r="A713" t="s">
        <v>746</v>
      </c>
      <c r="B713" t="s">
        <v>48</v>
      </c>
      <c r="C713" t="s">
        <v>15</v>
      </c>
      <c r="D713" t="s">
        <v>31</v>
      </c>
      <c r="E713" t="s">
        <v>61</v>
      </c>
      <c r="F713">
        <v>27468</v>
      </c>
      <c r="G713">
        <v>12</v>
      </c>
      <c r="H713">
        <v>16576</v>
      </c>
    </row>
    <row r="714" spans="1:8" x14ac:dyDescent="0.3">
      <c r="A714" t="s">
        <v>747</v>
      </c>
      <c r="B714" t="s">
        <v>42</v>
      </c>
      <c r="C714" t="s">
        <v>10</v>
      </c>
      <c r="D714" t="s">
        <v>11</v>
      </c>
      <c r="E714" t="s">
        <v>34</v>
      </c>
      <c r="F714">
        <v>27601</v>
      </c>
      <c r="G714">
        <v>12</v>
      </c>
      <c r="H714">
        <v>16687</v>
      </c>
    </row>
    <row r="715" spans="1:8" x14ac:dyDescent="0.3">
      <c r="A715" t="s">
        <v>748</v>
      </c>
      <c r="B715" t="s">
        <v>14</v>
      </c>
      <c r="C715" t="s">
        <v>15</v>
      </c>
      <c r="D715" t="s">
        <v>31</v>
      </c>
      <c r="E715" t="s">
        <v>46</v>
      </c>
      <c r="F715">
        <v>52219</v>
      </c>
      <c r="G715">
        <v>6</v>
      </c>
      <c r="H715">
        <v>34401</v>
      </c>
    </row>
    <row r="716" spans="1:8" x14ac:dyDescent="0.3">
      <c r="A716" t="s">
        <v>749</v>
      </c>
      <c r="B716" t="s">
        <v>36</v>
      </c>
      <c r="C716" t="s">
        <v>22</v>
      </c>
      <c r="D716" t="s">
        <v>37</v>
      </c>
      <c r="E716" t="s">
        <v>32</v>
      </c>
      <c r="F716">
        <v>85239</v>
      </c>
      <c r="G716">
        <v>14</v>
      </c>
      <c r="H716">
        <v>62190</v>
      </c>
    </row>
    <row r="717" spans="1:8" x14ac:dyDescent="0.3">
      <c r="A717" t="s">
        <v>750</v>
      </c>
      <c r="B717" t="s">
        <v>48</v>
      </c>
      <c r="C717" t="s">
        <v>15</v>
      </c>
      <c r="D717" t="s">
        <v>11</v>
      </c>
      <c r="E717" t="s">
        <v>49</v>
      </c>
      <c r="F717">
        <v>20518</v>
      </c>
      <c r="G717">
        <v>13</v>
      </c>
      <c r="H717">
        <v>14802</v>
      </c>
    </row>
    <row r="718" spans="1:8" x14ac:dyDescent="0.3">
      <c r="A718" t="s">
        <v>751</v>
      </c>
      <c r="B718" t="s">
        <v>14</v>
      </c>
      <c r="C718" t="s">
        <v>15</v>
      </c>
      <c r="D718" t="s">
        <v>31</v>
      </c>
      <c r="E718" t="s">
        <v>27</v>
      </c>
      <c r="F718">
        <v>122841</v>
      </c>
      <c r="G718">
        <v>1</v>
      </c>
      <c r="H718">
        <v>78423</v>
      </c>
    </row>
    <row r="719" spans="1:8" x14ac:dyDescent="0.3">
      <c r="A719" t="s">
        <v>752</v>
      </c>
      <c r="B719" t="s">
        <v>48</v>
      </c>
      <c r="C719" t="s">
        <v>15</v>
      </c>
      <c r="D719" t="s">
        <v>23</v>
      </c>
      <c r="E719" t="s">
        <v>24</v>
      </c>
      <c r="F719">
        <v>78779</v>
      </c>
      <c r="G719">
        <v>3</v>
      </c>
      <c r="H719">
        <v>52618</v>
      </c>
    </row>
    <row r="720" spans="1:8" x14ac:dyDescent="0.3">
      <c r="A720" t="s">
        <v>753</v>
      </c>
      <c r="B720" t="s">
        <v>14</v>
      </c>
      <c r="C720" t="s">
        <v>15</v>
      </c>
      <c r="D720" t="s">
        <v>31</v>
      </c>
      <c r="E720" t="s">
        <v>12</v>
      </c>
      <c r="F720">
        <v>94251</v>
      </c>
      <c r="G720">
        <v>2</v>
      </c>
      <c r="H720">
        <v>62522</v>
      </c>
    </row>
    <row r="721" spans="1:8" x14ac:dyDescent="0.3">
      <c r="A721" t="s">
        <v>754</v>
      </c>
      <c r="B721" t="s">
        <v>48</v>
      </c>
      <c r="C721" t="s">
        <v>15</v>
      </c>
      <c r="D721" t="s">
        <v>31</v>
      </c>
      <c r="E721" t="s">
        <v>29</v>
      </c>
      <c r="F721">
        <v>56820</v>
      </c>
      <c r="G721">
        <v>9</v>
      </c>
      <c r="H721">
        <v>37556</v>
      </c>
    </row>
    <row r="722" spans="1:8" x14ac:dyDescent="0.3">
      <c r="A722" t="s">
        <v>755</v>
      </c>
      <c r="B722" t="s">
        <v>9</v>
      </c>
      <c r="C722" t="s">
        <v>10</v>
      </c>
      <c r="D722" t="s">
        <v>31</v>
      </c>
      <c r="E722" t="s">
        <v>43</v>
      </c>
      <c r="F722">
        <v>52495</v>
      </c>
      <c r="G722">
        <v>6</v>
      </c>
      <c r="H722">
        <v>35835</v>
      </c>
    </row>
    <row r="723" spans="1:8" x14ac:dyDescent="0.3">
      <c r="A723" t="s">
        <v>756</v>
      </c>
      <c r="B723" t="s">
        <v>48</v>
      </c>
      <c r="C723" t="s">
        <v>15</v>
      </c>
      <c r="D723" t="s">
        <v>37</v>
      </c>
      <c r="E723" t="s">
        <v>43</v>
      </c>
      <c r="F723">
        <v>113000</v>
      </c>
      <c r="G723">
        <v>6</v>
      </c>
      <c r="H723">
        <v>72394</v>
      </c>
    </row>
    <row r="724" spans="1:8" x14ac:dyDescent="0.3">
      <c r="A724" t="s">
        <v>757</v>
      </c>
      <c r="B724" t="s">
        <v>21</v>
      </c>
      <c r="C724" t="s">
        <v>22</v>
      </c>
      <c r="D724" t="s">
        <v>31</v>
      </c>
      <c r="E724" t="s">
        <v>29</v>
      </c>
      <c r="F724">
        <v>65308</v>
      </c>
      <c r="G724">
        <v>4</v>
      </c>
      <c r="H724">
        <v>46015</v>
      </c>
    </row>
    <row r="725" spans="1:8" x14ac:dyDescent="0.3">
      <c r="A725" t="s">
        <v>758</v>
      </c>
      <c r="B725" t="s">
        <v>40</v>
      </c>
      <c r="C725" t="s">
        <v>10</v>
      </c>
      <c r="D725" t="s">
        <v>11</v>
      </c>
      <c r="E725" t="s">
        <v>29</v>
      </c>
      <c r="F725">
        <v>61269</v>
      </c>
      <c r="G725">
        <v>13</v>
      </c>
      <c r="H725">
        <v>37439</v>
      </c>
    </row>
    <row r="726" spans="1:8" x14ac:dyDescent="0.3">
      <c r="A726" t="s">
        <v>759</v>
      </c>
      <c r="B726" t="s">
        <v>42</v>
      </c>
      <c r="C726" t="s">
        <v>10</v>
      </c>
      <c r="D726" t="s">
        <v>11</v>
      </c>
      <c r="E726" t="s">
        <v>16</v>
      </c>
      <c r="F726">
        <v>59397</v>
      </c>
      <c r="G726">
        <v>10</v>
      </c>
      <c r="H726">
        <v>43024</v>
      </c>
    </row>
    <row r="727" spans="1:8" x14ac:dyDescent="0.3">
      <c r="A727" t="s">
        <v>760</v>
      </c>
      <c r="B727" t="s">
        <v>18</v>
      </c>
      <c r="C727" t="s">
        <v>15</v>
      </c>
      <c r="D727" t="s">
        <v>37</v>
      </c>
      <c r="E727" t="s">
        <v>49</v>
      </c>
      <c r="F727">
        <v>129467</v>
      </c>
      <c r="G727">
        <v>7</v>
      </c>
      <c r="H727">
        <v>94898</v>
      </c>
    </row>
    <row r="728" spans="1:8" x14ac:dyDescent="0.3">
      <c r="A728" t="s">
        <v>761</v>
      </c>
      <c r="B728" t="s">
        <v>14</v>
      </c>
      <c r="C728" t="s">
        <v>15</v>
      </c>
      <c r="D728" t="s">
        <v>37</v>
      </c>
      <c r="E728" t="s">
        <v>43</v>
      </c>
      <c r="F728">
        <v>95193</v>
      </c>
      <c r="G728">
        <v>13</v>
      </c>
      <c r="H728">
        <v>63877</v>
      </c>
    </row>
    <row r="729" spans="1:8" x14ac:dyDescent="0.3">
      <c r="A729" t="s">
        <v>762</v>
      </c>
      <c r="B729" t="s">
        <v>18</v>
      </c>
      <c r="C729" t="s">
        <v>15</v>
      </c>
      <c r="D729" t="s">
        <v>31</v>
      </c>
      <c r="E729" t="s">
        <v>34</v>
      </c>
      <c r="F729">
        <v>62343</v>
      </c>
      <c r="G729">
        <v>1</v>
      </c>
      <c r="H729">
        <v>44981</v>
      </c>
    </row>
    <row r="730" spans="1:8" x14ac:dyDescent="0.3">
      <c r="A730" t="s">
        <v>763</v>
      </c>
      <c r="B730" t="s">
        <v>42</v>
      </c>
      <c r="C730" t="s">
        <v>10</v>
      </c>
      <c r="D730" t="s">
        <v>23</v>
      </c>
      <c r="E730" t="s">
        <v>32</v>
      </c>
      <c r="F730">
        <v>148683</v>
      </c>
      <c r="G730">
        <v>15</v>
      </c>
      <c r="H730">
        <v>100892</v>
      </c>
    </row>
    <row r="731" spans="1:8" x14ac:dyDescent="0.3">
      <c r="A731" t="s">
        <v>764</v>
      </c>
      <c r="B731" t="s">
        <v>18</v>
      </c>
      <c r="C731" t="s">
        <v>15</v>
      </c>
      <c r="D731" t="s">
        <v>31</v>
      </c>
      <c r="E731" t="s">
        <v>61</v>
      </c>
      <c r="F731">
        <v>20967</v>
      </c>
      <c r="G731">
        <v>9</v>
      </c>
      <c r="H731">
        <v>13905</v>
      </c>
    </row>
    <row r="732" spans="1:8" x14ac:dyDescent="0.3">
      <c r="A732" t="s">
        <v>765</v>
      </c>
      <c r="B732" t="s">
        <v>48</v>
      </c>
      <c r="C732" t="s">
        <v>15</v>
      </c>
      <c r="D732" t="s">
        <v>11</v>
      </c>
      <c r="E732" t="s">
        <v>12</v>
      </c>
      <c r="F732">
        <v>104337</v>
      </c>
      <c r="G732">
        <v>2</v>
      </c>
      <c r="H732">
        <v>62732</v>
      </c>
    </row>
    <row r="733" spans="1:8" x14ac:dyDescent="0.3">
      <c r="A733" t="s">
        <v>766</v>
      </c>
      <c r="B733" t="s">
        <v>42</v>
      </c>
      <c r="C733" t="s">
        <v>10</v>
      </c>
      <c r="D733" t="s">
        <v>23</v>
      </c>
      <c r="E733" t="s">
        <v>19</v>
      </c>
      <c r="F733">
        <v>96241</v>
      </c>
      <c r="G733">
        <v>11</v>
      </c>
      <c r="H733">
        <v>58666</v>
      </c>
    </row>
    <row r="734" spans="1:8" x14ac:dyDescent="0.3">
      <c r="A734" t="s">
        <v>767</v>
      </c>
      <c r="B734" t="s">
        <v>9</v>
      </c>
      <c r="C734" t="s">
        <v>10</v>
      </c>
      <c r="D734" t="s">
        <v>23</v>
      </c>
      <c r="E734" t="s">
        <v>49</v>
      </c>
      <c r="F734">
        <v>82626</v>
      </c>
      <c r="G734">
        <v>8</v>
      </c>
      <c r="H734">
        <v>50334</v>
      </c>
    </row>
    <row r="735" spans="1:8" x14ac:dyDescent="0.3">
      <c r="A735" t="s">
        <v>768</v>
      </c>
      <c r="B735" t="s">
        <v>14</v>
      </c>
      <c r="C735" t="s">
        <v>15</v>
      </c>
      <c r="D735" t="s">
        <v>11</v>
      </c>
      <c r="E735" t="s">
        <v>32</v>
      </c>
      <c r="F735">
        <v>63883</v>
      </c>
      <c r="G735">
        <v>7</v>
      </c>
      <c r="H735">
        <v>43048</v>
      </c>
    </row>
    <row r="736" spans="1:8" x14ac:dyDescent="0.3">
      <c r="A736" t="s">
        <v>769</v>
      </c>
      <c r="B736" t="s">
        <v>9</v>
      </c>
      <c r="C736" t="s">
        <v>10</v>
      </c>
      <c r="D736" t="s">
        <v>31</v>
      </c>
      <c r="E736" t="s">
        <v>27</v>
      </c>
      <c r="F736">
        <v>113252</v>
      </c>
      <c r="G736">
        <v>14</v>
      </c>
      <c r="H736">
        <v>83568</v>
      </c>
    </row>
    <row r="737" spans="1:8" x14ac:dyDescent="0.3">
      <c r="A737" t="s">
        <v>770</v>
      </c>
      <c r="B737" t="s">
        <v>40</v>
      </c>
      <c r="C737" t="s">
        <v>10</v>
      </c>
      <c r="D737" t="s">
        <v>23</v>
      </c>
      <c r="E737" t="s">
        <v>32</v>
      </c>
      <c r="F737">
        <v>134204</v>
      </c>
      <c r="G737">
        <v>2</v>
      </c>
      <c r="H737">
        <v>91430</v>
      </c>
    </row>
    <row r="738" spans="1:8" x14ac:dyDescent="0.3">
      <c r="A738" t="s">
        <v>771</v>
      </c>
      <c r="B738" t="s">
        <v>18</v>
      </c>
      <c r="C738" t="s">
        <v>15</v>
      </c>
      <c r="D738" t="s">
        <v>31</v>
      </c>
      <c r="E738" t="s">
        <v>61</v>
      </c>
      <c r="F738">
        <v>40547</v>
      </c>
      <c r="G738">
        <v>5</v>
      </c>
      <c r="H738">
        <v>28262</v>
      </c>
    </row>
    <row r="739" spans="1:8" x14ac:dyDescent="0.3">
      <c r="A739" t="s">
        <v>772</v>
      </c>
      <c r="B739" t="s">
        <v>40</v>
      </c>
      <c r="C739" t="s">
        <v>10</v>
      </c>
      <c r="D739" t="s">
        <v>37</v>
      </c>
      <c r="E739" t="s">
        <v>34</v>
      </c>
      <c r="F739">
        <v>8632</v>
      </c>
      <c r="G739">
        <v>9</v>
      </c>
      <c r="H739">
        <v>5682</v>
      </c>
    </row>
    <row r="740" spans="1:8" x14ac:dyDescent="0.3">
      <c r="A740" t="s">
        <v>773</v>
      </c>
      <c r="B740" t="s">
        <v>48</v>
      </c>
      <c r="C740" t="s">
        <v>15</v>
      </c>
      <c r="D740" t="s">
        <v>23</v>
      </c>
      <c r="E740" t="s">
        <v>29</v>
      </c>
      <c r="F740">
        <v>125185</v>
      </c>
      <c r="G740">
        <v>8</v>
      </c>
      <c r="H740">
        <v>77927</v>
      </c>
    </row>
    <row r="741" spans="1:8" x14ac:dyDescent="0.3">
      <c r="A741" t="s">
        <v>774</v>
      </c>
      <c r="B741" t="s">
        <v>14</v>
      </c>
      <c r="C741" t="s">
        <v>15</v>
      </c>
      <c r="D741" t="s">
        <v>23</v>
      </c>
      <c r="E741" t="s">
        <v>29</v>
      </c>
      <c r="F741">
        <v>96857</v>
      </c>
      <c r="G741">
        <v>4</v>
      </c>
      <c r="H741">
        <v>70189</v>
      </c>
    </row>
    <row r="742" spans="1:8" x14ac:dyDescent="0.3">
      <c r="A742" t="s">
        <v>775</v>
      </c>
      <c r="B742" t="s">
        <v>48</v>
      </c>
      <c r="C742" t="s">
        <v>15</v>
      </c>
      <c r="D742" t="s">
        <v>11</v>
      </c>
      <c r="E742" t="s">
        <v>34</v>
      </c>
      <c r="F742">
        <v>43630</v>
      </c>
      <c r="G742">
        <v>6</v>
      </c>
      <c r="H742">
        <v>27145</v>
      </c>
    </row>
    <row r="743" spans="1:8" x14ac:dyDescent="0.3">
      <c r="A743" t="s">
        <v>776</v>
      </c>
      <c r="B743" t="s">
        <v>42</v>
      </c>
      <c r="C743" t="s">
        <v>10</v>
      </c>
      <c r="D743" t="s">
        <v>31</v>
      </c>
      <c r="E743" t="s">
        <v>16</v>
      </c>
      <c r="F743">
        <v>60530</v>
      </c>
      <c r="G743">
        <v>2</v>
      </c>
      <c r="H743">
        <v>42801</v>
      </c>
    </row>
    <row r="744" spans="1:8" x14ac:dyDescent="0.3">
      <c r="A744" t="s">
        <v>777</v>
      </c>
      <c r="B744" t="s">
        <v>48</v>
      </c>
      <c r="C744" t="s">
        <v>15</v>
      </c>
      <c r="D744" t="s">
        <v>11</v>
      </c>
      <c r="E744" t="s">
        <v>32</v>
      </c>
      <c r="F744">
        <v>49275</v>
      </c>
      <c r="G744">
        <v>7</v>
      </c>
      <c r="H744">
        <v>36116</v>
      </c>
    </row>
    <row r="745" spans="1:8" x14ac:dyDescent="0.3">
      <c r="A745" t="s">
        <v>778</v>
      </c>
      <c r="B745" t="s">
        <v>40</v>
      </c>
      <c r="C745" t="s">
        <v>10</v>
      </c>
      <c r="D745" t="s">
        <v>11</v>
      </c>
      <c r="E745" t="s">
        <v>49</v>
      </c>
      <c r="F745">
        <v>25767</v>
      </c>
      <c r="G745">
        <v>2</v>
      </c>
      <c r="H745">
        <v>18104</v>
      </c>
    </row>
    <row r="746" spans="1:8" x14ac:dyDescent="0.3">
      <c r="A746" t="s">
        <v>779</v>
      </c>
      <c r="B746" t="s">
        <v>48</v>
      </c>
      <c r="C746" t="s">
        <v>15</v>
      </c>
      <c r="D746" t="s">
        <v>31</v>
      </c>
      <c r="E746" t="s">
        <v>32</v>
      </c>
      <c r="F746">
        <v>42660</v>
      </c>
      <c r="G746">
        <v>7</v>
      </c>
      <c r="H746">
        <v>29815</v>
      </c>
    </row>
    <row r="747" spans="1:8" x14ac:dyDescent="0.3">
      <c r="A747" t="s">
        <v>780</v>
      </c>
      <c r="B747" t="s">
        <v>18</v>
      </c>
      <c r="C747" t="s">
        <v>15</v>
      </c>
      <c r="D747" t="s">
        <v>37</v>
      </c>
      <c r="E747" t="s">
        <v>16</v>
      </c>
      <c r="F747">
        <v>45642</v>
      </c>
      <c r="G747">
        <v>9</v>
      </c>
      <c r="H747">
        <v>32919</v>
      </c>
    </row>
    <row r="748" spans="1:8" x14ac:dyDescent="0.3">
      <c r="A748" t="s">
        <v>781</v>
      </c>
      <c r="B748" t="s">
        <v>14</v>
      </c>
      <c r="C748" t="s">
        <v>15</v>
      </c>
      <c r="D748" t="s">
        <v>31</v>
      </c>
      <c r="E748" t="s">
        <v>19</v>
      </c>
      <c r="F748">
        <v>25837</v>
      </c>
      <c r="G748">
        <v>15</v>
      </c>
      <c r="H748">
        <v>17607</v>
      </c>
    </row>
    <row r="749" spans="1:8" x14ac:dyDescent="0.3">
      <c r="A749" t="s">
        <v>782</v>
      </c>
      <c r="B749" t="s">
        <v>42</v>
      </c>
      <c r="C749" t="s">
        <v>10</v>
      </c>
      <c r="D749" t="s">
        <v>31</v>
      </c>
      <c r="E749" t="s">
        <v>49</v>
      </c>
      <c r="F749">
        <v>57346</v>
      </c>
      <c r="G749">
        <v>12</v>
      </c>
      <c r="H749">
        <v>36484</v>
      </c>
    </row>
    <row r="750" spans="1:8" x14ac:dyDescent="0.3">
      <c r="A750" t="s">
        <v>783</v>
      </c>
      <c r="B750" t="s">
        <v>36</v>
      </c>
      <c r="C750" t="s">
        <v>22</v>
      </c>
      <c r="D750" t="s">
        <v>31</v>
      </c>
      <c r="E750" t="s">
        <v>61</v>
      </c>
      <c r="F750">
        <v>82372</v>
      </c>
      <c r="G750">
        <v>5</v>
      </c>
      <c r="H750">
        <v>52539</v>
      </c>
    </row>
    <row r="751" spans="1:8" x14ac:dyDescent="0.3">
      <c r="A751" t="s">
        <v>784</v>
      </c>
      <c r="B751" t="s">
        <v>18</v>
      </c>
      <c r="C751" t="s">
        <v>15</v>
      </c>
      <c r="D751" t="s">
        <v>23</v>
      </c>
      <c r="E751" t="s">
        <v>46</v>
      </c>
      <c r="F751">
        <v>80360</v>
      </c>
      <c r="G751">
        <v>8</v>
      </c>
      <c r="H751">
        <v>54630</v>
      </c>
    </row>
    <row r="752" spans="1:8" x14ac:dyDescent="0.3">
      <c r="A752" t="s">
        <v>785</v>
      </c>
      <c r="B752" t="s">
        <v>21</v>
      </c>
      <c r="C752" t="s">
        <v>22</v>
      </c>
      <c r="D752" t="s">
        <v>37</v>
      </c>
      <c r="E752" t="s">
        <v>29</v>
      </c>
      <c r="F752">
        <v>126664</v>
      </c>
      <c r="G752">
        <v>7</v>
      </c>
      <c r="H752">
        <v>93823</v>
      </c>
    </row>
    <row r="753" spans="1:8" x14ac:dyDescent="0.3">
      <c r="A753" t="s">
        <v>786</v>
      </c>
      <c r="B753" t="s">
        <v>9</v>
      </c>
      <c r="C753" t="s">
        <v>10</v>
      </c>
      <c r="D753" t="s">
        <v>23</v>
      </c>
      <c r="E753" t="s">
        <v>46</v>
      </c>
      <c r="F753">
        <v>84825</v>
      </c>
      <c r="G753">
        <v>7</v>
      </c>
      <c r="H753">
        <v>56164</v>
      </c>
    </row>
    <row r="754" spans="1:8" x14ac:dyDescent="0.3">
      <c r="A754" t="s">
        <v>787</v>
      </c>
      <c r="B754" t="s">
        <v>14</v>
      </c>
      <c r="C754" t="s">
        <v>15</v>
      </c>
      <c r="D754" t="s">
        <v>37</v>
      </c>
      <c r="E754" t="s">
        <v>19</v>
      </c>
      <c r="F754">
        <v>82914</v>
      </c>
      <c r="G754">
        <v>7</v>
      </c>
      <c r="H754">
        <v>53478</v>
      </c>
    </row>
    <row r="755" spans="1:8" x14ac:dyDescent="0.3">
      <c r="A755" t="s">
        <v>788</v>
      </c>
      <c r="B755" t="s">
        <v>14</v>
      </c>
      <c r="C755" t="s">
        <v>15</v>
      </c>
      <c r="D755" t="s">
        <v>31</v>
      </c>
      <c r="E755" t="s">
        <v>19</v>
      </c>
      <c r="F755">
        <v>144736</v>
      </c>
      <c r="G755">
        <v>10</v>
      </c>
      <c r="H755">
        <v>104652</v>
      </c>
    </row>
    <row r="756" spans="1:8" x14ac:dyDescent="0.3">
      <c r="A756" t="s">
        <v>789</v>
      </c>
      <c r="B756" t="s">
        <v>36</v>
      </c>
      <c r="C756" t="s">
        <v>22</v>
      </c>
      <c r="D756" t="s">
        <v>23</v>
      </c>
      <c r="E756" t="s">
        <v>43</v>
      </c>
      <c r="F756">
        <v>146576</v>
      </c>
      <c r="G756">
        <v>5</v>
      </c>
      <c r="H756">
        <v>102174</v>
      </c>
    </row>
    <row r="757" spans="1:8" x14ac:dyDescent="0.3">
      <c r="A757" t="s">
        <v>790</v>
      </c>
      <c r="B757" t="s">
        <v>18</v>
      </c>
      <c r="C757" t="s">
        <v>15</v>
      </c>
      <c r="D757" t="s">
        <v>23</v>
      </c>
      <c r="E757" t="s">
        <v>61</v>
      </c>
      <c r="F757">
        <v>22113</v>
      </c>
      <c r="G757">
        <v>15</v>
      </c>
      <c r="H757">
        <v>13757</v>
      </c>
    </row>
    <row r="758" spans="1:8" x14ac:dyDescent="0.3">
      <c r="A758" t="s">
        <v>791</v>
      </c>
      <c r="B758" t="s">
        <v>48</v>
      </c>
      <c r="C758" t="s">
        <v>15</v>
      </c>
      <c r="D758" t="s">
        <v>23</v>
      </c>
      <c r="E758" t="s">
        <v>12</v>
      </c>
      <c r="F758">
        <v>15621</v>
      </c>
      <c r="G758">
        <v>15</v>
      </c>
      <c r="H758">
        <v>10475</v>
      </c>
    </row>
    <row r="759" spans="1:8" x14ac:dyDescent="0.3">
      <c r="A759" t="s">
        <v>792</v>
      </c>
      <c r="B759" t="s">
        <v>9</v>
      </c>
      <c r="C759" t="s">
        <v>10</v>
      </c>
      <c r="D759" t="s">
        <v>31</v>
      </c>
      <c r="E759" t="s">
        <v>19</v>
      </c>
      <c r="F759">
        <v>90937</v>
      </c>
      <c r="G759">
        <v>9</v>
      </c>
      <c r="H759">
        <v>64876</v>
      </c>
    </row>
    <row r="760" spans="1:8" x14ac:dyDescent="0.3">
      <c r="A760" t="s">
        <v>793</v>
      </c>
      <c r="B760" t="s">
        <v>40</v>
      </c>
      <c r="C760" t="s">
        <v>10</v>
      </c>
      <c r="D760" t="s">
        <v>31</v>
      </c>
      <c r="E760" t="s">
        <v>24</v>
      </c>
      <c r="F760">
        <v>134933</v>
      </c>
      <c r="G760">
        <v>14</v>
      </c>
      <c r="H760">
        <v>99388</v>
      </c>
    </row>
    <row r="761" spans="1:8" x14ac:dyDescent="0.3">
      <c r="A761" t="s">
        <v>794</v>
      </c>
      <c r="B761" t="s">
        <v>18</v>
      </c>
      <c r="C761" t="s">
        <v>15</v>
      </c>
      <c r="D761" t="s">
        <v>37</v>
      </c>
      <c r="E761" t="s">
        <v>24</v>
      </c>
      <c r="F761">
        <v>96251</v>
      </c>
      <c r="G761">
        <v>12</v>
      </c>
      <c r="H761">
        <v>68018</v>
      </c>
    </row>
    <row r="762" spans="1:8" x14ac:dyDescent="0.3">
      <c r="A762" t="s">
        <v>795</v>
      </c>
      <c r="B762" t="s">
        <v>14</v>
      </c>
      <c r="C762" t="s">
        <v>15</v>
      </c>
      <c r="D762" t="s">
        <v>23</v>
      </c>
      <c r="E762" t="s">
        <v>19</v>
      </c>
      <c r="F762">
        <v>121832</v>
      </c>
      <c r="G762">
        <v>10</v>
      </c>
      <c r="H762">
        <v>77895</v>
      </c>
    </row>
    <row r="763" spans="1:8" x14ac:dyDescent="0.3">
      <c r="A763" t="s">
        <v>796</v>
      </c>
      <c r="B763" t="s">
        <v>14</v>
      </c>
      <c r="C763" t="s">
        <v>15</v>
      </c>
      <c r="D763" t="s">
        <v>23</v>
      </c>
      <c r="E763" t="s">
        <v>43</v>
      </c>
      <c r="F763">
        <v>55689</v>
      </c>
      <c r="G763">
        <v>11</v>
      </c>
      <c r="H763">
        <v>38288</v>
      </c>
    </row>
    <row r="764" spans="1:8" x14ac:dyDescent="0.3">
      <c r="A764" t="s">
        <v>797</v>
      </c>
      <c r="B764" t="s">
        <v>9</v>
      </c>
      <c r="C764" t="s">
        <v>10</v>
      </c>
      <c r="D764" t="s">
        <v>11</v>
      </c>
      <c r="E764" t="s">
        <v>24</v>
      </c>
      <c r="F764">
        <v>124002</v>
      </c>
      <c r="G764">
        <v>3</v>
      </c>
      <c r="H764">
        <v>92712</v>
      </c>
    </row>
    <row r="765" spans="1:8" x14ac:dyDescent="0.3">
      <c r="A765" t="s">
        <v>798</v>
      </c>
      <c r="B765" t="s">
        <v>21</v>
      </c>
      <c r="C765" t="s">
        <v>22</v>
      </c>
      <c r="D765" t="s">
        <v>11</v>
      </c>
      <c r="E765" t="s">
        <v>43</v>
      </c>
      <c r="F765">
        <v>82248</v>
      </c>
      <c r="G765">
        <v>5</v>
      </c>
      <c r="H765">
        <v>54779</v>
      </c>
    </row>
    <row r="766" spans="1:8" x14ac:dyDescent="0.3">
      <c r="A766" t="s">
        <v>799</v>
      </c>
      <c r="B766" t="s">
        <v>42</v>
      </c>
      <c r="C766" t="s">
        <v>10</v>
      </c>
      <c r="D766" t="s">
        <v>31</v>
      </c>
      <c r="E766" t="s">
        <v>61</v>
      </c>
      <c r="F766">
        <v>16248</v>
      </c>
      <c r="G766">
        <v>13</v>
      </c>
      <c r="H766">
        <v>11517</v>
      </c>
    </row>
    <row r="767" spans="1:8" x14ac:dyDescent="0.3">
      <c r="A767" t="s">
        <v>800</v>
      </c>
      <c r="B767" t="s">
        <v>40</v>
      </c>
      <c r="C767" t="s">
        <v>10</v>
      </c>
      <c r="D767" t="s">
        <v>23</v>
      </c>
      <c r="E767" t="s">
        <v>12</v>
      </c>
      <c r="F767">
        <v>125473</v>
      </c>
      <c r="G767">
        <v>13</v>
      </c>
      <c r="H767">
        <v>93454</v>
      </c>
    </row>
    <row r="768" spans="1:8" x14ac:dyDescent="0.3">
      <c r="A768" t="s">
        <v>801</v>
      </c>
      <c r="B768" t="s">
        <v>48</v>
      </c>
      <c r="C768" t="s">
        <v>15</v>
      </c>
      <c r="D768" t="s">
        <v>11</v>
      </c>
      <c r="E768" t="s">
        <v>29</v>
      </c>
      <c r="F768">
        <v>22961</v>
      </c>
      <c r="G768">
        <v>1</v>
      </c>
      <c r="H768">
        <v>16198</v>
      </c>
    </row>
    <row r="769" spans="1:8" x14ac:dyDescent="0.3">
      <c r="A769" t="s">
        <v>802</v>
      </c>
      <c r="B769" t="s">
        <v>18</v>
      </c>
      <c r="C769" t="s">
        <v>15</v>
      </c>
      <c r="D769" t="s">
        <v>31</v>
      </c>
      <c r="E769" t="s">
        <v>29</v>
      </c>
      <c r="F769">
        <v>94700</v>
      </c>
      <c r="G769">
        <v>10</v>
      </c>
      <c r="H769">
        <v>61088</v>
      </c>
    </row>
    <row r="770" spans="1:8" x14ac:dyDescent="0.3">
      <c r="A770" t="s">
        <v>803</v>
      </c>
      <c r="B770" t="s">
        <v>42</v>
      </c>
      <c r="C770" t="s">
        <v>10</v>
      </c>
      <c r="D770" t="s">
        <v>23</v>
      </c>
      <c r="E770" t="s">
        <v>49</v>
      </c>
      <c r="F770">
        <v>117532</v>
      </c>
      <c r="G770">
        <v>11</v>
      </c>
      <c r="H770">
        <v>72751</v>
      </c>
    </row>
    <row r="771" spans="1:8" x14ac:dyDescent="0.3">
      <c r="A771" t="s">
        <v>804</v>
      </c>
      <c r="B771" t="s">
        <v>48</v>
      </c>
      <c r="C771" t="s">
        <v>15</v>
      </c>
      <c r="D771" t="s">
        <v>37</v>
      </c>
      <c r="E771" t="s">
        <v>49</v>
      </c>
      <c r="F771">
        <v>49244</v>
      </c>
      <c r="G771">
        <v>3</v>
      </c>
      <c r="H771">
        <v>32665</v>
      </c>
    </row>
    <row r="772" spans="1:8" x14ac:dyDescent="0.3">
      <c r="A772" t="s">
        <v>805</v>
      </c>
      <c r="B772" t="s">
        <v>21</v>
      </c>
      <c r="C772" t="s">
        <v>22</v>
      </c>
      <c r="D772" t="s">
        <v>11</v>
      </c>
      <c r="E772" t="s">
        <v>12</v>
      </c>
      <c r="F772">
        <v>27716</v>
      </c>
      <c r="G772">
        <v>9</v>
      </c>
      <c r="H772">
        <v>20697</v>
      </c>
    </row>
    <row r="773" spans="1:8" x14ac:dyDescent="0.3">
      <c r="A773" t="s">
        <v>806</v>
      </c>
      <c r="B773" t="s">
        <v>14</v>
      </c>
      <c r="C773" t="s">
        <v>15</v>
      </c>
      <c r="D773" t="s">
        <v>11</v>
      </c>
      <c r="E773" t="s">
        <v>61</v>
      </c>
      <c r="F773">
        <v>134183</v>
      </c>
      <c r="G773">
        <v>12</v>
      </c>
      <c r="H773">
        <v>84513</v>
      </c>
    </row>
    <row r="774" spans="1:8" x14ac:dyDescent="0.3">
      <c r="A774" t="s">
        <v>807</v>
      </c>
      <c r="B774" t="s">
        <v>18</v>
      </c>
      <c r="C774" t="s">
        <v>15</v>
      </c>
      <c r="D774" t="s">
        <v>11</v>
      </c>
      <c r="E774" t="s">
        <v>61</v>
      </c>
      <c r="F774">
        <v>112253</v>
      </c>
      <c r="G774">
        <v>6</v>
      </c>
      <c r="H774">
        <v>76150</v>
      </c>
    </row>
    <row r="775" spans="1:8" x14ac:dyDescent="0.3">
      <c r="A775" t="s">
        <v>808</v>
      </c>
      <c r="B775" t="s">
        <v>9</v>
      </c>
      <c r="C775" t="s">
        <v>10</v>
      </c>
      <c r="D775" t="s">
        <v>31</v>
      </c>
      <c r="E775" t="s">
        <v>49</v>
      </c>
      <c r="F775">
        <v>140063</v>
      </c>
      <c r="G775">
        <v>8</v>
      </c>
      <c r="H775">
        <v>88865</v>
      </c>
    </row>
    <row r="776" spans="1:8" x14ac:dyDescent="0.3">
      <c r="A776" t="s">
        <v>809</v>
      </c>
      <c r="B776" t="s">
        <v>48</v>
      </c>
      <c r="C776" t="s">
        <v>15</v>
      </c>
      <c r="D776" t="s">
        <v>23</v>
      </c>
      <c r="E776" t="s">
        <v>24</v>
      </c>
      <c r="F776">
        <v>127497</v>
      </c>
      <c r="G776">
        <v>14</v>
      </c>
      <c r="H776">
        <v>85069</v>
      </c>
    </row>
    <row r="777" spans="1:8" x14ac:dyDescent="0.3">
      <c r="A777" t="s">
        <v>810</v>
      </c>
      <c r="B777" t="s">
        <v>48</v>
      </c>
      <c r="C777" t="s">
        <v>15</v>
      </c>
      <c r="D777" t="s">
        <v>37</v>
      </c>
      <c r="E777" t="s">
        <v>12</v>
      </c>
      <c r="F777">
        <v>45713</v>
      </c>
      <c r="G777">
        <v>2</v>
      </c>
      <c r="H777">
        <v>31401</v>
      </c>
    </row>
    <row r="778" spans="1:8" x14ac:dyDescent="0.3">
      <c r="A778" t="s">
        <v>811</v>
      </c>
      <c r="B778" t="s">
        <v>9</v>
      </c>
      <c r="C778" t="s">
        <v>10</v>
      </c>
      <c r="D778" t="s">
        <v>23</v>
      </c>
      <c r="E778" t="s">
        <v>27</v>
      </c>
      <c r="F778">
        <v>103240</v>
      </c>
      <c r="G778">
        <v>6</v>
      </c>
      <c r="H778">
        <v>65364</v>
      </c>
    </row>
    <row r="779" spans="1:8" x14ac:dyDescent="0.3">
      <c r="A779" t="s">
        <v>812</v>
      </c>
      <c r="B779" t="s">
        <v>14</v>
      </c>
      <c r="C779" t="s">
        <v>15</v>
      </c>
      <c r="D779" t="s">
        <v>11</v>
      </c>
      <c r="E779" t="s">
        <v>24</v>
      </c>
      <c r="F779">
        <v>22746</v>
      </c>
      <c r="G779">
        <v>7</v>
      </c>
      <c r="H779">
        <v>15405</v>
      </c>
    </row>
    <row r="780" spans="1:8" x14ac:dyDescent="0.3">
      <c r="A780" t="s">
        <v>813</v>
      </c>
      <c r="B780" t="s">
        <v>9</v>
      </c>
      <c r="C780" t="s">
        <v>10</v>
      </c>
      <c r="D780" t="s">
        <v>37</v>
      </c>
      <c r="E780" t="s">
        <v>32</v>
      </c>
      <c r="F780">
        <v>104623</v>
      </c>
      <c r="G780">
        <v>2</v>
      </c>
      <c r="H780">
        <v>63476</v>
      </c>
    </row>
    <row r="781" spans="1:8" x14ac:dyDescent="0.3">
      <c r="A781" t="s">
        <v>814</v>
      </c>
      <c r="B781" t="s">
        <v>21</v>
      </c>
      <c r="C781" t="s">
        <v>22</v>
      </c>
      <c r="D781" t="s">
        <v>31</v>
      </c>
      <c r="E781" t="s">
        <v>61</v>
      </c>
      <c r="F781">
        <v>102340</v>
      </c>
      <c r="G781">
        <v>15</v>
      </c>
      <c r="H781">
        <v>74629</v>
      </c>
    </row>
    <row r="782" spans="1:8" x14ac:dyDescent="0.3">
      <c r="A782" t="s">
        <v>815</v>
      </c>
      <c r="B782" t="s">
        <v>36</v>
      </c>
      <c r="C782" t="s">
        <v>22</v>
      </c>
      <c r="D782" t="s">
        <v>11</v>
      </c>
      <c r="E782" t="s">
        <v>61</v>
      </c>
      <c r="F782">
        <v>79886</v>
      </c>
      <c r="G782">
        <v>13</v>
      </c>
      <c r="H782">
        <v>55353</v>
      </c>
    </row>
    <row r="783" spans="1:8" x14ac:dyDescent="0.3">
      <c r="A783" t="s">
        <v>816</v>
      </c>
      <c r="B783" t="s">
        <v>9</v>
      </c>
      <c r="C783" t="s">
        <v>10</v>
      </c>
      <c r="D783" t="s">
        <v>31</v>
      </c>
      <c r="E783" t="s">
        <v>19</v>
      </c>
      <c r="F783">
        <v>6631</v>
      </c>
      <c r="G783">
        <v>3</v>
      </c>
      <c r="H783">
        <v>4404</v>
      </c>
    </row>
    <row r="784" spans="1:8" x14ac:dyDescent="0.3">
      <c r="A784" t="s">
        <v>817</v>
      </c>
      <c r="B784" t="s">
        <v>48</v>
      </c>
      <c r="C784" t="s">
        <v>15</v>
      </c>
      <c r="D784" t="s">
        <v>31</v>
      </c>
      <c r="E784" t="s">
        <v>29</v>
      </c>
      <c r="F784">
        <v>109826</v>
      </c>
      <c r="G784">
        <v>10</v>
      </c>
      <c r="H784">
        <v>67440</v>
      </c>
    </row>
    <row r="785" spans="1:8" x14ac:dyDescent="0.3">
      <c r="A785" t="s">
        <v>818</v>
      </c>
      <c r="B785" t="s">
        <v>18</v>
      </c>
      <c r="C785" t="s">
        <v>15</v>
      </c>
      <c r="D785" t="s">
        <v>31</v>
      </c>
      <c r="E785" t="s">
        <v>43</v>
      </c>
      <c r="F785">
        <v>34373</v>
      </c>
      <c r="G785">
        <v>15</v>
      </c>
      <c r="H785">
        <v>24259</v>
      </c>
    </row>
    <row r="786" spans="1:8" x14ac:dyDescent="0.3">
      <c r="A786" t="s">
        <v>819</v>
      </c>
      <c r="B786" t="s">
        <v>48</v>
      </c>
      <c r="C786" t="s">
        <v>15</v>
      </c>
      <c r="D786" t="s">
        <v>31</v>
      </c>
      <c r="E786" t="s">
        <v>19</v>
      </c>
      <c r="F786">
        <v>112572</v>
      </c>
      <c r="G786">
        <v>4</v>
      </c>
      <c r="H786">
        <v>80448</v>
      </c>
    </row>
    <row r="787" spans="1:8" x14ac:dyDescent="0.3">
      <c r="A787" t="s">
        <v>820</v>
      </c>
      <c r="B787" t="s">
        <v>42</v>
      </c>
      <c r="C787" t="s">
        <v>10</v>
      </c>
      <c r="D787" t="s">
        <v>23</v>
      </c>
      <c r="E787" t="s">
        <v>27</v>
      </c>
      <c r="F787">
        <v>14837</v>
      </c>
      <c r="G787">
        <v>6</v>
      </c>
      <c r="H787">
        <v>9601</v>
      </c>
    </row>
    <row r="788" spans="1:8" x14ac:dyDescent="0.3">
      <c r="A788" t="s">
        <v>821</v>
      </c>
      <c r="B788" t="s">
        <v>18</v>
      </c>
      <c r="C788" t="s">
        <v>15</v>
      </c>
      <c r="D788" t="s">
        <v>31</v>
      </c>
      <c r="E788" t="s">
        <v>16</v>
      </c>
      <c r="F788">
        <v>139628</v>
      </c>
      <c r="G788">
        <v>6</v>
      </c>
      <c r="H788">
        <v>87589</v>
      </c>
    </row>
    <row r="789" spans="1:8" x14ac:dyDescent="0.3">
      <c r="A789" t="s">
        <v>822</v>
      </c>
      <c r="B789" t="s">
        <v>36</v>
      </c>
      <c r="C789" t="s">
        <v>22</v>
      </c>
      <c r="D789" t="s">
        <v>11</v>
      </c>
      <c r="E789" t="s">
        <v>46</v>
      </c>
      <c r="F789">
        <v>42488</v>
      </c>
      <c r="G789">
        <v>4</v>
      </c>
      <c r="H789">
        <v>27896</v>
      </c>
    </row>
    <row r="790" spans="1:8" x14ac:dyDescent="0.3">
      <c r="A790" t="s">
        <v>823</v>
      </c>
      <c r="B790" t="s">
        <v>40</v>
      </c>
      <c r="C790" t="s">
        <v>10</v>
      </c>
      <c r="D790" t="s">
        <v>31</v>
      </c>
      <c r="E790" t="s">
        <v>61</v>
      </c>
      <c r="F790">
        <v>27953</v>
      </c>
      <c r="G790">
        <v>13</v>
      </c>
      <c r="H790">
        <v>19385</v>
      </c>
    </row>
    <row r="791" spans="1:8" x14ac:dyDescent="0.3">
      <c r="A791" t="s">
        <v>824</v>
      </c>
      <c r="B791" t="s">
        <v>14</v>
      </c>
      <c r="C791" t="s">
        <v>15</v>
      </c>
      <c r="D791" t="s">
        <v>23</v>
      </c>
      <c r="E791" t="s">
        <v>49</v>
      </c>
      <c r="F791">
        <v>59089</v>
      </c>
      <c r="G791">
        <v>9</v>
      </c>
      <c r="H791">
        <v>40341</v>
      </c>
    </row>
    <row r="792" spans="1:8" x14ac:dyDescent="0.3">
      <c r="A792" t="s">
        <v>825</v>
      </c>
      <c r="B792" t="s">
        <v>21</v>
      </c>
      <c r="C792" t="s">
        <v>22</v>
      </c>
      <c r="D792" t="s">
        <v>11</v>
      </c>
      <c r="E792" t="s">
        <v>29</v>
      </c>
      <c r="F792">
        <v>39014</v>
      </c>
      <c r="G792">
        <v>4</v>
      </c>
      <c r="H792">
        <v>28388</v>
      </c>
    </row>
    <row r="793" spans="1:8" x14ac:dyDescent="0.3">
      <c r="A793" t="s">
        <v>826</v>
      </c>
      <c r="B793" t="s">
        <v>9</v>
      </c>
      <c r="C793" t="s">
        <v>10</v>
      </c>
      <c r="D793" t="s">
        <v>37</v>
      </c>
      <c r="E793" t="s">
        <v>19</v>
      </c>
      <c r="F793">
        <v>123376</v>
      </c>
      <c r="G793">
        <v>13</v>
      </c>
      <c r="H793">
        <v>85805</v>
      </c>
    </row>
    <row r="794" spans="1:8" x14ac:dyDescent="0.3">
      <c r="A794" t="s">
        <v>827</v>
      </c>
      <c r="B794" t="s">
        <v>42</v>
      </c>
      <c r="C794" t="s">
        <v>10</v>
      </c>
      <c r="D794" t="s">
        <v>37</v>
      </c>
      <c r="E794" t="s">
        <v>46</v>
      </c>
      <c r="F794">
        <v>62911</v>
      </c>
      <c r="G794">
        <v>3</v>
      </c>
      <c r="H794">
        <v>44398</v>
      </c>
    </row>
    <row r="795" spans="1:8" x14ac:dyDescent="0.3">
      <c r="A795" t="s">
        <v>828</v>
      </c>
      <c r="B795" t="s">
        <v>40</v>
      </c>
      <c r="C795" t="s">
        <v>10</v>
      </c>
      <c r="D795" t="s">
        <v>11</v>
      </c>
      <c r="E795" t="s">
        <v>46</v>
      </c>
      <c r="F795">
        <v>77562</v>
      </c>
      <c r="G795">
        <v>1</v>
      </c>
      <c r="H795">
        <v>52295</v>
      </c>
    </row>
    <row r="796" spans="1:8" x14ac:dyDescent="0.3">
      <c r="A796" t="s">
        <v>829</v>
      </c>
      <c r="B796" t="s">
        <v>48</v>
      </c>
      <c r="C796" t="s">
        <v>15</v>
      </c>
      <c r="D796" t="s">
        <v>31</v>
      </c>
      <c r="E796" t="s">
        <v>29</v>
      </c>
      <c r="F796">
        <v>83210</v>
      </c>
      <c r="G796">
        <v>15</v>
      </c>
      <c r="H796">
        <v>61165</v>
      </c>
    </row>
    <row r="797" spans="1:8" x14ac:dyDescent="0.3">
      <c r="A797" t="s">
        <v>830</v>
      </c>
      <c r="B797" t="s">
        <v>21</v>
      </c>
      <c r="C797" t="s">
        <v>22</v>
      </c>
      <c r="D797" t="s">
        <v>31</v>
      </c>
      <c r="E797" t="s">
        <v>29</v>
      </c>
      <c r="F797">
        <v>135210</v>
      </c>
      <c r="G797">
        <v>4</v>
      </c>
      <c r="H797">
        <v>99867</v>
      </c>
    </row>
    <row r="798" spans="1:8" x14ac:dyDescent="0.3">
      <c r="A798" t="s">
        <v>831</v>
      </c>
      <c r="B798" t="s">
        <v>18</v>
      </c>
      <c r="C798" t="s">
        <v>15</v>
      </c>
      <c r="D798" t="s">
        <v>31</v>
      </c>
      <c r="E798" t="s">
        <v>12</v>
      </c>
      <c r="F798">
        <v>9831</v>
      </c>
      <c r="G798">
        <v>9</v>
      </c>
      <c r="H798">
        <v>5976</v>
      </c>
    </row>
    <row r="799" spans="1:8" x14ac:dyDescent="0.3">
      <c r="A799" t="s">
        <v>832</v>
      </c>
      <c r="B799" t="s">
        <v>36</v>
      </c>
      <c r="C799" t="s">
        <v>22</v>
      </c>
      <c r="D799" t="s">
        <v>37</v>
      </c>
      <c r="E799" t="s">
        <v>16</v>
      </c>
      <c r="F799">
        <v>48897</v>
      </c>
      <c r="G799">
        <v>13</v>
      </c>
      <c r="H799">
        <v>30098</v>
      </c>
    </row>
    <row r="800" spans="1:8" x14ac:dyDescent="0.3">
      <c r="A800" t="s">
        <v>833</v>
      </c>
      <c r="B800" t="s">
        <v>21</v>
      </c>
      <c r="C800" t="s">
        <v>22</v>
      </c>
      <c r="D800" t="s">
        <v>11</v>
      </c>
      <c r="E800" t="s">
        <v>27</v>
      </c>
      <c r="F800">
        <v>34474</v>
      </c>
      <c r="G800">
        <v>10</v>
      </c>
      <c r="H800">
        <v>23020</v>
      </c>
    </row>
    <row r="801" spans="1:8" x14ac:dyDescent="0.3">
      <c r="A801" t="s">
        <v>834</v>
      </c>
      <c r="B801" t="s">
        <v>9</v>
      </c>
      <c r="C801" t="s">
        <v>10</v>
      </c>
      <c r="D801" t="s">
        <v>11</v>
      </c>
      <c r="E801" t="s">
        <v>46</v>
      </c>
      <c r="F801">
        <v>27663</v>
      </c>
      <c r="G801">
        <v>13</v>
      </c>
      <c r="H801">
        <v>17712</v>
      </c>
    </row>
    <row r="802" spans="1:8" x14ac:dyDescent="0.3">
      <c r="A802" t="s">
        <v>835</v>
      </c>
      <c r="B802" t="s">
        <v>40</v>
      </c>
      <c r="C802" t="s">
        <v>10</v>
      </c>
      <c r="D802" t="s">
        <v>23</v>
      </c>
      <c r="E802" t="s">
        <v>61</v>
      </c>
      <c r="F802">
        <v>5597</v>
      </c>
      <c r="G802">
        <v>2</v>
      </c>
      <c r="H802">
        <v>3460</v>
      </c>
    </row>
    <row r="803" spans="1:8" x14ac:dyDescent="0.3">
      <c r="A803" t="s">
        <v>836</v>
      </c>
      <c r="B803" t="s">
        <v>9</v>
      </c>
      <c r="C803" t="s">
        <v>10</v>
      </c>
      <c r="D803" t="s">
        <v>11</v>
      </c>
      <c r="E803" t="s">
        <v>16</v>
      </c>
      <c r="F803">
        <v>57375</v>
      </c>
      <c r="G803">
        <v>3</v>
      </c>
      <c r="H803">
        <v>36349</v>
      </c>
    </row>
    <row r="804" spans="1:8" x14ac:dyDescent="0.3">
      <c r="A804" t="s">
        <v>837</v>
      </c>
      <c r="B804" t="s">
        <v>18</v>
      </c>
      <c r="C804" t="s">
        <v>15</v>
      </c>
      <c r="D804" t="s">
        <v>31</v>
      </c>
      <c r="E804" t="s">
        <v>43</v>
      </c>
      <c r="F804">
        <v>98330</v>
      </c>
      <c r="G804">
        <v>13</v>
      </c>
      <c r="H804">
        <v>62034</v>
      </c>
    </row>
    <row r="805" spans="1:8" x14ac:dyDescent="0.3">
      <c r="A805" t="s">
        <v>838</v>
      </c>
      <c r="B805" t="s">
        <v>18</v>
      </c>
      <c r="C805" t="s">
        <v>15</v>
      </c>
      <c r="D805" t="s">
        <v>11</v>
      </c>
      <c r="E805" t="s">
        <v>32</v>
      </c>
      <c r="F805">
        <v>74802</v>
      </c>
      <c r="G805">
        <v>5</v>
      </c>
      <c r="H805">
        <v>52455</v>
      </c>
    </row>
    <row r="806" spans="1:8" x14ac:dyDescent="0.3">
      <c r="A806" t="s">
        <v>839</v>
      </c>
      <c r="B806" t="s">
        <v>36</v>
      </c>
      <c r="C806" t="s">
        <v>22</v>
      </c>
      <c r="D806" t="s">
        <v>37</v>
      </c>
      <c r="E806" t="s">
        <v>24</v>
      </c>
      <c r="F806">
        <v>7384</v>
      </c>
      <c r="G806">
        <v>13</v>
      </c>
      <c r="H806">
        <v>4934</v>
      </c>
    </row>
    <row r="807" spans="1:8" x14ac:dyDescent="0.3">
      <c r="A807" t="s">
        <v>840</v>
      </c>
      <c r="B807" t="s">
        <v>21</v>
      </c>
      <c r="C807" t="s">
        <v>22</v>
      </c>
      <c r="D807" t="s">
        <v>23</v>
      </c>
      <c r="E807" t="s">
        <v>46</v>
      </c>
      <c r="F807">
        <v>51727</v>
      </c>
      <c r="G807">
        <v>3</v>
      </c>
      <c r="H807">
        <v>33730</v>
      </c>
    </row>
    <row r="808" spans="1:8" x14ac:dyDescent="0.3">
      <c r="A808" t="s">
        <v>841</v>
      </c>
      <c r="B808" t="s">
        <v>21</v>
      </c>
      <c r="C808" t="s">
        <v>22</v>
      </c>
      <c r="D808" t="s">
        <v>11</v>
      </c>
      <c r="E808" t="s">
        <v>34</v>
      </c>
      <c r="F808">
        <v>51489</v>
      </c>
      <c r="G808">
        <v>2</v>
      </c>
      <c r="H808">
        <v>32934</v>
      </c>
    </row>
    <row r="809" spans="1:8" x14ac:dyDescent="0.3">
      <c r="A809" t="s">
        <v>842</v>
      </c>
      <c r="B809" t="s">
        <v>36</v>
      </c>
      <c r="C809" t="s">
        <v>22</v>
      </c>
      <c r="D809" t="s">
        <v>11</v>
      </c>
      <c r="E809" t="s">
        <v>43</v>
      </c>
      <c r="F809">
        <v>107784</v>
      </c>
      <c r="G809">
        <v>6</v>
      </c>
      <c r="H809">
        <v>79374</v>
      </c>
    </row>
    <row r="810" spans="1:8" x14ac:dyDescent="0.3">
      <c r="A810" t="s">
        <v>843</v>
      </c>
      <c r="B810" t="s">
        <v>48</v>
      </c>
      <c r="C810" t="s">
        <v>15</v>
      </c>
      <c r="D810" t="s">
        <v>11</v>
      </c>
      <c r="E810" t="s">
        <v>43</v>
      </c>
      <c r="F810">
        <v>118322</v>
      </c>
      <c r="G810">
        <v>6</v>
      </c>
      <c r="H810">
        <v>79823</v>
      </c>
    </row>
    <row r="811" spans="1:8" x14ac:dyDescent="0.3">
      <c r="A811" t="s">
        <v>844</v>
      </c>
      <c r="B811" t="s">
        <v>42</v>
      </c>
      <c r="C811" t="s">
        <v>10</v>
      </c>
      <c r="D811" t="s">
        <v>31</v>
      </c>
      <c r="E811" t="s">
        <v>46</v>
      </c>
      <c r="F811">
        <v>98912</v>
      </c>
      <c r="G811">
        <v>4</v>
      </c>
      <c r="H811">
        <v>66082</v>
      </c>
    </row>
    <row r="812" spans="1:8" x14ac:dyDescent="0.3">
      <c r="A812" t="s">
        <v>845</v>
      </c>
      <c r="B812" t="s">
        <v>18</v>
      </c>
      <c r="C812" t="s">
        <v>15</v>
      </c>
      <c r="D812" t="s">
        <v>11</v>
      </c>
      <c r="E812" t="s">
        <v>61</v>
      </c>
      <c r="F812">
        <v>146900</v>
      </c>
      <c r="G812">
        <v>1</v>
      </c>
      <c r="H812">
        <v>93803</v>
      </c>
    </row>
    <row r="813" spans="1:8" x14ac:dyDescent="0.3">
      <c r="A813" t="s">
        <v>846</v>
      </c>
      <c r="B813" t="s">
        <v>40</v>
      </c>
      <c r="C813" t="s">
        <v>10</v>
      </c>
      <c r="D813" t="s">
        <v>31</v>
      </c>
      <c r="E813" t="s">
        <v>34</v>
      </c>
      <c r="F813">
        <v>13623</v>
      </c>
      <c r="G813">
        <v>15</v>
      </c>
      <c r="H813">
        <v>10013</v>
      </c>
    </row>
    <row r="814" spans="1:8" x14ac:dyDescent="0.3">
      <c r="A814" t="s">
        <v>847</v>
      </c>
      <c r="B814" t="s">
        <v>42</v>
      </c>
      <c r="C814" t="s">
        <v>10</v>
      </c>
      <c r="D814" t="s">
        <v>31</v>
      </c>
      <c r="E814" t="s">
        <v>12</v>
      </c>
      <c r="F814">
        <v>125700</v>
      </c>
      <c r="G814">
        <v>1</v>
      </c>
      <c r="H814">
        <v>85210</v>
      </c>
    </row>
    <row r="815" spans="1:8" x14ac:dyDescent="0.3">
      <c r="A815" t="s">
        <v>848</v>
      </c>
      <c r="B815" t="s">
        <v>21</v>
      </c>
      <c r="C815" t="s">
        <v>22</v>
      </c>
      <c r="D815" t="s">
        <v>23</v>
      </c>
      <c r="E815" t="s">
        <v>12</v>
      </c>
      <c r="F815">
        <v>124587</v>
      </c>
      <c r="G815">
        <v>2</v>
      </c>
      <c r="H815">
        <v>75900</v>
      </c>
    </row>
    <row r="816" spans="1:8" x14ac:dyDescent="0.3">
      <c r="A816" t="s">
        <v>849</v>
      </c>
      <c r="B816" t="s">
        <v>48</v>
      </c>
      <c r="C816" t="s">
        <v>15</v>
      </c>
      <c r="D816" t="s">
        <v>37</v>
      </c>
      <c r="E816" t="s">
        <v>19</v>
      </c>
      <c r="F816">
        <v>47397</v>
      </c>
      <c r="G816">
        <v>1</v>
      </c>
      <c r="H816">
        <v>33539</v>
      </c>
    </row>
    <row r="817" spans="1:8" x14ac:dyDescent="0.3">
      <c r="A817" t="s">
        <v>850</v>
      </c>
      <c r="B817" t="s">
        <v>21</v>
      </c>
      <c r="C817" t="s">
        <v>22</v>
      </c>
      <c r="D817" t="s">
        <v>37</v>
      </c>
      <c r="E817" t="s">
        <v>61</v>
      </c>
      <c r="F817">
        <v>45306</v>
      </c>
      <c r="G817">
        <v>8</v>
      </c>
      <c r="H817">
        <v>32738</v>
      </c>
    </row>
    <row r="818" spans="1:8" x14ac:dyDescent="0.3">
      <c r="A818" t="s">
        <v>851</v>
      </c>
      <c r="B818" t="s">
        <v>42</v>
      </c>
      <c r="C818" t="s">
        <v>10</v>
      </c>
      <c r="D818" t="s">
        <v>11</v>
      </c>
      <c r="E818" t="s">
        <v>43</v>
      </c>
      <c r="F818">
        <v>128365</v>
      </c>
      <c r="G818">
        <v>10</v>
      </c>
      <c r="H818">
        <v>81099</v>
      </c>
    </row>
    <row r="819" spans="1:8" x14ac:dyDescent="0.3">
      <c r="A819" t="s">
        <v>852</v>
      </c>
      <c r="B819" t="s">
        <v>14</v>
      </c>
      <c r="C819" t="s">
        <v>15</v>
      </c>
      <c r="D819" t="s">
        <v>31</v>
      </c>
      <c r="E819" t="s">
        <v>29</v>
      </c>
      <c r="F819">
        <v>97700</v>
      </c>
      <c r="G819">
        <v>2</v>
      </c>
      <c r="H819">
        <v>72059</v>
      </c>
    </row>
    <row r="820" spans="1:8" x14ac:dyDescent="0.3">
      <c r="A820" t="s">
        <v>853</v>
      </c>
      <c r="B820" t="s">
        <v>36</v>
      </c>
      <c r="C820" t="s">
        <v>22</v>
      </c>
      <c r="D820" t="s">
        <v>11</v>
      </c>
      <c r="E820" t="s">
        <v>34</v>
      </c>
      <c r="F820">
        <v>16996</v>
      </c>
      <c r="G820">
        <v>9</v>
      </c>
      <c r="H820">
        <v>11351</v>
      </c>
    </row>
    <row r="821" spans="1:8" x14ac:dyDescent="0.3">
      <c r="A821" t="s">
        <v>854</v>
      </c>
      <c r="B821" t="s">
        <v>18</v>
      </c>
      <c r="C821" t="s">
        <v>15</v>
      </c>
      <c r="D821" t="s">
        <v>11</v>
      </c>
      <c r="E821" t="s">
        <v>49</v>
      </c>
      <c r="F821">
        <v>75671</v>
      </c>
      <c r="G821">
        <v>7</v>
      </c>
      <c r="H821">
        <v>46483</v>
      </c>
    </row>
    <row r="822" spans="1:8" x14ac:dyDescent="0.3">
      <c r="A822" t="s">
        <v>855</v>
      </c>
      <c r="B822" t="s">
        <v>14</v>
      </c>
      <c r="C822" t="s">
        <v>15</v>
      </c>
      <c r="D822" t="s">
        <v>11</v>
      </c>
      <c r="E822" t="s">
        <v>49</v>
      </c>
      <c r="F822">
        <v>22802</v>
      </c>
      <c r="G822">
        <v>11</v>
      </c>
      <c r="H822">
        <v>14655</v>
      </c>
    </row>
    <row r="823" spans="1:8" x14ac:dyDescent="0.3">
      <c r="A823" t="s">
        <v>856</v>
      </c>
      <c r="B823" t="s">
        <v>42</v>
      </c>
      <c r="C823" t="s">
        <v>10</v>
      </c>
      <c r="D823" t="s">
        <v>23</v>
      </c>
      <c r="E823" t="s">
        <v>43</v>
      </c>
      <c r="F823">
        <v>51834</v>
      </c>
      <c r="G823">
        <v>8</v>
      </c>
      <c r="H823">
        <v>38436</v>
      </c>
    </row>
    <row r="824" spans="1:8" x14ac:dyDescent="0.3">
      <c r="A824" t="s">
        <v>857</v>
      </c>
      <c r="B824" t="s">
        <v>9</v>
      </c>
      <c r="C824" t="s">
        <v>10</v>
      </c>
      <c r="D824" t="s">
        <v>31</v>
      </c>
      <c r="E824" t="s">
        <v>12</v>
      </c>
      <c r="F824">
        <v>120023</v>
      </c>
      <c r="G824">
        <v>6</v>
      </c>
      <c r="H824">
        <v>87801</v>
      </c>
    </row>
    <row r="825" spans="1:8" x14ac:dyDescent="0.3">
      <c r="A825" t="s">
        <v>858</v>
      </c>
      <c r="B825" t="s">
        <v>21</v>
      </c>
      <c r="C825" t="s">
        <v>22</v>
      </c>
      <c r="D825" t="s">
        <v>31</v>
      </c>
      <c r="E825" t="s">
        <v>61</v>
      </c>
      <c r="F825">
        <v>7443</v>
      </c>
      <c r="G825">
        <v>1</v>
      </c>
      <c r="H825">
        <v>4520</v>
      </c>
    </row>
    <row r="826" spans="1:8" x14ac:dyDescent="0.3">
      <c r="A826" t="s">
        <v>859</v>
      </c>
      <c r="B826" t="s">
        <v>14</v>
      </c>
      <c r="C826" t="s">
        <v>15</v>
      </c>
      <c r="D826" t="s">
        <v>11</v>
      </c>
      <c r="E826" t="s">
        <v>24</v>
      </c>
      <c r="F826">
        <v>146741</v>
      </c>
      <c r="G826">
        <v>7</v>
      </c>
      <c r="H826">
        <v>102058</v>
      </c>
    </row>
    <row r="827" spans="1:8" x14ac:dyDescent="0.3">
      <c r="A827" t="s">
        <v>860</v>
      </c>
      <c r="B827" t="s">
        <v>48</v>
      </c>
      <c r="C827" t="s">
        <v>15</v>
      </c>
      <c r="D827" t="s">
        <v>11</v>
      </c>
      <c r="E827" t="s">
        <v>32</v>
      </c>
      <c r="F827">
        <v>23466</v>
      </c>
      <c r="G827">
        <v>4</v>
      </c>
      <c r="H827">
        <v>17191</v>
      </c>
    </row>
    <row r="828" spans="1:8" x14ac:dyDescent="0.3">
      <c r="A828" t="s">
        <v>861</v>
      </c>
      <c r="B828" t="s">
        <v>42</v>
      </c>
      <c r="C828" t="s">
        <v>10</v>
      </c>
      <c r="D828" t="s">
        <v>11</v>
      </c>
      <c r="E828" t="s">
        <v>34</v>
      </c>
      <c r="F828">
        <v>17680</v>
      </c>
      <c r="G828">
        <v>10</v>
      </c>
      <c r="H828">
        <v>12048</v>
      </c>
    </row>
    <row r="829" spans="1:8" x14ac:dyDescent="0.3">
      <c r="A829" t="s">
        <v>862</v>
      </c>
      <c r="B829" t="s">
        <v>14</v>
      </c>
      <c r="C829" t="s">
        <v>15</v>
      </c>
      <c r="D829" t="s">
        <v>11</v>
      </c>
      <c r="E829" t="s">
        <v>16</v>
      </c>
      <c r="F829">
        <v>100242</v>
      </c>
      <c r="G829">
        <v>5</v>
      </c>
      <c r="H829">
        <v>61271</v>
      </c>
    </row>
    <row r="830" spans="1:8" x14ac:dyDescent="0.3">
      <c r="A830" t="s">
        <v>863</v>
      </c>
      <c r="B830" t="s">
        <v>18</v>
      </c>
      <c r="C830" t="s">
        <v>15</v>
      </c>
      <c r="D830" t="s">
        <v>11</v>
      </c>
      <c r="E830" t="s">
        <v>43</v>
      </c>
      <c r="F830">
        <v>38213</v>
      </c>
      <c r="G830">
        <v>3</v>
      </c>
      <c r="H830">
        <v>26541</v>
      </c>
    </row>
    <row r="831" spans="1:8" x14ac:dyDescent="0.3">
      <c r="A831" t="s">
        <v>864</v>
      </c>
      <c r="B831" t="s">
        <v>36</v>
      </c>
      <c r="C831" t="s">
        <v>22</v>
      </c>
      <c r="D831" t="s">
        <v>31</v>
      </c>
      <c r="E831" t="s">
        <v>61</v>
      </c>
      <c r="F831">
        <v>34186</v>
      </c>
      <c r="G831">
        <v>12</v>
      </c>
      <c r="H831">
        <v>22803</v>
      </c>
    </row>
    <row r="832" spans="1:8" x14ac:dyDescent="0.3">
      <c r="A832" t="s">
        <v>865</v>
      </c>
      <c r="B832" t="s">
        <v>48</v>
      </c>
      <c r="C832" t="s">
        <v>15</v>
      </c>
      <c r="D832" t="s">
        <v>31</v>
      </c>
      <c r="E832" t="s">
        <v>46</v>
      </c>
      <c r="F832">
        <v>85341</v>
      </c>
      <c r="G832">
        <v>4</v>
      </c>
      <c r="H832">
        <v>56016</v>
      </c>
    </row>
    <row r="833" spans="1:8" x14ac:dyDescent="0.3">
      <c r="A833" t="s">
        <v>866</v>
      </c>
      <c r="B833" t="s">
        <v>42</v>
      </c>
      <c r="C833" t="s">
        <v>10</v>
      </c>
      <c r="D833" t="s">
        <v>37</v>
      </c>
      <c r="E833" t="s">
        <v>29</v>
      </c>
      <c r="F833">
        <v>70555</v>
      </c>
      <c r="G833">
        <v>1</v>
      </c>
      <c r="H833">
        <v>44871</v>
      </c>
    </row>
    <row r="834" spans="1:8" x14ac:dyDescent="0.3">
      <c r="A834" t="s">
        <v>867</v>
      </c>
      <c r="B834" t="s">
        <v>40</v>
      </c>
      <c r="C834" t="s">
        <v>10</v>
      </c>
      <c r="D834" t="s">
        <v>23</v>
      </c>
      <c r="E834" t="s">
        <v>29</v>
      </c>
      <c r="F834">
        <v>132905</v>
      </c>
      <c r="G834">
        <v>10</v>
      </c>
      <c r="H834">
        <v>91755</v>
      </c>
    </row>
    <row r="835" spans="1:8" x14ac:dyDescent="0.3">
      <c r="A835" t="s">
        <v>868</v>
      </c>
      <c r="B835" t="s">
        <v>48</v>
      </c>
      <c r="C835" t="s">
        <v>15</v>
      </c>
      <c r="D835" t="s">
        <v>23</v>
      </c>
      <c r="E835" t="s">
        <v>12</v>
      </c>
      <c r="F835">
        <v>20525</v>
      </c>
      <c r="G835">
        <v>11</v>
      </c>
      <c r="H835">
        <v>14791</v>
      </c>
    </row>
    <row r="836" spans="1:8" x14ac:dyDescent="0.3">
      <c r="A836" t="s">
        <v>869</v>
      </c>
      <c r="B836" t="s">
        <v>9</v>
      </c>
      <c r="C836" t="s">
        <v>10</v>
      </c>
      <c r="D836" t="s">
        <v>23</v>
      </c>
      <c r="E836" t="s">
        <v>32</v>
      </c>
      <c r="F836">
        <v>132710</v>
      </c>
      <c r="G836">
        <v>8</v>
      </c>
      <c r="H836">
        <v>84553</v>
      </c>
    </row>
    <row r="837" spans="1:8" x14ac:dyDescent="0.3">
      <c r="A837" t="s">
        <v>870</v>
      </c>
      <c r="B837" t="s">
        <v>42</v>
      </c>
      <c r="C837" t="s">
        <v>10</v>
      </c>
      <c r="D837" t="s">
        <v>11</v>
      </c>
      <c r="E837" t="s">
        <v>12</v>
      </c>
      <c r="F837">
        <v>126916</v>
      </c>
      <c r="G837">
        <v>14</v>
      </c>
      <c r="H837">
        <v>85528</v>
      </c>
    </row>
    <row r="838" spans="1:8" x14ac:dyDescent="0.3">
      <c r="A838" t="s">
        <v>871</v>
      </c>
      <c r="B838" t="s">
        <v>21</v>
      </c>
      <c r="C838" t="s">
        <v>22</v>
      </c>
      <c r="D838" t="s">
        <v>23</v>
      </c>
      <c r="E838" t="s">
        <v>61</v>
      </c>
      <c r="F838">
        <v>112806</v>
      </c>
      <c r="G838">
        <v>6</v>
      </c>
      <c r="H838">
        <v>81595</v>
      </c>
    </row>
    <row r="839" spans="1:8" x14ac:dyDescent="0.3">
      <c r="A839" t="s">
        <v>872</v>
      </c>
      <c r="B839" t="s">
        <v>14</v>
      </c>
      <c r="C839" t="s">
        <v>15</v>
      </c>
      <c r="D839" t="s">
        <v>31</v>
      </c>
      <c r="E839" t="s">
        <v>27</v>
      </c>
      <c r="F839">
        <v>54455</v>
      </c>
      <c r="G839">
        <v>3</v>
      </c>
      <c r="H839">
        <v>36788</v>
      </c>
    </row>
    <row r="840" spans="1:8" x14ac:dyDescent="0.3">
      <c r="A840" t="s">
        <v>873</v>
      </c>
      <c r="B840" t="s">
        <v>48</v>
      </c>
      <c r="C840" t="s">
        <v>15</v>
      </c>
      <c r="D840" t="s">
        <v>31</v>
      </c>
      <c r="E840" t="s">
        <v>27</v>
      </c>
      <c r="F840">
        <v>47989</v>
      </c>
      <c r="G840">
        <v>2</v>
      </c>
      <c r="H840">
        <v>31871</v>
      </c>
    </row>
    <row r="841" spans="1:8" x14ac:dyDescent="0.3">
      <c r="A841" t="s">
        <v>874</v>
      </c>
      <c r="B841" t="s">
        <v>21</v>
      </c>
      <c r="C841" t="s">
        <v>22</v>
      </c>
      <c r="D841" t="s">
        <v>23</v>
      </c>
      <c r="E841" t="s">
        <v>16</v>
      </c>
      <c r="F841">
        <v>96132</v>
      </c>
      <c r="G841">
        <v>6</v>
      </c>
      <c r="H841">
        <v>69504</v>
      </c>
    </row>
    <row r="842" spans="1:8" x14ac:dyDescent="0.3">
      <c r="A842" t="s">
        <v>875</v>
      </c>
      <c r="B842" t="s">
        <v>14</v>
      </c>
      <c r="C842" t="s">
        <v>15</v>
      </c>
      <c r="D842" t="s">
        <v>11</v>
      </c>
      <c r="E842" t="s">
        <v>49</v>
      </c>
      <c r="F842">
        <v>38991</v>
      </c>
      <c r="G842">
        <v>14</v>
      </c>
      <c r="H842">
        <v>24628</v>
      </c>
    </row>
    <row r="843" spans="1:8" x14ac:dyDescent="0.3">
      <c r="A843" t="s">
        <v>876</v>
      </c>
      <c r="B843" t="s">
        <v>40</v>
      </c>
      <c r="C843" t="s">
        <v>10</v>
      </c>
      <c r="D843" t="s">
        <v>11</v>
      </c>
      <c r="E843" t="s">
        <v>34</v>
      </c>
      <c r="F843">
        <v>28188</v>
      </c>
      <c r="G843">
        <v>8</v>
      </c>
      <c r="H843">
        <v>20418</v>
      </c>
    </row>
    <row r="844" spans="1:8" x14ac:dyDescent="0.3">
      <c r="A844" t="s">
        <v>877</v>
      </c>
      <c r="B844" t="s">
        <v>14</v>
      </c>
      <c r="C844" t="s">
        <v>15</v>
      </c>
      <c r="D844" t="s">
        <v>31</v>
      </c>
      <c r="E844" t="s">
        <v>32</v>
      </c>
      <c r="F844">
        <v>14124</v>
      </c>
      <c r="G844">
        <v>15</v>
      </c>
      <c r="H844">
        <v>10180</v>
      </c>
    </row>
    <row r="845" spans="1:8" x14ac:dyDescent="0.3">
      <c r="A845" t="s">
        <v>878</v>
      </c>
      <c r="B845" t="s">
        <v>48</v>
      </c>
      <c r="C845" t="s">
        <v>15</v>
      </c>
      <c r="D845" t="s">
        <v>31</v>
      </c>
      <c r="E845" t="s">
        <v>16</v>
      </c>
      <c r="F845">
        <v>76349</v>
      </c>
      <c r="G845">
        <v>13</v>
      </c>
      <c r="H845">
        <v>48449</v>
      </c>
    </row>
    <row r="846" spans="1:8" x14ac:dyDescent="0.3">
      <c r="A846" t="s">
        <v>879</v>
      </c>
      <c r="B846" t="s">
        <v>18</v>
      </c>
      <c r="C846" t="s">
        <v>15</v>
      </c>
      <c r="D846" t="s">
        <v>23</v>
      </c>
      <c r="E846" t="s">
        <v>61</v>
      </c>
      <c r="F846">
        <v>13592</v>
      </c>
      <c r="G846">
        <v>8</v>
      </c>
      <c r="H846">
        <v>9393</v>
      </c>
    </row>
    <row r="847" spans="1:8" x14ac:dyDescent="0.3">
      <c r="A847" t="s">
        <v>880</v>
      </c>
      <c r="B847" t="s">
        <v>21</v>
      </c>
      <c r="C847" t="s">
        <v>22</v>
      </c>
      <c r="D847" t="s">
        <v>11</v>
      </c>
      <c r="E847" t="s">
        <v>34</v>
      </c>
      <c r="F847">
        <v>70601</v>
      </c>
      <c r="G847">
        <v>13</v>
      </c>
      <c r="H847">
        <v>45748</v>
      </c>
    </row>
    <row r="848" spans="1:8" x14ac:dyDescent="0.3">
      <c r="A848" t="s">
        <v>881</v>
      </c>
      <c r="B848" t="s">
        <v>42</v>
      </c>
      <c r="C848" t="s">
        <v>10</v>
      </c>
      <c r="D848" t="s">
        <v>31</v>
      </c>
      <c r="E848" t="s">
        <v>29</v>
      </c>
      <c r="F848">
        <v>139778</v>
      </c>
      <c r="G848">
        <v>13</v>
      </c>
      <c r="H848">
        <v>91116</v>
      </c>
    </row>
    <row r="849" spans="1:8" x14ac:dyDescent="0.3">
      <c r="A849" t="s">
        <v>882</v>
      </c>
      <c r="B849" t="s">
        <v>18</v>
      </c>
      <c r="C849" t="s">
        <v>15</v>
      </c>
      <c r="D849" t="s">
        <v>11</v>
      </c>
      <c r="E849" t="s">
        <v>24</v>
      </c>
      <c r="F849">
        <v>84299</v>
      </c>
      <c r="G849">
        <v>13</v>
      </c>
      <c r="H849">
        <v>60936</v>
      </c>
    </row>
    <row r="850" spans="1:8" x14ac:dyDescent="0.3">
      <c r="A850" t="s">
        <v>883</v>
      </c>
      <c r="B850" t="s">
        <v>48</v>
      </c>
      <c r="C850" t="s">
        <v>15</v>
      </c>
      <c r="D850" t="s">
        <v>31</v>
      </c>
      <c r="E850" t="s">
        <v>43</v>
      </c>
      <c r="F850">
        <v>82394</v>
      </c>
      <c r="G850">
        <v>1</v>
      </c>
      <c r="H850">
        <v>53008</v>
      </c>
    </row>
    <row r="851" spans="1:8" x14ac:dyDescent="0.3">
      <c r="A851" t="s">
        <v>884</v>
      </c>
      <c r="B851" t="s">
        <v>40</v>
      </c>
      <c r="C851" t="s">
        <v>10</v>
      </c>
      <c r="D851" t="s">
        <v>23</v>
      </c>
      <c r="E851" t="s">
        <v>19</v>
      </c>
      <c r="F851">
        <v>17883</v>
      </c>
      <c r="G851">
        <v>11</v>
      </c>
      <c r="H851">
        <v>11862</v>
      </c>
    </row>
    <row r="852" spans="1:8" x14ac:dyDescent="0.3">
      <c r="A852" t="s">
        <v>885</v>
      </c>
      <c r="B852" t="s">
        <v>21</v>
      </c>
      <c r="C852" t="s">
        <v>22</v>
      </c>
      <c r="D852" t="s">
        <v>31</v>
      </c>
      <c r="E852" t="s">
        <v>29</v>
      </c>
      <c r="F852">
        <v>72807</v>
      </c>
      <c r="G852">
        <v>5</v>
      </c>
      <c r="H852">
        <v>45664</v>
      </c>
    </row>
    <row r="853" spans="1:8" x14ac:dyDescent="0.3">
      <c r="A853" t="s">
        <v>886</v>
      </c>
      <c r="B853" t="s">
        <v>42</v>
      </c>
      <c r="C853" t="s">
        <v>10</v>
      </c>
      <c r="D853" t="s">
        <v>37</v>
      </c>
      <c r="E853" t="s">
        <v>16</v>
      </c>
      <c r="F853">
        <v>120911</v>
      </c>
      <c r="G853">
        <v>15</v>
      </c>
      <c r="H853">
        <v>82636</v>
      </c>
    </row>
    <row r="854" spans="1:8" x14ac:dyDescent="0.3">
      <c r="A854" t="s">
        <v>887</v>
      </c>
      <c r="B854" t="s">
        <v>21</v>
      </c>
      <c r="C854" t="s">
        <v>22</v>
      </c>
      <c r="D854" t="s">
        <v>11</v>
      </c>
      <c r="E854" t="s">
        <v>24</v>
      </c>
      <c r="F854">
        <v>63047</v>
      </c>
      <c r="G854">
        <v>13</v>
      </c>
      <c r="H854">
        <v>43739</v>
      </c>
    </row>
    <row r="855" spans="1:8" x14ac:dyDescent="0.3">
      <c r="A855" t="s">
        <v>888</v>
      </c>
      <c r="B855" t="s">
        <v>9</v>
      </c>
      <c r="C855" t="s">
        <v>10</v>
      </c>
      <c r="D855" t="s">
        <v>31</v>
      </c>
      <c r="E855" t="s">
        <v>29</v>
      </c>
      <c r="F855">
        <v>87288</v>
      </c>
      <c r="G855">
        <v>13</v>
      </c>
      <c r="H855">
        <v>55090</v>
      </c>
    </row>
    <row r="856" spans="1:8" x14ac:dyDescent="0.3">
      <c r="A856" t="s">
        <v>889</v>
      </c>
      <c r="B856" t="s">
        <v>14</v>
      </c>
      <c r="C856" t="s">
        <v>15</v>
      </c>
      <c r="D856" t="s">
        <v>23</v>
      </c>
      <c r="E856" t="s">
        <v>32</v>
      </c>
      <c r="F856">
        <v>33212</v>
      </c>
      <c r="G856">
        <v>5</v>
      </c>
      <c r="H856">
        <v>24708</v>
      </c>
    </row>
    <row r="857" spans="1:8" x14ac:dyDescent="0.3">
      <c r="A857" t="s">
        <v>890</v>
      </c>
      <c r="B857" t="s">
        <v>36</v>
      </c>
      <c r="C857" t="s">
        <v>22</v>
      </c>
      <c r="D857" t="s">
        <v>31</v>
      </c>
      <c r="E857" t="s">
        <v>12</v>
      </c>
      <c r="F857">
        <v>36554</v>
      </c>
      <c r="G857">
        <v>7</v>
      </c>
      <c r="H857">
        <v>23410</v>
      </c>
    </row>
    <row r="858" spans="1:8" x14ac:dyDescent="0.3">
      <c r="A858" t="s">
        <v>891</v>
      </c>
      <c r="B858" t="s">
        <v>21</v>
      </c>
      <c r="C858" t="s">
        <v>22</v>
      </c>
      <c r="D858" t="s">
        <v>31</v>
      </c>
      <c r="E858" t="s">
        <v>43</v>
      </c>
      <c r="F858">
        <v>61923</v>
      </c>
      <c r="G858">
        <v>2</v>
      </c>
      <c r="H858">
        <v>41727</v>
      </c>
    </row>
    <row r="859" spans="1:8" x14ac:dyDescent="0.3">
      <c r="A859" t="s">
        <v>892</v>
      </c>
      <c r="B859" t="s">
        <v>40</v>
      </c>
      <c r="C859" t="s">
        <v>10</v>
      </c>
      <c r="D859" t="s">
        <v>23</v>
      </c>
      <c r="E859" t="s">
        <v>34</v>
      </c>
      <c r="F859">
        <v>99338</v>
      </c>
      <c r="G859">
        <v>4</v>
      </c>
      <c r="H859">
        <v>65332</v>
      </c>
    </row>
    <row r="860" spans="1:8" x14ac:dyDescent="0.3">
      <c r="A860" t="s">
        <v>893</v>
      </c>
      <c r="B860" t="s">
        <v>40</v>
      </c>
      <c r="C860" t="s">
        <v>10</v>
      </c>
      <c r="D860" t="s">
        <v>11</v>
      </c>
      <c r="E860" t="s">
        <v>24</v>
      </c>
      <c r="F860">
        <v>124474</v>
      </c>
      <c r="G860">
        <v>11</v>
      </c>
      <c r="H860">
        <v>91153</v>
      </c>
    </row>
    <row r="861" spans="1:8" x14ac:dyDescent="0.3">
      <c r="A861" t="s">
        <v>894</v>
      </c>
      <c r="B861" t="s">
        <v>18</v>
      </c>
      <c r="C861" t="s">
        <v>15</v>
      </c>
      <c r="D861" t="s">
        <v>11</v>
      </c>
      <c r="E861" t="s">
        <v>32</v>
      </c>
      <c r="F861">
        <v>20562</v>
      </c>
      <c r="G861">
        <v>5</v>
      </c>
      <c r="H861">
        <v>14324</v>
      </c>
    </row>
    <row r="862" spans="1:8" x14ac:dyDescent="0.3">
      <c r="A862" t="s">
        <v>895</v>
      </c>
      <c r="B862" t="s">
        <v>42</v>
      </c>
      <c r="C862" t="s">
        <v>10</v>
      </c>
      <c r="D862" t="s">
        <v>11</v>
      </c>
      <c r="E862" t="s">
        <v>27</v>
      </c>
      <c r="F862">
        <v>35351</v>
      </c>
      <c r="G862">
        <v>14</v>
      </c>
      <c r="H862">
        <v>25626</v>
      </c>
    </row>
    <row r="863" spans="1:8" x14ac:dyDescent="0.3">
      <c r="A863" t="s">
        <v>896</v>
      </c>
      <c r="B863" t="s">
        <v>40</v>
      </c>
      <c r="C863" t="s">
        <v>10</v>
      </c>
      <c r="D863" t="s">
        <v>11</v>
      </c>
      <c r="E863" t="s">
        <v>12</v>
      </c>
      <c r="F863">
        <v>117586</v>
      </c>
      <c r="G863">
        <v>4</v>
      </c>
      <c r="H863">
        <v>84297</v>
      </c>
    </row>
    <row r="864" spans="1:8" x14ac:dyDescent="0.3">
      <c r="A864" t="s">
        <v>897</v>
      </c>
      <c r="B864" t="s">
        <v>18</v>
      </c>
      <c r="C864" t="s">
        <v>15</v>
      </c>
      <c r="D864" t="s">
        <v>31</v>
      </c>
      <c r="E864" t="s">
        <v>29</v>
      </c>
      <c r="F864">
        <v>84199</v>
      </c>
      <c r="G864">
        <v>9</v>
      </c>
      <c r="H864">
        <v>52527</v>
      </c>
    </row>
    <row r="865" spans="1:8" x14ac:dyDescent="0.3">
      <c r="A865" t="s">
        <v>898</v>
      </c>
      <c r="B865" t="s">
        <v>21</v>
      </c>
      <c r="C865" t="s">
        <v>22</v>
      </c>
      <c r="D865" t="s">
        <v>11</v>
      </c>
      <c r="E865" t="s">
        <v>34</v>
      </c>
      <c r="F865">
        <v>132573</v>
      </c>
      <c r="G865">
        <v>11</v>
      </c>
      <c r="H865">
        <v>88052</v>
      </c>
    </row>
    <row r="866" spans="1:8" x14ac:dyDescent="0.3">
      <c r="A866" t="s">
        <v>899</v>
      </c>
      <c r="B866" t="s">
        <v>14</v>
      </c>
      <c r="C866" t="s">
        <v>15</v>
      </c>
      <c r="D866" t="s">
        <v>31</v>
      </c>
      <c r="E866" t="s">
        <v>12</v>
      </c>
      <c r="F866">
        <v>60700</v>
      </c>
      <c r="G866">
        <v>5</v>
      </c>
      <c r="H866">
        <v>38890</v>
      </c>
    </row>
    <row r="867" spans="1:8" x14ac:dyDescent="0.3">
      <c r="A867" t="s">
        <v>900</v>
      </c>
      <c r="B867" t="s">
        <v>18</v>
      </c>
      <c r="C867" t="s">
        <v>15</v>
      </c>
      <c r="D867" t="s">
        <v>37</v>
      </c>
      <c r="E867" t="s">
        <v>16</v>
      </c>
      <c r="F867">
        <v>87599</v>
      </c>
      <c r="G867">
        <v>9</v>
      </c>
      <c r="H867">
        <v>52771</v>
      </c>
    </row>
    <row r="868" spans="1:8" x14ac:dyDescent="0.3">
      <c r="A868" t="s">
        <v>901</v>
      </c>
      <c r="B868" t="s">
        <v>18</v>
      </c>
      <c r="C868" t="s">
        <v>15</v>
      </c>
      <c r="D868" t="s">
        <v>31</v>
      </c>
      <c r="E868" t="s">
        <v>29</v>
      </c>
      <c r="F868">
        <v>87280</v>
      </c>
      <c r="G868">
        <v>10</v>
      </c>
      <c r="H868">
        <v>59652</v>
      </c>
    </row>
    <row r="869" spans="1:8" x14ac:dyDescent="0.3">
      <c r="A869" t="s">
        <v>902</v>
      </c>
      <c r="B869" t="s">
        <v>42</v>
      </c>
      <c r="C869" t="s">
        <v>10</v>
      </c>
      <c r="D869" t="s">
        <v>37</v>
      </c>
      <c r="E869" t="s">
        <v>27</v>
      </c>
      <c r="F869">
        <v>131822</v>
      </c>
      <c r="G869">
        <v>8</v>
      </c>
      <c r="H869">
        <v>93366</v>
      </c>
    </row>
    <row r="870" spans="1:8" x14ac:dyDescent="0.3">
      <c r="A870" t="s">
        <v>903</v>
      </c>
      <c r="B870" t="s">
        <v>14</v>
      </c>
      <c r="C870" t="s">
        <v>15</v>
      </c>
      <c r="D870" t="s">
        <v>23</v>
      </c>
      <c r="E870" t="s">
        <v>27</v>
      </c>
      <c r="F870">
        <v>16925</v>
      </c>
      <c r="G870">
        <v>8</v>
      </c>
      <c r="H870">
        <v>11510</v>
      </c>
    </row>
    <row r="871" spans="1:8" x14ac:dyDescent="0.3">
      <c r="A871" t="s">
        <v>904</v>
      </c>
      <c r="B871" t="s">
        <v>36</v>
      </c>
      <c r="C871" t="s">
        <v>22</v>
      </c>
      <c r="D871" t="s">
        <v>23</v>
      </c>
      <c r="E871" t="s">
        <v>19</v>
      </c>
      <c r="F871">
        <v>121502</v>
      </c>
      <c r="G871">
        <v>3</v>
      </c>
      <c r="H871">
        <v>86455</v>
      </c>
    </row>
    <row r="872" spans="1:8" x14ac:dyDescent="0.3">
      <c r="A872" t="s">
        <v>905</v>
      </c>
      <c r="B872" t="s">
        <v>40</v>
      </c>
      <c r="C872" t="s">
        <v>10</v>
      </c>
      <c r="D872" t="s">
        <v>11</v>
      </c>
      <c r="E872" t="s">
        <v>24</v>
      </c>
      <c r="F872">
        <v>149031</v>
      </c>
      <c r="G872">
        <v>7</v>
      </c>
      <c r="H872">
        <v>109872</v>
      </c>
    </row>
    <row r="873" spans="1:8" x14ac:dyDescent="0.3">
      <c r="A873" t="s">
        <v>906</v>
      </c>
      <c r="B873" t="s">
        <v>9</v>
      </c>
      <c r="C873" t="s">
        <v>10</v>
      </c>
      <c r="D873" t="s">
        <v>11</v>
      </c>
      <c r="E873" t="s">
        <v>46</v>
      </c>
      <c r="F873">
        <v>26842</v>
      </c>
      <c r="G873">
        <v>14</v>
      </c>
      <c r="H873">
        <v>18109</v>
      </c>
    </row>
    <row r="874" spans="1:8" x14ac:dyDescent="0.3">
      <c r="A874" t="s">
        <v>907</v>
      </c>
      <c r="B874" t="s">
        <v>40</v>
      </c>
      <c r="C874" t="s">
        <v>10</v>
      </c>
      <c r="D874" t="s">
        <v>23</v>
      </c>
      <c r="E874" t="s">
        <v>46</v>
      </c>
      <c r="F874">
        <v>76736</v>
      </c>
      <c r="G874">
        <v>12</v>
      </c>
      <c r="H874">
        <v>47400</v>
      </c>
    </row>
    <row r="875" spans="1:8" x14ac:dyDescent="0.3">
      <c r="A875" t="s">
        <v>908</v>
      </c>
      <c r="B875" t="s">
        <v>18</v>
      </c>
      <c r="C875" t="s">
        <v>15</v>
      </c>
      <c r="D875" t="s">
        <v>11</v>
      </c>
      <c r="E875" t="s">
        <v>19</v>
      </c>
      <c r="F875">
        <v>82458</v>
      </c>
      <c r="G875">
        <v>9</v>
      </c>
      <c r="H875">
        <v>54320</v>
      </c>
    </row>
    <row r="876" spans="1:8" x14ac:dyDescent="0.3">
      <c r="A876" t="s">
        <v>909</v>
      </c>
      <c r="B876" t="s">
        <v>42</v>
      </c>
      <c r="C876" t="s">
        <v>10</v>
      </c>
      <c r="D876" t="s">
        <v>23</v>
      </c>
      <c r="E876" t="s">
        <v>24</v>
      </c>
      <c r="F876">
        <v>129969</v>
      </c>
      <c r="G876">
        <v>8</v>
      </c>
      <c r="H876">
        <v>81309</v>
      </c>
    </row>
    <row r="877" spans="1:8" x14ac:dyDescent="0.3">
      <c r="A877" t="s">
        <v>910</v>
      </c>
      <c r="B877" t="s">
        <v>9</v>
      </c>
      <c r="C877" t="s">
        <v>10</v>
      </c>
      <c r="D877" t="s">
        <v>23</v>
      </c>
      <c r="E877" t="s">
        <v>43</v>
      </c>
      <c r="F877">
        <v>11081</v>
      </c>
      <c r="G877">
        <v>15</v>
      </c>
      <c r="H877">
        <v>7225</v>
      </c>
    </row>
    <row r="878" spans="1:8" x14ac:dyDescent="0.3">
      <c r="A878" t="s">
        <v>911</v>
      </c>
      <c r="B878" t="s">
        <v>18</v>
      </c>
      <c r="C878" t="s">
        <v>15</v>
      </c>
      <c r="D878" t="s">
        <v>37</v>
      </c>
      <c r="E878" t="s">
        <v>16</v>
      </c>
      <c r="F878">
        <v>109827</v>
      </c>
      <c r="G878">
        <v>11</v>
      </c>
      <c r="H878">
        <v>79347</v>
      </c>
    </row>
    <row r="879" spans="1:8" x14ac:dyDescent="0.3">
      <c r="A879" t="s">
        <v>912</v>
      </c>
      <c r="B879" t="s">
        <v>42</v>
      </c>
      <c r="C879" t="s">
        <v>10</v>
      </c>
      <c r="D879" t="s">
        <v>23</v>
      </c>
      <c r="E879" t="s">
        <v>24</v>
      </c>
      <c r="F879">
        <v>119811</v>
      </c>
      <c r="G879">
        <v>14</v>
      </c>
      <c r="H879">
        <v>79127</v>
      </c>
    </row>
    <row r="880" spans="1:8" x14ac:dyDescent="0.3">
      <c r="A880" t="s">
        <v>913</v>
      </c>
      <c r="B880" t="s">
        <v>9</v>
      </c>
      <c r="C880" t="s">
        <v>10</v>
      </c>
      <c r="D880" t="s">
        <v>23</v>
      </c>
      <c r="E880" t="s">
        <v>19</v>
      </c>
      <c r="F880">
        <v>97482</v>
      </c>
      <c r="G880">
        <v>8</v>
      </c>
      <c r="H880">
        <v>59332</v>
      </c>
    </row>
    <row r="881" spans="1:8" x14ac:dyDescent="0.3">
      <c r="A881" t="s">
        <v>914</v>
      </c>
      <c r="B881" t="s">
        <v>14</v>
      </c>
      <c r="C881" t="s">
        <v>15</v>
      </c>
      <c r="D881" t="s">
        <v>31</v>
      </c>
      <c r="E881" t="s">
        <v>12</v>
      </c>
      <c r="F881">
        <v>74647</v>
      </c>
      <c r="G881">
        <v>1</v>
      </c>
      <c r="H881">
        <v>47076</v>
      </c>
    </row>
    <row r="882" spans="1:8" x14ac:dyDescent="0.3">
      <c r="A882" t="s">
        <v>915</v>
      </c>
      <c r="B882" t="s">
        <v>42</v>
      </c>
      <c r="C882" t="s">
        <v>10</v>
      </c>
      <c r="D882" t="s">
        <v>31</v>
      </c>
      <c r="E882" t="s">
        <v>19</v>
      </c>
      <c r="F882">
        <v>60266</v>
      </c>
      <c r="G882">
        <v>6</v>
      </c>
      <c r="H882">
        <v>43055</v>
      </c>
    </row>
    <row r="883" spans="1:8" x14ac:dyDescent="0.3">
      <c r="A883" t="s">
        <v>916</v>
      </c>
      <c r="B883" t="s">
        <v>42</v>
      </c>
      <c r="C883" t="s">
        <v>10</v>
      </c>
      <c r="D883" t="s">
        <v>11</v>
      </c>
      <c r="E883" t="s">
        <v>43</v>
      </c>
      <c r="F883">
        <v>68410</v>
      </c>
      <c r="G883">
        <v>2</v>
      </c>
      <c r="H883">
        <v>51276</v>
      </c>
    </row>
    <row r="884" spans="1:8" x14ac:dyDescent="0.3">
      <c r="A884" t="s">
        <v>917</v>
      </c>
      <c r="B884" t="s">
        <v>21</v>
      </c>
      <c r="C884" t="s">
        <v>22</v>
      </c>
      <c r="D884" t="s">
        <v>37</v>
      </c>
      <c r="E884" t="s">
        <v>27</v>
      </c>
      <c r="F884">
        <v>28917</v>
      </c>
      <c r="G884">
        <v>10</v>
      </c>
      <c r="H884">
        <v>20787</v>
      </c>
    </row>
    <row r="885" spans="1:8" x14ac:dyDescent="0.3">
      <c r="A885" t="s">
        <v>918</v>
      </c>
      <c r="B885" t="s">
        <v>14</v>
      </c>
      <c r="C885" t="s">
        <v>15</v>
      </c>
      <c r="D885" t="s">
        <v>11</v>
      </c>
      <c r="E885" t="s">
        <v>16</v>
      </c>
      <c r="F885">
        <v>127940</v>
      </c>
      <c r="G885">
        <v>10</v>
      </c>
      <c r="H885">
        <v>77470</v>
      </c>
    </row>
    <row r="886" spans="1:8" x14ac:dyDescent="0.3">
      <c r="A886" t="s">
        <v>919</v>
      </c>
      <c r="B886" t="s">
        <v>36</v>
      </c>
      <c r="C886" t="s">
        <v>22</v>
      </c>
      <c r="D886" t="s">
        <v>23</v>
      </c>
      <c r="E886" t="s">
        <v>19</v>
      </c>
      <c r="F886">
        <v>95248</v>
      </c>
      <c r="G886">
        <v>5</v>
      </c>
      <c r="H886">
        <v>66799</v>
      </c>
    </row>
    <row r="887" spans="1:8" x14ac:dyDescent="0.3">
      <c r="A887" t="s">
        <v>920</v>
      </c>
      <c r="B887" t="s">
        <v>14</v>
      </c>
      <c r="C887" t="s">
        <v>15</v>
      </c>
      <c r="D887" t="s">
        <v>31</v>
      </c>
      <c r="E887" t="s">
        <v>12</v>
      </c>
      <c r="F887">
        <v>65971</v>
      </c>
      <c r="G887">
        <v>9</v>
      </c>
      <c r="H887">
        <v>43460</v>
      </c>
    </row>
    <row r="888" spans="1:8" x14ac:dyDescent="0.3">
      <c r="A888" t="s">
        <v>921</v>
      </c>
      <c r="B888" t="s">
        <v>21</v>
      </c>
      <c r="C888" t="s">
        <v>22</v>
      </c>
      <c r="D888" t="s">
        <v>37</v>
      </c>
      <c r="E888" t="s">
        <v>49</v>
      </c>
      <c r="F888">
        <v>145514</v>
      </c>
      <c r="G888">
        <v>7</v>
      </c>
      <c r="H888">
        <v>105463</v>
      </c>
    </row>
    <row r="889" spans="1:8" x14ac:dyDescent="0.3">
      <c r="A889" t="s">
        <v>922</v>
      </c>
      <c r="B889" t="s">
        <v>40</v>
      </c>
      <c r="C889" t="s">
        <v>10</v>
      </c>
      <c r="D889" t="s">
        <v>23</v>
      </c>
      <c r="E889" t="s">
        <v>24</v>
      </c>
      <c r="F889">
        <v>54613</v>
      </c>
      <c r="G889">
        <v>7</v>
      </c>
      <c r="H889">
        <v>40580</v>
      </c>
    </row>
    <row r="890" spans="1:8" x14ac:dyDescent="0.3">
      <c r="A890" t="s">
        <v>923</v>
      </c>
      <c r="B890" t="s">
        <v>42</v>
      </c>
      <c r="C890" t="s">
        <v>10</v>
      </c>
      <c r="D890" t="s">
        <v>31</v>
      </c>
      <c r="E890" t="s">
        <v>16</v>
      </c>
      <c r="F890">
        <v>34113</v>
      </c>
      <c r="G890">
        <v>15</v>
      </c>
      <c r="H890">
        <v>23077</v>
      </c>
    </row>
    <row r="891" spans="1:8" x14ac:dyDescent="0.3">
      <c r="A891" t="s">
        <v>924</v>
      </c>
      <c r="B891" t="s">
        <v>48</v>
      </c>
      <c r="C891" t="s">
        <v>15</v>
      </c>
      <c r="D891" t="s">
        <v>37</v>
      </c>
      <c r="E891" t="s">
        <v>29</v>
      </c>
      <c r="F891">
        <v>11548</v>
      </c>
      <c r="G891">
        <v>5</v>
      </c>
      <c r="H891">
        <v>8108</v>
      </c>
    </row>
    <row r="892" spans="1:8" x14ac:dyDescent="0.3">
      <c r="A892" t="s">
        <v>925</v>
      </c>
      <c r="B892" t="s">
        <v>48</v>
      </c>
      <c r="C892" t="s">
        <v>15</v>
      </c>
      <c r="D892" t="s">
        <v>11</v>
      </c>
      <c r="E892" t="s">
        <v>16</v>
      </c>
      <c r="F892">
        <v>20406</v>
      </c>
      <c r="G892">
        <v>1</v>
      </c>
      <c r="H892">
        <v>12936</v>
      </c>
    </row>
    <row r="893" spans="1:8" x14ac:dyDescent="0.3">
      <c r="A893" t="s">
        <v>926</v>
      </c>
      <c r="B893" t="s">
        <v>36</v>
      </c>
      <c r="C893" t="s">
        <v>22</v>
      </c>
      <c r="D893" t="s">
        <v>37</v>
      </c>
      <c r="E893" t="s">
        <v>24</v>
      </c>
      <c r="F893">
        <v>81749</v>
      </c>
      <c r="G893">
        <v>12</v>
      </c>
      <c r="H893">
        <v>50184</v>
      </c>
    </row>
    <row r="894" spans="1:8" x14ac:dyDescent="0.3">
      <c r="A894" t="s">
        <v>927</v>
      </c>
      <c r="B894" t="s">
        <v>48</v>
      </c>
      <c r="C894" t="s">
        <v>15</v>
      </c>
      <c r="D894" t="s">
        <v>23</v>
      </c>
      <c r="E894" t="s">
        <v>27</v>
      </c>
      <c r="F894">
        <v>147845</v>
      </c>
      <c r="G894">
        <v>7</v>
      </c>
      <c r="H894">
        <v>100904</v>
      </c>
    </row>
    <row r="895" spans="1:8" x14ac:dyDescent="0.3">
      <c r="A895" t="s">
        <v>928</v>
      </c>
      <c r="B895" t="s">
        <v>21</v>
      </c>
      <c r="C895" t="s">
        <v>22</v>
      </c>
      <c r="D895" t="s">
        <v>31</v>
      </c>
      <c r="E895" t="s">
        <v>46</v>
      </c>
      <c r="F895">
        <v>10259</v>
      </c>
      <c r="G895">
        <v>4</v>
      </c>
      <c r="H895">
        <v>7495</v>
      </c>
    </row>
    <row r="896" spans="1:8" x14ac:dyDescent="0.3">
      <c r="A896" t="s">
        <v>929</v>
      </c>
      <c r="B896" t="s">
        <v>48</v>
      </c>
      <c r="C896" t="s">
        <v>15</v>
      </c>
      <c r="D896" t="s">
        <v>11</v>
      </c>
      <c r="E896" t="s">
        <v>24</v>
      </c>
      <c r="F896">
        <v>23894</v>
      </c>
      <c r="G896">
        <v>11</v>
      </c>
      <c r="H896">
        <v>17901</v>
      </c>
    </row>
    <row r="897" spans="1:8" x14ac:dyDescent="0.3">
      <c r="A897" t="s">
        <v>930</v>
      </c>
      <c r="B897" t="s">
        <v>9</v>
      </c>
      <c r="C897" t="s">
        <v>10</v>
      </c>
      <c r="D897" t="s">
        <v>31</v>
      </c>
      <c r="E897" t="s">
        <v>12</v>
      </c>
      <c r="F897">
        <v>21629</v>
      </c>
      <c r="G897">
        <v>13</v>
      </c>
      <c r="H897">
        <v>14795</v>
      </c>
    </row>
    <row r="898" spans="1:8" x14ac:dyDescent="0.3">
      <c r="A898" t="s">
        <v>931</v>
      </c>
      <c r="B898" t="s">
        <v>21</v>
      </c>
      <c r="C898" t="s">
        <v>22</v>
      </c>
      <c r="D898" t="s">
        <v>23</v>
      </c>
      <c r="E898" t="s">
        <v>32</v>
      </c>
      <c r="F898">
        <v>58700</v>
      </c>
      <c r="G898">
        <v>11</v>
      </c>
      <c r="H898">
        <v>40158</v>
      </c>
    </row>
    <row r="899" spans="1:8" x14ac:dyDescent="0.3">
      <c r="A899" t="s">
        <v>932</v>
      </c>
      <c r="B899" t="s">
        <v>18</v>
      </c>
      <c r="C899" t="s">
        <v>15</v>
      </c>
      <c r="D899" t="s">
        <v>11</v>
      </c>
      <c r="E899" t="s">
        <v>24</v>
      </c>
      <c r="F899">
        <v>57684</v>
      </c>
      <c r="G899">
        <v>6</v>
      </c>
      <c r="H899">
        <v>40527</v>
      </c>
    </row>
    <row r="900" spans="1:8" x14ac:dyDescent="0.3">
      <c r="A900" t="s">
        <v>933</v>
      </c>
      <c r="B900" t="s">
        <v>21</v>
      </c>
      <c r="C900" t="s">
        <v>22</v>
      </c>
      <c r="D900" t="s">
        <v>31</v>
      </c>
      <c r="E900" t="s">
        <v>19</v>
      </c>
      <c r="F900">
        <v>123265</v>
      </c>
      <c r="G900">
        <v>8</v>
      </c>
      <c r="H900">
        <v>90908</v>
      </c>
    </row>
    <row r="901" spans="1:8" x14ac:dyDescent="0.3">
      <c r="A901" t="s">
        <v>934</v>
      </c>
      <c r="B901" t="s">
        <v>21</v>
      </c>
      <c r="C901" t="s">
        <v>22</v>
      </c>
      <c r="D901" t="s">
        <v>37</v>
      </c>
      <c r="E901" t="s">
        <v>16</v>
      </c>
      <c r="F901">
        <v>44861</v>
      </c>
      <c r="G901">
        <v>11</v>
      </c>
      <c r="H901">
        <v>28764</v>
      </c>
    </row>
    <row r="902" spans="1:8" x14ac:dyDescent="0.3">
      <c r="A902" t="s">
        <v>935</v>
      </c>
      <c r="B902" t="s">
        <v>48</v>
      </c>
      <c r="C902" t="s">
        <v>15</v>
      </c>
      <c r="D902" t="s">
        <v>31</v>
      </c>
      <c r="E902" t="s">
        <v>32</v>
      </c>
      <c r="F902">
        <v>134000</v>
      </c>
      <c r="G902">
        <v>14</v>
      </c>
      <c r="H902">
        <v>81819</v>
      </c>
    </row>
    <row r="903" spans="1:8" x14ac:dyDescent="0.3">
      <c r="A903" t="s">
        <v>936</v>
      </c>
      <c r="B903" t="s">
        <v>14</v>
      </c>
      <c r="C903" t="s">
        <v>15</v>
      </c>
      <c r="D903" t="s">
        <v>31</v>
      </c>
      <c r="E903" t="s">
        <v>61</v>
      </c>
      <c r="F903">
        <v>33253</v>
      </c>
      <c r="G903">
        <v>14</v>
      </c>
      <c r="H903">
        <v>24048</v>
      </c>
    </row>
    <row r="904" spans="1:8" x14ac:dyDescent="0.3">
      <c r="A904" t="s">
        <v>937</v>
      </c>
      <c r="B904" t="s">
        <v>48</v>
      </c>
      <c r="C904" t="s">
        <v>15</v>
      </c>
      <c r="D904" t="s">
        <v>23</v>
      </c>
      <c r="E904" t="s">
        <v>29</v>
      </c>
      <c r="F904">
        <v>61515</v>
      </c>
      <c r="G904">
        <v>8</v>
      </c>
      <c r="H904">
        <v>41841</v>
      </c>
    </row>
    <row r="905" spans="1:8" x14ac:dyDescent="0.3">
      <c r="A905" t="s">
        <v>938</v>
      </c>
      <c r="B905" t="s">
        <v>21</v>
      </c>
      <c r="C905" t="s">
        <v>22</v>
      </c>
      <c r="D905" t="s">
        <v>11</v>
      </c>
      <c r="E905" t="s">
        <v>43</v>
      </c>
      <c r="F905">
        <v>111409</v>
      </c>
      <c r="G905">
        <v>13</v>
      </c>
      <c r="H905">
        <v>72719</v>
      </c>
    </row>
    <row r="906" spans="1:8" x14ac:dyDescent="0.3">
      <c r="A906" t="s">
        <v>939</v>
      </c>
      <c r="B906" t="s">
        <v>48</v>
      </c>
      <c r="C906" t="s">
        <v>15</v>
      </c>
      <c r="D906" t="s">
        <v>31</v>
      </c>
      <c r="E906" t="s">
        <v>19</v>
      </c>
      <c r="F906">
        <v>10805</v>
      </c>
      <c r="G906">
        <v>9</v>
      </c>
      <c r="H906">
        <v>7746</v>
      </c>
    </row>
    <row r="907" spans="1:8" x14ac:dyDescent="0.3">
      <c r="A907" t="s">
        <v>940</v>
      </c>
      <c r="B907" t="s">
        <v>21</v>
      </c>
      <c r="C907" t="s">
        <v>22</v>
      </c>
      <c r="D907" t="s">
        <v>31</v>
      </c>
      <c r="E907" t="s">
        <v>43</v>
      </c>
      <c r="F907">
        <v>38560</v>
      </c>
      <c r="G907">
        <v>2</v>
      </c>
      <c r="H907">
        <v>25438</v>
      </c>
    </row>
    <row r="908" spans="1:8" x14ac:dyDescent="0.3">
      <c r="A908" t="s">
        <v>941</v>
      </c>
      <c r="B908" t="s">
        <v>9</v>
      </c>
      <c r="C908" t="s">
        <v>10</v>
      </c>
      <c r="D908" t="s">
        <v>31</v>
      </c>
      <c r="E908" t="s">
        <v>34</v>
      </c>
      <c r="F908">
        <v>63545</v>
      </c>
      <c r="G908">
        <v>9</v>
      </c>
      <c r="H908">
        <v>41615</v>
      </c>
    </row>
    <row r="909" spans="1:8" x14ac:dyDescent="0.3">
      <c r="A909" t="s">
        <v>942</v>
      </c>
      <c r="B909" t="s">
        <v>42</v>
      </c>
      <c r="C909" t="s">
        <v>10</v>
      </c>
      <c r="D909" t="s">
        <v>11</v>
      </c>
      <c r="E909" t="s">
        <v>27</v>
      </c>
      <c r="F909">
        <v>83733</v>
      </c>
      <c r="G909">
        <v>2</v>
      </c>
      <c r="H909">
        <v>52412</v>
      </c>
    </row>
    <row r="910" spans="1:8" x14ac:dyDescent="0.3">
      <c r="A910" t="s">
        <v>943</v>
      </c>
      <c r="B910" t="s">
        <v>18</v>
      </c>
      <c r="C910" t="s">
        <v>15</v>
      </c>
      <c r="D910" t="s">
        <v>31</v>
      </c>
      <c r="E910" t="s">
        <v>46</v>
      </c>
      <c r="F910">
        <v>67422</v>
      </c>
      <c r="G910">
        <v>9</v>
      </c>
      <c r="H910">
        <v>42302</v>
      </c>
    </row>
    <row r="911" spans="1:8" x14ac:dyDescent="0.3">
      <c r="A911" t="s">
        <v>944</v>
      </c>
      <c r="B911" t="s">
        <v>36</v>
      </c>
      <c r="C911" t="s">
        <v>22</v>
      </c>
      <c r="D911" t="s">
        <v>11</v>
      </c>
      <c r="E911" t="s">
        <v>43</v>
      </c>
      <c r="F911">
        <v>128488</v>
      </c>
      <c r="G911">
        <v>7</v>
      </c>
      <c r="H911">
        <v>89732</v>
      </c>
    </row>
    <row r="912" spans="1:8" x14ac:dyDescent="0.3">
      <c r="A912" t="s">
        <v>945</v>
      </c>
      <c r="B912" t="s">
        <v>18</v>
      </c>
      <c r="C912" t="s">
        <v>15</v>
      </c>
      <c r="D912" t="s">
        <v>31</v>
      </c>
      <c r="E912" t="s">
        <v>19</v>
      </c>
      <c r="F912">
        <v>32388</v>
      </c>
      <c r="G912">
        <v>1</v>
      </c>
      <c r="H912">
        <v>22383</v>
      </c>
    </row>
    <row r="913" spans="1:8" x14ac:dyDescent="0.3">
      <c r="A913" t="s">
        <v>946</v>
      </c>
      <c r="B913" t="s">
        <v>42</v>
      </c>
      <c r="C913" t="s">
        <v>10</v>
      </c>
      <c r="D913" t="s">
        <v>11</v>
      </c>
      <c r="E913" t="s">
        <v>16</v>
      </c>
      <c r="F913">
        <v>15395</v>
      </c>
      <c r="G913">
        <v>3</v>
      </c>
      <c r="H913">
        <v>9824</v>
      </c>
    </row>
    <row r="914" spans="1:8" x14ac:dyDescent="0.3">
      <c r="A914" t="s">
        <v>947</v>
      </c>
      <c r="B914" t="s">
        <v>42</v>
      </c>
      <c r="C914" t="s">
        <v>10</v>
      </c>
      <c r="D914" t="s">
        <v>11</v>
      </c>
      <c r="E914" t="s">
        <v>29</v>
      </c>
      <c r="F914">
        <v>83189</v>
      </c>
      <c r="G914">
        <v>8</v>
      </c>
      <c r="H914">
        <v>52552</v>
      </c>
    </row>
    <row r="915" spans="1:8" x14ac:dyDescent="0.3">
      <c r="A915" t="s">
        <v>948</v>
      </c>
      <c r="B915" t="s">
        <v>9</v>
      </c>
      <c r="C915" t="s">
        <v>10</v>
      </c>
      <c r="D915" t="s">
        <v>31</v>
      </c>
      <c r="E915" t="s">
        <v>19</v>
      </c>
      <c r="F915">
        <v>100554</v>
      </c>
      <c r="G915">
        <v>1</v>
      </c>
      <c r="H915">
        <v>64781</v>
      </c>
    </row>
    <row r="916" spans="1:8" x14ac:dyDescent="0.3">
      <c r="A916" t="s">
        <v>949</v>
      </c>
      <c r="B916" t="s">
        <v>9</v>
      </c>
      <c r="C916" t="s">
        <v>10</v>
      </c>
      <c r="D916" t="s">
        <v>11</v>
      </c>
      <c r="E916" t="s">
        <v>29</v>
      </c>
      <c r="F916">
        <v>134786</v>
      </c>
      <c r="G916">
        <v>4</v>
      </c>
      <c r="H916">
        <v>98984</v>
      </c>
    </row>
    <row r="917" spans="1:8" x14ac:dyDescent="0.3">
      <c r="A917" t="s">
        <v>950</v>
      </c>
      <c r="B917" t="s">
        <v>40</v>
      </c>
      <c r="C917" t="s">
        <v>10</v>
      </c>
      <c r="D917" t="s">
        <v>37</v>
      </c>
      <c r="E917" t="s">
        <v>16</v>
      </c>
      <c r="F917">
        <v>65075</v>
      </c>
      <c r="G917">
        <v>15</v>
      </c>
      <c r="H917">
        <v>48530</v>
      </c>
    </row>
    <row r="918" spans="1:8" x14ac:dyDescent="0.3">
      <c r="A918" t="s">
        <v>951</v>
      </c>
      <c r="B918" t="s">
        <v>48</v>
      </c>
      <c r="C918" t="s">
        <v>15</v>
      </c>
      <c r="D918" t="s">
        <v>23</v>
      </c>
      <c r="E918" t="s">
        <v>46</v>
      </c>
      <c r="F918">
        <v>93584</v>
      </c>
      <c r="G918">
        <v>1</v>
      </c>
      <c r="H918">
        <v>57940</v>
      </c>
    </row>
    <row r="919" spans="1:8" x14ac:dyDescent="0.3">
      <c r="A919" t="s">
        <v>952</v>
      </c>
      <c r="B919" t="s">
        <v>21</v>
      </c>
      <c r="C919" t="s">
        <v>22</v>
      </c>
      <c r="D919" t="s">
        <v>23</v>
      </c>
      <c r="E919" t="s">
        <v>29</v>
      </c>
      <c r="F919">
        <v>62230</v>
      </c>
      <c r="G919">
        <v>6</v>
      </c>
      <c r="H919">
        <v>46296</v>
      </c>
    </row>
    <row r="920" spans="1:8" x14ac:dyDescent="0.3">
      <c r="A920" t="s">
        <v>953</v>
      </c>
      <c r="B920" t="s">
        <v>48</v>
      </c>
      <c r="C920" t="s">
        <v>15</v>
      </c>
      <c r="D920" t="s">
        <v>31</v>
      </c>
      <c r="E920" t="s">
        <v>49</v>
      </c>
      <c r="F920">
        <v>18212</v>
      </c>
      <c r="G920">
        <v>13</v>
      </c>
      <c r="H920">
        <v>11326</v>
      </c>
    </row>
    <row r="921" spans="1:8" x14ac:dyDescent="0.3">
      <c r="A921" t="s">
        <v>954</v>
      </c>
      <c r="B921" t="s">
        <v>48</v>
      </c>
      <c r="C921" t="s">
        <v>15</v>
      </c>
      <c r="D921" t="s">
        <v>31</v>
      </c>
      <c r="E921" t="s">
        <v>46</v>
      </c>
      <c r="F921">
        <v>54376</v>
      </c>
      <c r="G921">
        <v>13</v>
      </c>
      <c r="H921">
        <v>40014</v>
      </c>
    </row>
    <row r="922" spans="1:8" x14ac:dyDescent="0.3">
      <c r="A922" t="s">
        <v>955</v>
      </c>
      <c r="B922" t="s">
        <v>18</v>
      </c>
      <c r="C922" t="s">
        <v>15</v>
      </c>
      <c r="D922" t="s">
        <v>11</v>
      </c>
      <c r="E922" t="s">
        <v>19</v>
      </c>
      <c r="F922">
        <v>133432</v>
      </c>
      <c r="G922">
        <v>6</v>
      </c>
      <c r="H922">
        <v>80075</v>
      </c>
    </row>
    <row r="923" spans="1:8" x14ac:dyDescent="0.3">
      <c r="A923" t="s">
        <v>956</v>
      </c>
      <c r="B923" t="s">
        <v>9</v>
      </c>
      <c r="C923" t="s">
        <v>10</v>
      </c>
      <c r="D923" t="s">
        <v>23</v>
      </c>
      <c r="E923" t="s">
        <v>34</v>
      </c>
      <c r="F923">
        <v>139230</v>
      </c>
      <c r="G923">
        <v>1</v>
      </c>
      <c r="H923">
        <v>101617</v>
      </c>
    </row>
    <row r="924" spans="1:8" x14ac:dyDescent="0.3">
      <c r="A924" t="s">
        <v>957</v>
      </c>
      <c r="B924" t="s">
        <v>42</v>
      </c>
      <c r="C924" t="s">
        <v>10</v>
      </c>
      <c r="D924" t="s">
        <v>37</v>
      </c>
      <c r="E924" t="s">
        <v>27</v>
      </c>
      <c r="F924">
        <v>58704</v>
      </c>
      <c r="G924">
        <v>9</v>
      </c>
      <c r="H924">
        <v>35838</v>
      </c>
    </row>
    <row r="925" spans="1:8" x14ac:dyDescent="0.3">
      <c r="A925" t="s">
        <v>958</v>
      </c>
      <c r="B925" t="s">
        <v>40</v>
      </c>
      <c r="C925" t="s">
        <v>10</v>
      </c>
      <c r="D925" t="s">
        <v>11</v>
      </c>
      <c r="E925" t="s">
        <v>46</v>
      </c>
      <c r="F925">
        <v>138037</v>
      </c>
      <c r="G925">
        <v>4</v>
      </c>
      <c r="H925">
        <v>91412</v>
      </c>
    </row>
    <row r="926" spans="1:8" x14ac:dyDescent="0.3">
      <c r="A926" t="s">
        <v>959</v>
      </c>
      <c r="B926" t="s">
        <v>42</v>
      </c>
      <c r="C926" t="s">
        <v>10</v>
      </c>
      <c r="D926" t="s">
        <v>23</v>
      </c>
      <c r="E926" t="s">
        <v>46</v>
      </c>
      <c r="F926">
        <v>62810</v>
      </c>
      <c r="G926">
        <v>5</v>
      </c>
      <c r="H926">
        <v>38055</v>
      </c>
    </row>
    <row r="927" spans="1:8" x14ac:dyDescent="0.3">
      <c r="A927" t="s">
        <v>960</v>
      </c>
      <c r="B927" t="s">
        <v>40</v>
      </c>
      <c r="C927" t="s">
        <v>10</v>
      </c>
      <c r="D927" t="s">
        <v>23</v>
      </c>
      <c r="E927" t="s">
        <v>32</v>
      </c>
      <c r="F927">
        <v>124314</v>
      </c>
      <c r="G927">
        <v>3</v>
      </c>
      <c r="H927">
        <v>88241</v>
      </c>
    </row>
    <row r="928" spans="1:8" x14ac:dyDescent="0.3">
      <c r="A928" t="s">
        <v>961</v>
      </c>
      <c r="B928" t="s">
        <v>9</v>
      </c>
      <c r="C928" t="s">
        <v>10</v>
      </c>
      <c r="D928" t="s">
        <v>37</v>
      </c>
      <c r="E928" t="s">
        <v>29</v>
      </c>
      <c r="F928">
        <v>108028</v>
      </c>
      <c r="G928">
        <v>2</v>
      </c>
      <c r="H928">
        <v>80420</v>
      </c>
    </row>
    <row r="929" spans="1:8" x14ac:dyDescent="0.3">
      <c r="A929" t="s">
        <v>962</v>
      </c>
      <c r="B929" t="s">
        <v>9</v>
      </c>
      <c r="C929" t="s">
        <v>10</v>
      </c>
      <c r="D929" t="s">
        <v>37</v>
      </c>
      <c r="E929" t="s">
        <v>46</v>
      </c>
      <c r="F929">
        <v>115205</v>
      </c>
      <c r="G929">
        <v>8</v>
      </c>
      <c r="H929">
        <v>73022</v>
      </c>
    </row>
    <row r="930" spans="1:8" x14ac:dyDescent="0.3">
      <c r="A930" t="s">
        <v>963</v>
      </c>
      <c r="B930" t="s">
        <v>21</v>
      </c>
      <c r="C930" t="s">
        <v>22</v>
      </c>
      <c r="D930" t="s">
        <v>11</v>
      </c>
      <c r="E930" t="s">
        <v>43</v>
      </c>
      <c r="F930">
        <v>45763</v>
      </c>
      <c r="G930">
        <v>8</v>
      </c>
      <c r="H930">
        <v>29714</v>
      </c>
    </row>
    <row r="931" spans="1:8" x14ac:dyDescent="0.3">
      <c r="A931" t="s">
        <v>964</v>
      </c>
      <c r="B931" t="s">
        <v>40</v>
      </c>
      <c r="C931" t="s">
        <v>10</v>
      </c>
      <c r="D931" t="s">
        <v>11</v>
      </c>
      <c r="E931" t="s">
        <v>29</v>
      </c>
      <c r="F931">
        <v>68078</v>
      </c>
      <c r="G931">
        <v>5</v>
      </c>
      <c r="H931">
        <v>50709</v>
      </c>
    </row>
    <row r="932" spans="1:8" x14ac:dyDescent="0.3">
      <c r="A932" t="s">
        <v>965</v>
      </c>
      <c r="B932" t="s">
        <v>48</v>
      </c>
      <c r="C932" t="s">
        <v>15</v>
      </c>
      <c r="D932" t="s">
        <v>31</v>
      </c>
      <c r="E932" t="s">
        <v>61</v>
      </c>
      <c r="F932">
        <v>22741</v>
      </c>
      <c r="G932">
        <v>9</v>
      </c>
      <c r="H932">
        <v>15716</v>
      </c>
    </row>
    <row r="933" spans="1:8" x14ac:dyDescent="0.3">
      <c r="A933" t="s">
        <v>966</v>
      </c>
      <c r="B933" t="s">
        <v>40</v>
      </c>
      <c r="C933" t="s">
        <v>10</v>
      </c>
      <c r="D933" t="s">
        <v>31</v>
      </c>
      <c r="E933" t="s">
        <v>29</v>
      </c>
      <c r="F933">
        <v>47759</v>
      </c>
      <c r="G933">
        <v>3</v>
      </c>
      <c r="H933">
        <v>34805</v>
      </c>
    </row>
    <row r="934" spans="1:8" x14ac:dyDescent="0.3">
      <c r="A934" t="s">
        <v>967</v>
      </c>
      <c r="B934" t="s">
        <v>48</v>
      </c>
      <c r="C934" t="s">
        <v>15</v>
      </c>
      <c r="D934" t="s">
        <v>11</v>
      </c>
      <c r="E934" t="s">
        <v>24</v>
      </c>
      <c r="F934">
        <v>97498</v>
      </c>
      <c r="G934">
        <v>8</v>
      </c>
      <c r="H934">
        <v>63104</v>
      </c>
    </row>
    <row r="935" spans="1:8" x14ac:dyDescent="0.3">
      <c r="A935" t="s">
        <v>968</v>
      </c>
      <c r="B935" t="s">
        <v>9</v>
      </c>
      <c r="C935" t="s">
        <v>10</v>
      </c>
      <c r="D935" t="s">
        <v>37</v>
      </c>
      <c r="E935" t="s">
        <v>29</v>
      </c>
      <c r="F935">
        <v>92263</v>
      </c>
      <c r="G935">
        <v>12</v>
      </c>
      <c r="H935">
        <v>60728</v>
      </c>
    </row>
    <row r="936" spans="1:8" x14ac:dyDescent="0.3">
      <c r="A936" t="s">
        <v>969</v>
      </c>
      <c r="B936" t="s">
        <v>14</v>
      </c>
      <c r="C936" t="s">
        <v>15</v>
      </c>
      <c r="D936" t="s">
        <v>11</v>
      </c>
      <c r="E936" t="s">
        <v>34</v>
      </c>
      <c r="F936">
        <v>85103</v>
      </c>
      <c r="G936">
        <v>6</v>
      </c>
      <c r="H936">
        <v>51741</v>
      </c>
    </row>
    <row r="937" spans="1:8" x14ac:dyDescent="0.3">
      <c r="A937" t="s">
        <v>970</v>
      </c>
      <c r="B937" t="s">
        <v>21</v>
      </c>
      <c r="C937" t="s">
        <v>22</v>
      </c>
      <c r="D937" t="s">
        <v>11</v>
      </c>
      <c r="E937" t="s">
        <v>16</v>
      </c>
      <c r="F937">
        <v>139599</v>
      </c>
      <c r="G937">
        <v>13</v>
      </c>
      <c r="H937">
        <v>93604</v>
      </c>
    </row>
    <row r="938" spans="1:8" x14ac:dyDescent="0.3">
      <c r="A938" t="s">
        <v>971</v>
      </c>
      <c r="B938" t="s">
        <v>18</v>
      </c>
      <c r="C938" t="s">
        <v>15</v>
      </c>
      <c r="D938" t="s">
        <v>31</v>
      </c>
      <c r="E938" t="s">
        <v>49</v>
      </c>
      <c r="F938">
        <v>143954</v>
      </c>
      <c r="G938">
        <v>13</v>
      </c>
      <c r="H938">
        <v>93742</v>
      </c>
    </row>
    <row r="939" spans="1:8" x14ac:dyDescent="0.3">
      <c r="A939" t="s">
        <v>972</v>
      </c>
      <c r="B939" t="s">
        <v>42</v>
      </c>
      <c r="C939" t="s">
        <v>10</v>
      </c>
      <c r="D939" t="s">
        <v>23</v>
      </c>
      <c r="E939" t="s">
        <v>34</v>
      </c>
      <c r="F939">
        <v>43930</v>
      </c>
      <c r="G939">
        <v>5</v>
      </c>
      <c r="H939">
        <v>29547</v>
      </c>
    </row>
    <row r="940" spans="1:8" x14ac:dyDescent="0.3">
      <c r="A940" t="s">
        <v>973</v>
      </c>
      <c r="B940" t="s">
        <v>9</v>
      </c>
      <c r="C940" t="s">
        <v>10</v>
      </c>
      <c r="D940" t="s">
        <v>23</v>
      </c>
      <c r="E940" t="s">
        <v>61</v>
      </c>
      <c r="F940">
        <v>142975</v>
      </c>
      <c r="G940">
        <v>14</v>
      </c>
      <c r="H940">
        <v>101587</v>
      </c>
    </row>
    <row r="941" spans="1:8" x14ac:dyDescent="0.3">
      <c r="A941" t="s">
        <v>974</v>
      </c>
      <c r="B941" t="s">
        <v>14</v>
      </c>
      <c r="C941" t="s">
        <v>15</v>
      </c>
      <c r="D941" t="s">
        <v>31</v>
      </c>
      <c r="E941" t="s">
        <v>24</v>
      </c>
      <c r="F941">
        <v>56354</v>
      </c>
      <c r="G941">
        <v>2</v>
      </c>
      <c r="H941">
        <v>35475</v>
      </c>
    </row>
    <row r="942" spans="1:8" x14ac:dyDescent="0.3">
      <c r="A942" t="s">
        <v>975</v>
      </c>
      <c r="B942" t="s">
        <v>40</v>
      </c>
      <c r="C942" t="s">
        <v>10</v>
      </c>
      <c r="D942" t="s">
        <v>23</v>
      </c>
      <c r="E942" t="s">
        <v>27</v>
      </c>
      <c r="F942">
        <v>87664</v>
      </c>
      <c r="G942">
        <v>6</v>
      </c>
      <c r="H942">
        <v>64430</v>
      </c>
    </row>
    <row r="943" spans="1:8" x14ac:dyDescent="0.3">
      <c r="A943" t="s">
        <v>976</v>
      </c>
      <c r="B943" t="s">
        <v>42</v>
      </c>
      <c r="C943" t="s">
        <v>10</v>
      </c>
      <c r="D943" t="s">
        <v>31</v>
      </c>
      <c r="E943" t="s">
        <v>19</v>
      </c>
      <c r="F943">
        <v>28532</v>
      </c>
      <c r="G943">
        <v>9</v>
      </c>
      <c r="H943">
        <v>18169</v>
      </c>
    </row>
    <row r="944" spans="1:8" x14ac:dyDescent="0.3">
      <c r="A944" t="s">
        <v>977</v>
      </c>
      <c r="B944" t="s">
        <v>18</v>
      </c>
      <c r="C944" t="s">
        <v>15</v>
      </c>
      <c r="D944" t="s">
        <v>31</v>
      </c>
      <c r="E944" t="s">
        <v>12</v>
      </c>
      <c r="F944">
        <v>124735</v>
      </c>
      <c r="G944">
        <v>5</v>
      </c>
      <c r="H944">
        <v>86851</v>
      </c>
    </row>
    <row r="945" spans="1:8" x14ac:dyDescent="0.3">
      <c r="A945" t="s">
        <v>978</v>
      </c>
      <c r="B945" t="s">
        <v>18</v>
      </c>
      <c r="C945" t="s">
        <v>15</v>
      </c>
      <c r="D945" t="s">
        <v>37</v>
      </c>
      <c r="E945" t="s">
        <v>27</v>
      </c>
      <c r="F945">
        <v>69313</v>
      </c>
      <c r="G945">
        <v>11</v>
      </c>
      <c r="H945">
        <v>48867</v>
      </c>
    </row>
    <row r="946" spans="1:8" x14ac:dyDescent="0.3">
      <c r="A946" t="s">
        <v>979</v>
      </c>
      <c r="B946" t="s">
        <v>36</v>
      </c>
      <c r="C946" t="s">
        <v>22</v>
      </c>
      <c r="D946" t="s">
        <v>23</v>
      </c>
      <c r="E946" t="s">
        <v>43</v>
      </c>
      <c r="F946">
        <v>76700</v>
      </c>
      <c r="G946">
        <v>3</v>
      </c>
      <c r="H946">
        <v>48391</v>
      </c>
    </row>
    <row r="947" spans="1:8" x14ac:dyDescent="0.3">
      <c r="A947" t="s">
        <v>980</v>
      </c>
      <c r="B947" t="s">
        <v>21</v>
      </c>
      <c r="C947" t="s">
        <v>22</v>
      </c>
      <c r="D947" t="s">
        <v>31</v>
      </c>
      <c r="E947" t="s">
        <v>61</v>
      </c>
      <c r="F947">
        <v>61414</v>
      </c>
      <c r="G947">
        <v>5</v>
      </c>
      <c r="H947">
        <v>42926</v>
      </c>
    </row>
    <row r="948" spans="1:8" x14ac:dyDescent="0.3">
      <c r="A948" t="s">
        <v>981</v>
      </c>
      <c r="B948" t="s">
        <v>36</v>
      </c>
      <c r="C948" t="s">
        <v>22</v>
      </c>
      <c r="D948" t="s">
        <v>37</v>
      </c>
      <c r="E948" t="s">
        <v>19</v>
      </c>
      <c r="F948">
        <v>28001</v>
      </c>
      <c r="G948">
        <v>11</v>
      </c>
      <c r="H948">
        <v>19814</v>
      </c>
    </row>
    <row r="949" spans="1:8" x14ac:dyDescent="0.3">
      <c r="A949" t="s">
        <v>982</v>
      </c>
      <c r="B949" t="s">
        <v>14</v>
      </c>
      <c r="C949" t="s">
        <v>15</v>
      </c>
      <c r="D949" t="s">
        <v>37</v>
      </c>
      <c r="E949" t="s">
        <v>16</v>
      </c>
      <c r="F949">
        <v>68780</v>
      </c>
      <c r="G949">
        <v>13</v>
      </c>
      <c r="H949">
        <v>46622</v>
      </c>
    </row>
    <row r="950" spans="1:8" x14ac:dyDescent="0.3">
      <c r="A950" t="s">
        <v>983</v>
      </c>
      <c r="B950" t="s">
        <v>9</v>
      </c>
      <c r="C950" t="s">
        <v>10</v>
      </c>
      <c r="D950" t="s">
        <v>37</v>
      </c>
      <c r="E950" t="s">
        <v>19</v>
      </c>
      <c r="F950">
        <v>99015</v>
      </c>
      <c r="G950">
        <v>9</v>
      </c>
      <c r="H950">
        <v>73527</v>
      </c>
    </row>
    <row r="951" spans="1:8" x14ac:dyDescent="0.3">
      <c r="A951" t="s">
        <v>984</v>
      </c>
      <c r="B951" t="s">
        <v>42</v>
      </c>
      <c r="C951" t="s">
        <v>10</v>
      </c>
      <c r="D951" t="s">
        <v>31</v>
      </c>
      <c r="E951" t="s">
        <v>27</v>
      </c>
      <c r="F951">
        <v>123288</v>
      </c>
      <c r="G951">
        <v>10</v>
      </c>
      <c r="H951">
        <v>87549</v>
      </c>
    </row>
    <row r="952" spans="1:8" x14ac:dyDescent="0.3">
      <c r="A952" t="s">
        <v>985</v>
      </c>
      <c r="B952" t="s">
        <v>9</v>
      </c>
      <c r="C952" t="s">
        <v>10</v>
      </c>
      <c r="D952" t="s">
        <v>23</v>
      </c>
      <c r="E952" t="s">
        <v>27</v>
      </c>
      <c r="F952">
        <v>117632</v>
      </c>
      <c r="G952">
        <v>4</v>
      </c>
      <c r="H952">
        <v>87075</v>
      </c>
    </row>
    <row r="953" spans="1:8" x14ac:dyDescent="0.3">
      <c r="A953" t="s">
        <v>986</v>
      </c>
      <c r="B953" t="s">
        <v>40</v>
      </c>
      <c r="C953" t="s">
        <v>10</v>
      </c>
      <c r="D953" t="s">
        <v>23</v>
      </c>
      <c r="E953" t="s">
        <v>46</v>
      </c>
      <c r="F953">
        <v>96516</v>
      </c>
      <c r="G953">
        <v>1</v>
      </c>
      <c r="H953">
        <v>66541</v>
      </c>
    </row>
    <row r="954" spans="1:8" x14ac:dyDescent="0.3">
      <c r="A954" t="s">
        <v>987</v>
      </c>
      <c r="B954" t="s">
        <v>40</v>
      </c>
      <c r="C954" t="s">
        <v>10</v>
      </c>
      <c r="D954" t="s">
        <v>23</v>
      </c>
      <c r="E954" t="s">
        <v>46</v>
      </c>
      <c r="F954">
        <v>81183</v>
      </c>
      <c r="G954">
        <v>14</v>
      </c>
      <c r="H954">
        <v>53561</v>
      </c>
    </row>
    <row r="955" spans="1:8" x14ac:dyDescent="0.3">
      <c r="A955" t="s">
        <v>988</v>
      </c>
      <c r="B955" t="s">
        <v>9</v>
      </c>
      <c r="C955" t="s">
        <v>10</v>
      </c>
      <c r="D955" t="s">
        <v>23</v>
      </c>
      <c r="E955" t="s">
        <v>46</v>
      </c>
      <c r="F955">
        <v>79911</v>
      </c>
      <c r="G955">
        <v>3</v>
      </c>
      <c r="H955">
        <v>53608</v>
      </c>
    </row>
    <row r="956" spans="1:8" x14ac:dyDescent="0.3">
      <c r="A956" t="s">
        <v>989</v>
      </c>
      <c r="B956" t="s">
        <v>9</v>
      </c>
      <c r="C956" t="s">
        <v>10</v>
      </c>
      <c r="D956" t="s">
        <v>23</v>
      </c>
      <c r="E956" t="s">
        <v>24</v>
      </c>
      <c r="F956">
        <v>83269</v>
      </c>
      <c r="G956">
        <v>9</v>
      </c>
      <c r="H956">
        <v>54733</v>
      </c>
    </row>
    <row r="957" spans="1:8" x14ac:dyDescent="0.3">
      <c r="A957" t="s">
        <v>990</v>
      </c>
      <c r="B957" t="s">
        <v>48</v>
      </c>
      <c r="C957" t="s">
        <v>15</v>
      </c>
      <c r="D957" t="s">
        <v>31</v>
      </c>
      <c r="E957" t="s">
        <v>24</v>
      </c>
      <c r="F957">
        <v>49493</v>
      </c>
      <c r="G957">
        <v>3</v>
      </c>
      <c r="H957">
        <v>33597</v>
      </c>
    </row>
    <row r="958" spans="1:8" x14ac:dyDescent="0.3">
      <c r="A958" t="s">
        <v>991</v>
      </c>
      <c r="B958" t="s">
        <v>21</v>
      </c>
      <c r="C958" t="s">
        <v>22</v>
      </c>
      <c r="D958" t="s">
        <v>37</v>
      </c>
      <c r="E958" t="s">
        <v>24</v>
      </c>
      <c r="F958">
        <v>30221</v>
      </c>
      <c r="G958">
        <v>13</v>
      </c>
      <c r="H958">
        <v>21862</v>
      </c>
    </row>
    <row r="959" spans="1:8" x14ac:dyDescent="0.3">
      <c r="A959" t="s">
        <v>992</v>
      </c>
      <c r="B959" t="s">
        <v>14</v>
      </c>
      <c r="C959" t="s">
        <v>15</v>
      </c>
      <c r="D959" t="s">
        <v>11</v>
      </c>
      <c r="E959" t="s">
        <v>61</v>
      </c>
      <c r="F959">
        <v>40112</v>
      </c>
      <c r="G959">
        <v>1</v>
      </c>
      <c r="H959">
        <v>24919</v>
      </c>
    </row>
    <row r="960" spans="1:8" x14ac:dyDescent="0.3">
      <c r="A960" t="s">
        <v>993</v>
      </c>
      <c r="B960" t="s">
        <v>42</v>
      </c>
      <c r="C960" t="s">
        <v>10</v>
      </c>
      <c r="D960" t="s">
        <v>11</v>
      </c>
      <c r="E960" t="s">
        <v>43</v>
      </c>
      <c r="F960">
        <v>84548</v>
      </c>
      <c r="G960">
        <v>7</v>
      </c>
      <c r="H960">
        <v>51239</v>
      </c>
    </row>
    <row r="961" spans="1:8" x14ac:dyDescent="0.3">
      <c r="A961" t="s">
        <v>994</v>
      </c>
      <c r="B961" t="s">
        <v>14</v>
      </c>
      <c r="C961" t="s">
        <v>15</v>
      </c>
      <c r="D961" t="s">
        <v>11</v>
      </c>
      <c r="E961" t="s">
        <v>16</v>
      </c>
      <c r="F961">
        <v>45039</v>
      </c>
      <c r="G961">
        <v>8</v>
      </c>
      <c r="H961">
        <v>29561</v>
      </c>
    </row>
    <row r="962" spans="1:8" x14ac:dyDescent="0.3">
      <c r="A962" t="s">
        <v>995</v>
      </c>
      <c r="B962" t="s">
        <v>36</v>
      </c>
      <c r="C962" t="s">
        <v>22</v>
      </c>
      <c r="D962" t="s">
        <v>37</v>
      </c>
      <c r="E962" t="s">
        <v>32</v>
      </c>
      <c r="F962">
        <v>128354</v>
      </c>
      <c r="G962">
        <v>15</v>
      </c>
      <c r="H962">
        <v>78698</v>
      </c>
    </row>
    <row r="963" spans="1:8" x14ac:dyDescent="0.3">
      <c r="A963" t="s">
        <v>996</v>
      </c>
      <c r="B963" t="s">
        <v>36</v>
      </c>
      <c r="C963" t="s">
        <v>22</v>
      </c>
      <c r="D963" t="s">
        <v>37</v>
      </c>
      <c r="E963" t="s">
        <v>16</v>
      </c>
      <c r="F963">
        <v>149694</v>
      </c>
      <c r="G963">
        <v>6</v>
      </c>
      <c r="H963">
        <v>92299</v>
      </c>
    </row>
    <row r="964" spans="1:8" x14ac:dyDescent="0.3">
      <c r="A964" t="s">
        <v>997</v>
      </c>
      <c r="B964" t="s">
        <v>48</v>
      </c>
      <c r="C964" t="s">
        <v>15</v>
      </c>
      <c r="D964" t="s">
        <v>31</v>
      </c>
      <c r="E964" t="s">
        <v>34</v>
      </c>
      <c r="F964">
        <v>64280</v>
      </c>
      <c r="G964">
        <v>3</v>
      </c>
      <c r="H964">
        <v>46825</v>
      </c>
    </row>
    <row r="965" spans="1:8" x14ac:dyDescent="0.3">
      <c r="A965" t="s">
        <v>998</v>
      </c>
      <c r="B965" t="s">
        <v>21</v>
      </c>
      <c r="C965" t="s">
        <v>22</v>
      </c>
      <c r="D965" t="s">
        <v>37</v>
      </c>
      <c r="E965" t="s">
        <v>61</v>
      </c>
      <c r="F965">
        <v>6108</v>
      </c>
      <c r="G965">
        <v>13</v>
      </c>
      <c r="H965">
        <v>4290</v>
      </c>
    </row>
    <row r="966" spans="1:8" x14ac:dyDescent="0.3">
      <c r="A966" t="s">
        <v>999</v>
      </c>
      <c r="B966" t="s">
        <v>21</v>
      </c>
      <c r="C966" t="s">
        <v>22</v>
      </c>
      <c r="D966" t="s">
        <v>31</v>
      </c>
      <c r="E966" t="s">
        <v>49</v>
      </c>
      <c r="F966">
        <v>65904</v>
      </c>
      <c r="G966">
        <v>2</v>
      </c>
      <c r="H966">
        <v>45954</v>
      </c>
    </row>
    <row r="967" spans="1:8" x14ac:dyDescent="0.3">
      <c r="A967" t="s">
        <v>1000</v>
      </c>
      <c r="B967" t="s">
        <v>18</v>
      </c>
      <c r="C967" t="s">
        <v>15</v>
      </c>
      <c r="D967" t="s">
        <v>31</v>
      </c>
      <c r="E967" t="s">
        <v>46</v>
      </c>
      <c r="F967">
        <v>60465</v>
      </c>
      <c r="G967">
        <v>13</v>
      </c>
      <c r="H967">
        <v>36928</v>
      </c>
    </row>
    <row r="968" spans="1:8" x14ac:dyDescent="0.3">
      <c r="A968" t="s">
        <v>1001</v>
      </c>
      <c r="B968" t="s">
        <v>48</v>
      </c>
      <c r="C968" t="s">
        <v>15</v>
      </c>
      <c r="D968" t="s">
        <v>23</v>
      </c>
      <c r="E968" t="s">
        <v>61</v>
      </c>
      <c r="F968">
        <v>45731</v>
      </c>
      <c r="G968">
        <v>5</v>
      </c>
      <c r="H968">
        <v>29154</v>
      </c>
    </row>
    <row r="969" spans="1:8" x14ac:dyDescent="0.3">
      <c r="A969" t="s">
        <v>1002</v>
      </c>
      <c r="B969" t="s">
        <v>40</v>
      </c>
      <c r="C969" t="s">
        <v>10</v>
      </c>
      <c r="D969" t="s">
        <v>23</v>
      </c>
      <c r="E969" t="s">
        <v>24</v>
      </c>
      <c r="F969">
        <v>145303</v>
      </c>
      <c r="G969">
        <v>5</v>
      </c>
      <c r="H969">
        <v>108137</v>
      </c>
    </row>
    <row r="970" spans="1:8" x14ac:dyDescent="0.3">
      <c r="A970" t="s">
        <v>1003</v>
      </c>
      <c r="B970" t="s">
        <v>48</v>
      </c>
      <c r="C970" t="s">
        <v>15</v>
      </c>
      <c r="D970" t="s">
        <v>23</v>
      </c>
      <c r="E970" t="s">
        <v>49</v>
      </c>
      <c r="F970">
        <v>33882</v>
      </c>
      <c r="G970">
        <v>4</v>
      </c>
      <c r="H970">
        <v>25208</v>
      </c>
    </row>
    <row r="971" spans="1:8" x14ac:dyDescent="0.3">
      <c r="A971" t="s">
        <v>1004</v>
      </c>
      <c r="B971" t="s">
        <v>42</v>
      </c>
      <c r="C971" t="s">
        <v>10</v>
      </c>
      <c r="D971" t="s">
        <v>11</v>
      </c>
      <c r="E971" t="s">
        <v>24</v>
      </c>
      <c r="F971">
        <v>27677</v>
      </c>
      <c r="G971">
        <v>13</v>
      </c>
      <c r="H971">
        <v>19453</v>
      </c>
    </row>
    <row r="972" spans="1:8" x14ac:dyDescent="0.3">
      <c r="A972" t="s">
        <v>1005</v>
      </c>
      <c r="B972" t="s">
        <v>48</v>
      </c>
      <c r="C972" t="s">
        <v>15</v>
      </c>
      <c r="D972" t="s">
        <v>23</v>
      </c>
      <c r="E972" t="s">
        <v>27</v>
      </c>
      <c r="F972">
        <v>122318</v>
      </c>
      <c r="G972">
        <v>13</v>
      </c>
      <c r="H972">
        <v>89007</v>
      </c>
    </row>
    <row r="973" spans="1:8" x14ac:dyDescent="0.3">
      <c r="A973" t="s">
        <v>1006</v>
      </c>
      <c r="B973" t="s">
        <v>21</v>
      </c>
      <c r="C973" t="s">
        <v>22</v>
      </c>
      <c r="D973" t="s">
        <v>11</v>
      </c>
      <c r="E973" t="s">
        <v>29</v>
      </c>
      <c r="F973">
        <v>96573</v>
      </c>
      <c r="G973">
        <v>11</v>
      </c>
      <c r="H973">
        <v>63185</v>
      </c>
    </row>
    <row r="974" spans="1:8" x14ac:dyDescent="0.3">
      <c r="A974" t="s">
        <v>1007</v>
      </c>
      <c r="B974" t="s">
        <v>48</v>
      </c>
      <c r="C974" t="s">
        <v>15</v>
      </c>
      <c r="D974" t="s">
        <v>23</v>
      </c>
      <c r="E974" t="s">
        <v>16</v>
      </c>
      <c r="F974">
        <v>115171</v>
      </c>
      <c r="G974">
        <v>2</v>
      </c>
      <c r="H974">
        <v>70032</v>
      </c>
    </row>
    <row r="975" spans="1:8" x14ac:dyDescent="0.3">
      <c r="A975" t="s">
        <v>1008</v>
      </c>
      <c r="B975" t="s">
        <v>42</v>
      </c>
      <c r="C975" t="s">
        <v>10</v>
      </c>
      <c r="D975" t="s">
        <v>31</v>
      </c>
      <c r="E975" t="s">
        <v>16</v>
      </c>
      <c r="F975">
        <v>56412</v>
      </c>
      <c r="G975">
        <v>5</v>
      </c>
      <c r="H975">
        <v>37150</v>
      </c>
    </row>
    <row r="976" spans="1:8" x14ac:dyDescent="0.3">
      <c r="A976" t="s">
        <v>1009</v>
      </c>
      <c r="B976" t="s">
        <v>36</v>
      </c>
      <c r="C976" t="s">
        <v>22</v>
      </c>
      <c r="D976" t="s">
        <v>23</v>
      </c>
      <c r="E976" t="s">
        <v>61</v>
      </c>
      <c r="F976">
        <v>67262</v>
      </c>
      <c r="G976">
        <v>4</v>
      </c>
      <c r="H976">
        <v>49630</v>
      </c>
    </row>
    <row r="977" spans="1:8" x14ac:dyDescent="0.3">
      <c r="A977" t="s">
        <v>1010</v>
      </c>
      <c r="B977" t="s">
        <v>40</v>
      </c>
      <c r="C977" t="s">
        <v>10</v>
      </c>
      <c r="D977" t="s">
        <v>23</v>
      </c>
      <c r="E977" t="s">
        <v>43</v>
      </c>
      <c r="F977">
        <v>9276</v>
      </c>
      <c r="G977">
        <v>13</v>
      </c>
      <c r="H977">
        <v>5625</v>
      </c>
    </row>
    <row r="978" spans="1:8" x14ac:dyDescent="0.3">
      <c r="A978" t="s">
        <v>1011</v>
      </c>
      <c r="B978" t="s">
        <v>21</v>
      </c>
      <c r="C978" t="s">
        <v>22</v>
      </c>
      <c r="D978" t="s">
        <v>23</v>
      </c>
      <c r="E978" t="s">
        <v>34</v>
      </c>
      <c r="F978">
        <v>77886</v>
      </c>
      <c r="G978">
        <v>11</v>
      </c>
      <c r="H978">
        <v>55152</v>
      </c>
    </row>
    <row r="979" spans="1:8" x14ac:dyDescent="0.3">
      <c r="A979" t="s">
        <v>1012</v>
      </c>
      <c r="B979" t="s">
        <v>21</v>
      </c>
      <c r="C979" t="s">
        <v>22</v>
      </c>
      <c r="D979" t="s">
        <v>31</v>
      </c>
      <c r="E979" t="s">
        <v>16</v>
      </c>
      <c r="F979">
        <v>113136</v>
      </c>
      <c r="G979">
        <v>11</v>
      </c>
      <c r="H979">
        <v>69190</v>
      </c>
    </row>
    <row r="980" spans="1:8" x14ac:dyDescent="0.3">
      <c r="A980" t="s">
        <v>1013</v>
      </c>
      <c r="B980" t="s">
        <v>36</v>
      </c>
      <c r="C980" t="s">
        <v>22</v>
      </c>
      <c r="D980" t="s">
        <v>23</v>
      </c>
      <c r="E980" t="s">
        <v>27</v>
      </c>
      <c r="F980">
        <v>54036</v>
      </c>
      <c r="G980">
        <v>11</v>
      </c>
      <c r="H980">
        <v>33406</v>
      </c>
    </row>
    <row r="981" spans="1:8" x14ac:dyDescent="0.3">
      <c r="A981" t="s">
        <v>1014</v>
      </c>
      <c r="B981" t="s">
        <v>9</v>
      </c>
      <c r="C981" t="s">
        <v>10</v>
      </c>
      <c r="D981" t="s">
        <v>11</v>
      </c>
      <c r="E981" t="s">
        <v>46</v>
      </c>
      <c r="F981">
        <v>92820</v>
      </c>
      <c r="G981">
        <v>1</v>
      </c>
      <c r="H981">
        <v>59267</v>
      </c>
    </row>
    <row r="982" spans="1:8" x14ac:dyDescent="0.3">
      <c r="A982" t="s">
        <v>1015</v>
      </c>
      <c r="B982" t="s">
        <v>36</v>
      </c>
      <c r="C982" t="s">
        <v>22</v>
      </c>
      <c r="D982" t="s">
        <v>37</v>
      </c>
      <c r="E982" t="s">
        <v>24</v>
      </c>
      <c r="F982">
        <v>51165</v>
      </c>
      <c r="G982">
        <v>2</v>
      </c>
      <c r="H982">
        <v>33801</v>
      </c>
    </row>
    <row r="983" spans="1:8" x14ac:dyDescent="0.3">
      <c r="A983" t="s">
        <v>1016</v>
      </c>
      <c r="B983" t="s">
        <v>14</v>
      </c>
      <c r="C983" t="s">
        <v>15</v>
      </c>
      <c r="D983" t="s">
        <v>31</v>
      </c>
      <c r="E983" t="s">
        <v>19</v>
      </c>
      <c r="F983">
        <v>138220</v>
      </c>
      <c r="G983">
        <v>5</v>
      </c>
      <c r="H983">
        <v>102195</v>
      </c>
    </row>
    <row r="984" spans="1:8" x14ac:dyDescent="0.3">
      <c r="A984" t="s">
        <v>1017</v>
      </c>
      <c r="B984" t="s">
        <v>21</v>
      </c>
      <c r="C984" t="s">
        <v>22</v>
      </c>
      <c r="D984" t="s">
        <v>31</v>
      </c>
      <c r="E984" t="s">
        <v>49</v>
      </c>
      <c r="F984">
        <v>5745</v>
      </c>
      <c r="G984">
        <v>11</v>
      </c>
      <c r="H984">
        <v>3724</v>
      </c>
    </row>
    <row r="985" spans="1:8" x14ac:dyDescent="0.3">
      <c r="A985" t="s">
        <v>1018</v>
      </c>
      <c r="B985" t="s">
        <v>48</v>
      </c>
      <c r="C985" t="s">
        <v>15</v>
      </c>
      <c r="D985" t="s">
        <v>31</v>
      </c>
      <c r="E985" t="s">
        <v>61</v>
      </c>
      <c r="F985">
        <v>94690</v>
      </c>
      <c r="G985">
        <v>12</v>
      </c>
      <c r="H985">
        <v>67646</v>
      </c>
    </row>
    <row r="986" spans="1:8" x14ac:dyDescent="0.3">
      <c r="A986" t="s">
        <v>1019</v>
      </c>
      <c r="B986" t="s">
        <v>40</v>
      </c>
      <c r="C986" t="s">
        <v>10</v>
      </c>
      <c r="D986" t="s">
        <v>11</v>
      </c>
      <c r="E986" t="s">
        <v>16</v>
      </c>
      <c r="F986">
        <v>100820</v>
      </c>
      <c r="G986">
        <v>15</v>
      </c>
      <c r="H986">
        <v>68236</v>
      </c>
    </row>
    <row r="987" spans="1:8" x14ac:dyDescent="0.3">
      <c r="A987" t="s">
        <v>1020</v>
      </c>
      <c r="B987" t="s">
        <v>36</v>
      </c>
      <c r="C987" t="s">
        <v>22</v>
      </c>
      <c r="D987" t="s">
        <v>31</v>
      </c>
      <c r="E987" t="s">
        <v>19</v>
      </c>
      <c r="F987">
        <v>74961</v>
      </c>
      <c r="G987">
        <v>14</v>
      </c>
      <c r="H987">
        <v>49459</v>
      </c>
    </row>
    <row r="988" spans="1:8" x14ac:dyDescent="0.3">
      <c r="A988" t="s">
        <v>1021</v>
      </c>
      <c r="B988" t="s">
        <v>14</v>
      </c>
      <c r="C988" t="s">
        <v>15</v>
      </c>
      <c r="D988" t="s">
        <v>11</v>
      </c>
      <c r="E988" t="s">
        <v>34</v>
      </c>
      <c r="F988">
        <v>53137</v>
      </c>
      <c r="G988">
        <v>2</v>
      </c>
      <c r="H988">
        <v>36170</v>
      </c>
    </row>
    <row r="989" spans="1:8" x14ac:dyDescent="0.3">
      <c r="A989" t="s">
        <v>1022</v>
      </c>
      <c r="B989" t="s">
        <v>14</v>
      </c>
      <c r="C989" t="s">
        <v>15</v>
      </c>
      <c r="D989" t="s">
        <v>23</v>
      </c>
      <c r="E989" t="s">
        <v>46</v>
      </c>
      <c r="F989">
        <v>32802</v>
      </c>
      <c r="G989">
        <v>6</v>
      </c>
      <c r="H989">
        <v>21900</v>
      </c>
    </row>
    <row r="990" spans="1:8" x14ac:dyDescent="0.3">
      <c r="A990" t="s">
        <v>1023</v>
      </c>
      <c r="B990" t="s">
        <v>9</v>
      </c>
      <c r="C990" t="s">
        <v>10</v>
      </c>
      <c r="D990" t="s">
        <v>11</v>
      </c>
      <c r="E990" t="s">
        <v>27</v>
      </c>
      <c r="F990">
        <v>11824</v>
      </c>
      <c r="G990">
        <v>5</v>
      </c>
      <c r="H990">
        <v>8604</v>
      </c>
    </row>
    <row r="991" spans="1:8" x14ac:dyDescent="0.3">
      <c r="A991" t="s">
        <v>1024</v>
      </c>
      <c r="B991" t="s">
        <v>36</v>
      </c>
      <c r="C991" t="s">
        <v>22</v>
      </c>
      <c r="D991" t="s">
        <v>11</v>
      </c>
      <c r="E991" t="s">
        <v>32</v>
      </c>
      <c r="F991">
        <v>126853</v>
      </c>
      <c r="G991">
        <v>13</v>
      </c>
      <c r="H991">
        <v>82106</v>
      </c>
    </row>
    <row r="992" spans="1:8" x14ac:dyDescent="0.3">
      <c r="A992" t="s">
        <v>1025</v>
      </c>
      <c r="B992" t="s">
        <v>36</v>
      </c>
      <c r="C992" t="s">
        <v>22</v>
      </c>
      <c r="D992" t="s">
        <v>31</v>
      </c>
      <c r="E992" t="s">
        <v>29</v>
      </c>
      <c r="F992">
        <v>7149</v>
      </c>
      <c r="G992">
        <v>1</v>
      </c>
      <c r="H992">
        <v>4328</v>
      </c>
    </row>
    <row r="993" spans="1:8" x14ac:dyDescent="0.3">
      <c r="A993" t="s">
        <v>1026</v>
      </c>
      <c r="B993" t="s">
        <v>40</v>
      </c>
      <c r="C993" t="s">
        <v>10</v>
      </c>
      <c r="D993" t="s">
        <v>37</v>
      </c>
      <c r="E993" t="s">
        <v>61</v>
      </c>
      <c r="F993">
        <v>9276</v>
      </c>
      <c r="G993">
        <v>1</v>
      </c>
      <c r="H993">
        <v>5919</v>
      </c>
    </row>
    <row r="994" spans="1:8" x14ac:dyDescent="0.3">
      <c r="A994" t="s">
        <v>1027</v>
      </c>
      <c r="B994" t="s">
        <v>18</v>
      </c>
      <c r="C994" t="s">
        <v>15</v>
      </c>
      <c r="D994" t="s">
        <v>31</v>
      </c>
      <c r="E994" t="s">
        <v>61</v>
      </c>
      <c r="F994">
        <v>53321</v>
      </c>
      <c r="G994">
        <v>3</v>
      </c>
      <c r="H994">
        <v>32658</v>
      </c>
    </row>
    <row r="995" spans="1:8" x14ac:dyDescent="0.3">
      <c r="A995" t="s">
        <v>1028</v>
      </c>
      <c r="B995" t="s">
        <v>14</v>
      </c>
      <c r="C995" t="s">
        <v>15</v>
      </c>
      <c r="D995" t="s">
        <v>31</v>
      </c>
      <c r="E995" t="s">
        <v>12</v>
      </c>
      <c r="F995">
        <v>134754</v>
      </c>
      <c r="G995">
        <v>7</v>
      </c>
      <c r="H995">
        <v>91083</v>
      </c>
    </row>
    <row r="996" spans="1:8" x14ac:dyDescent="0.3">
      <c r="A996" t="s">
        <v>1029</v>
      </c>
      <c r="B996" t="s">
        <v>48</v>
      </c>
      <c r="C996" t="s">
        <v>15</v>
      </c>
      <c r="D996" t="s">
        <v>23</v>
      </c>
      <c r="E996" t="s">
        <v>24</v>
      </c>
      <c r="F996">
        <v>60790</v>
      </c>
      <c r="G996">
        <v>8</v>
      </c>
      <c r="H996">
        <v>42598</v>
      </c>
    </row>
    <row r="997" spans="1:8" x14ac:dyDescent="0.3">
      <c r="A997" t="s">
        <v>1030</v>
      </c>
      <c r="B997" t="s">
        <v>48</v>
      </c>
      <c r="C997" t="s">
        <v>15</v>
      </c>
      <c r="D997" t="s">
        <v>23</v>
      </c>
      <c r="E997" t="s">
        <v>24</v>
      </c>
      <c r="F997">
        <v>129201</v>
      </c>
      <c r="G997">
        <v>15</v>
      </c>
      <c r="H997">
        <v>96621</v>
      </c>
    </row>
    <row r="998" spans="1:8" x14ac:dyDescent="0.3">
      <c r="A998" t="s">
        <v>1031</v>
      </c>
      <c r="B998" t="s">
        <v>40</v>
      </c>
      <c r="C998" t="s">
        <v>10</v>
      </c>
      <c r="D998" t="s">
        <v>23</v>
      </c>
      <c r="E998" t="s">
        <v>49</v>
      </c>
      <c r="F998">
        <v>16048</v>
      </c>
      <c r="G998">
        <v>12</v>
      </c>
      <c r="H998">
        <v>11405</v>
      </c>
    </row>
    <row r="999" spans="1:8" x14ac:dyDescent="0.3">
      <c r="A999" t="s">
        <v>1032</v>
      </c>
      <c r="B999" t="s">
        <v>36</v>
      </c>
      <c r="C999" t="s">
        <v>22</v>
      </c>
      <c r="D999" t="s">
        <v>37</v>
      </c>
      <c r="E999" t="s">
        <v>27</v>
      </c>
      <c r="F999">
        <v>62246</v>
      </c>
      <c r="G999">
        <v>7</v>
      </c>
      <c r="H999">
        <v>44756</v>
      </c>
    </row>
    <row r="1000" spans="1:8" x14ac:dyDescent="0.3">
      <c r="A1000" t="s">
        <v>1033</v>
      </c>
      <c r="B1000" t="s">
        <v>36</v>
      </c>
      <c r="C1000" t="s">
        <v>22</v>
      </c>
      <c r="D1000" t="s">
        <v>11</v>
      </c>
      <c r="E1000" t="s">
        <v>12</v>
      </c>
      <c r="F1000">
        <v>81228</v>
      </c>
      <c r="G1000">
        <v>8</v>
      </c>
      <c r="H1000">
        <v>55555</v>
      </c>
    </row>
    <row r="1001" spans="1:8" x14ac:dyDescent="0.3">
      <c r="A1001" t="s">
        <v>1034</v>
      </c>
      <c r="B1001" t="s">
        <v>40</v>
      </c>
      <c r="C1001" t="s">
        <v>10</v>
      </c>
      <c r="D1001" t="s">
        <v>11</v>
      </c>
      <c r="E1001" t="s">
        <v>49</v>
      </c>
      <c r="F1001">
        <v>39762</v>
      </c>
      <c r="G1001">
        <v>2</v>
      </c>
      <c r="H1001">
        <v>28798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1035</v>
      </c>
      <c r="B2" t="s">
        <v>36</v>
      </c>
      <c r="C2" t="s">
        <v>22</v>
      </c>
      <c r="D2" t="s">
        <v>11</v>
      </c>
      <c r="E2" t="s">
        <v>29</v>
      </c>
      <c r="F2">
        <v>132017</v>
      </c>
      <c r="G2">
        <v>8</v>
      </c>
      <c r="H2">
        <v>81016</v>
      </c>
    </row>
    <row r="3" spans="1:8" x14ac:dyDescent="0.3">
      <c r="A3" t="s">
        <v>1036</v>
      </c>
      <c r="B3" t="s">
        <v>40</v>
      </c>
      <c r="C3" t="s">
        <v>10</v>
      </c>
      <c r="D3" t="s">
        <v>37</v>
      </c>
      <c r="E3" t="s">
        <v>19</v>
      </c>
      <c r="F3">
        <v>42231</v>
      </c>
      <c r="G3">
        <v>8</v>
      </c>
      <c r="H3">
        <v>31654</v>
      </c>
    </row>
    <row r="4" spans="1:8" x14ac:dyDescent="0.3">
      <c r="A4" t="s">
        <v>1037</v>
      </c>
      <c r="B4" t="s">
        <v>42</v>
      </c>
      <c r="C4" t="s">
        <v>10</v>
      </c>
      <c r="D4" t="s">
        <v>31</v>
      </c>
      <c r="E4" t="s">
        <v>29</v>
      </c>
      <c r="F4">
        <v>123765</v>
      </c>
      <c r="G4">
        <v>15</v>
      </c>
      <c r="H4">
        <v>84965</v>
      </c>
    </row>
    <row r="5" spans="1:8" x14ac:dyDescent="0.3">
      <c r="A5" t="s">
        <v>1038</v>
      </c>
      <c r="B5" t="s">
        <v>42</v>
      </c>
      <c r="C5" t="s">
        <v>10</v>
      </c>
      <c r="D5" t="s">
        <v>37</v>
      </c>
      <c r="E5" t="s">
        <v>19</v>
      </c>
      <c r="F5">
        <v>63417</v>
      </c>
      <c r="G5">
        <v>11</v>
      </c>
      <c r="H5">
        <v>41409</v>
      </c>
    </row>
    <row r="6" spans="1:8" x14ac:dyDescent="0.3">
      <c r="A6" t="s">
        <v>1039</v>
      </c>
      <c r="B6" t="s">
        <v>42</v>
      </c>
      <c r="C6" t="s">
        <v>10</v>
      </c>
      <c r="D6" t="s">
        <v>23</v>
      </c>
      <c r="E6" t="s">
        <v>29</v>
      </c>
      <c r="F6">
        <v>68773</v>
      </c>
      <c r="G6">
        <v>9</v>
      </c>
      <c r="H6">
        <v>43287</v>
      </c>
    </row>
    <row r="7" spans="1:8" x14ac:dyDescent="0.3">
      <c r="A7" t="s">
        <v>1040</v>
      </c>
      <c r="B7" t="s">
        <v>9</v>
      </c>
      <c r="C7" t="s">
        <v>10</v>
      </c>
      <c r="D7" t="s">
        <v>11</v>
      </c>
      <c r="E7" t="s">
        <v>24</v>
      </c>
      <c r="F7">
        <v>84636</v>
      </c>
      <c r="G7">
        <v>8</v>
      </c>
      <c r="H7">
        <v>58353</v>
      </c>
    </row>
    <row r="8" spans="1:8" x14ac:dyDescent="0.3">
      <c r="A8" t="s">
        <v>1041</v>
      </c>
      <c r="B8" t="s">
        <v>14</v>
      </c>
      <c r="C8" t="s">
        <v>15</v>
      </c>
      <c r="D8" t="s">
        <v>31</v>
      </c>
      <c r="E8" t="s">
        <v>19</v>
      </c>
      <c r="F8">
        <v>62248</v>
      </c>
      <c r="G8">
        <v>15</v>
      </c>
      <c r="H8">
        <v>43165</v>
      </c>
    </row>
    <row r="9" spans="1:8" x14ac:dyDescent="0.3">
      <c r="A9" t="s">
        <v>1042</v>
      </c>
      <c r="B9" t="s">
        <v>21</v>
      </c>
      <c r="C9" t="s">
        <v>22</v>
      </c>
      <c r="D9" t="s">
        <v>11</v>
      </c>
      <c r="E9" t="s">
        <v>19</v>
      </c>
      <c r="F9">
        <v>21695</v>
      </c>
      <c r="G9">
        <v>11</v>
      </c>
      <c r="H9">
        <v>15999</v>
      </c>
    </row>
    <row r="10" spans="1:8" x14ac:dyDescent="0.3">
      <c r="A10" t="s">
        <v>1043</v>
      </c>
      <c r="B10" t="s">
        <v>9</v>
      </c>
      <c r="C10" t="s">
        <v>10</v>
      </c>
      <c r="D10" t="s">
        <v>11</v>
      </c>
      <c r="E10" t="s">
        <v>24</v>
      </c>
      <c r="F10">
        <v>33723</v>
      </c>
      <c r="G10">
        <v>9</v>
      </c>
      <c r="H10">
        <v>22363</v>
      </c>
    </row>
    <row r="11" spans="1:8" x14ac:dyDescent="0.3">
      <c r="A11" t="s">
        <v>1044</v>
      </c>
      <c r="B11" t="s">
        <v>36</v>
      </c>
      <c r="C11" t="s">
        <v>22</v>
      </c>
      <c r="D11" t="s">
        <v>37</v>
      </c>
      <c r="E11" t="s">
        <v>19</v>
      </c>
      <c r="F11">
        <v>57044</v>
      </c>
      <c r="G11">
        <v>3</v>
      </c>
      <c r="H11">
        <v>36112</v>
      </c>
    </row>
    <row r="12" spans="1:8" x14ac:dyDescent="0.3">
      <c r="A12" t="s">
        <v>1045</v>
      </c>
      <c r="B12" t="s">
        <v>48</v>
      </c>
      <c r="C12" t="s">
        <v>15</v>
      </c>
      <c r="D12" t="s">
        <v>37</v>
      </c>
      <c r="E12" t="s">
        <v>19</v>
      </c>
      <c r="F12">
        <v>119950</v>
      </c>
      <c r="G12">
        <v>2</v>
      </c>
      <c r="H12">
        <v>76082</v>
      </c>
    </row>
    <row r="13" spans="1:8" x14ac:dyDescent="0.3">
      <c r="A13" t="s">
        <v>1046</v>
      </c>
      <c r="B13" t="s">
        <v>21</v>
      </c>
      <c r="C13" t="s">
        <v>22</v>
      </c>
      <c r="D13" t="s">
        <v>31</v>
      </c>
      <c r="E13" t="s">
        <v>24</v>
      </c>
      <c r="F13">
        <v>11435</v>
      </c>
      <c r="G13">
        <v>15</v>
      </c>
      <c r="H13">
        <v>7174</v>
      </c>
    </row>
    <row r="14" spans="1:8" x14ac:dyDescent="0.3">
      <c r="A14" t="s">
        <v>1047</v>
      </c>
      <c r="B14" t="s">
        <v>21</v>
      </c>
      <c r="C14" t="s">
        <v>22</v>
      </c>
      <c r="D14" t="s">
        <v>11</v>
      </c>
      <c r="E14" t="s">
        <v>24</v>
      </c>
      <c r="F14">
        <v>38842</v>
      </c>
      <c r="G14">
        <v>12</v>
      </c>
      <c r="H14">
        <v>27676</v>
      </c>
    </row>
    <row r="15" spans="1:8" x14ac:dyDescent="0.3">
      <c r="A15" t="s">
        <v>1048</v>
      </c>
      <c r="B15" t="s">
        <v>42</v>
      </c>
      <c r="C15" t="s">
        <v>10</v>
      </c>
      <c r="D15" t="s">
        <v>37</v>
      </c>
      <c r="E15" t="s">
        <v>24</v>
      </c>
      <c r="F15">
        <v>86796</v>
      </c>
      <c r="G15">
        <v>6</v>
      </c>
      <c r="H15">
        <v>58269</v>
      </c>
    </row>
    <row r="16" spans="1:8" x14ac:dyDescent="0.3">
      <c r="A16" t="s">
        <v>1049</v>
      </c>
      <c r="B16" t="s">
        <v>9</v>
      </c>
      <c r="C16" t="s">
        <v>10</v>
      </c>
      <c r="D16" t="s">
        <v>31</v>
      </c>
      <c r="E16" t="s">
        <v>29</v>
      </c>
      <c r="F16">
        <v>122643</v>
      </c>
      <c r="G16">
        <v>13</v>
      </c>
      <c r="H16">
        <v>77795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1050</v>
      </c>
      <c r="B2" t="s">
        <v>48</v>
      </c>
      <c r="C2" t="s">
        <v>15</v>
      </c>
      <c r="D2" t="s">
        <v>31</v>
      </c>
      <c r="E2" t="s">
        <v>12</v>
      </c>
      <c r="F2">
        <v>54624</v>
      </c>
      <c r="G2">
        <v>3</v>
      </c>
      <c r="H2">
        <v>37633</v>
      </c>
    </row>
    <row r="3" spans="1:8" x14ac:dyDescent="0.3">
      <c r="A3" t="s">
        <v>1051</v>
      </c>
      <c r="B3" t="s">
        <v>48</v>
      </c>
      <c r="C3" t="s">
        <v>15</v>
      </c>
      <c r="D3" t="s">
        <v>23</v>
      </c>
      <c r="E3" t="s">
        <v>12</v>
      </c>
      <c r="F3">
        <v>59530</v>
      </c>
      <c r="G3">
        <v>1</v>
      </c>
      <c r="H3">
        <v>42033</v>
      </c>
    </row>
    <row r="4" spans="1:8" x14ac:dyDescent="0.3">
      <c r="A4" t="s">
        <v>1052</v>
      </c>
      <c r="B4" t="s">
        <v>14</v>
      </c>
      <c r="C4" t="s">
        <v>15</v>
      </c>
      <c r="D4" t="s">
        <v>11</v>
      </c>
      <c r="E4" t="s">
        <v>12</v>
      </c>
      <c r="F4">
        <v>14444</v>
      </c>
      <c r="G4">
        <v>13</v>
      </c>
      <c r="H4">
        <v>9926</v>
      </c>
    </row>
    <row r="5" spans="1:8" x14ac:dyDescent="0.3">
      <c r="A5" t="s">
        <v>1053</v>
      </c>
      <c r="B5" t="s">
        <v>40</v>
      </c>
      <c r="C5" t="s">
        <v>10</v>
      </c>
      <c r="D5" t="s">
        <v>37</v>
      </c>
      <c r="E5" t="s">
        <v>12</v>
      </c>
      <c r="F5">
        <v>92567</v>
      </c>
      <c r="G5">
        <v>10</v>
      </c>
      <c r="H5">
        <v>59823</v>
      </c>
    </row>
    <row r="6" spans="1:8" x14ac:dyDescent="0.3">
      <c r="A6" t="s">
        <v>1054</v>
      </c>
      <c r="B6" t="s">
        <v>14</v>
      </c>
      <c r="C6" t="s">
        <v>15</v>
      </c>
      <c r="D6" t="s">
        <v>37</v>
      </c>
      <c r="E6" t="s">
        <v>61</v>
      </c>
      <c r="F6">
        <v>30155</v>
      </c>
      <c r="G6">
        <v>1</v>
      </c>
      <c r="H6">
        <v>22350</v>
      </c>
    </row>
    <row r="7" spans="1:8" x14ac:dyDescent="0.3">
      <c r="A7" t="s">
        <v>1055</v>
      </c>
      <c r="B7" t="s">
        <v>42</v>
      </c>
      <c r="C7" t="s">
        <v>10</v>
      </c>
      <c r="D7" t="s">
        <v>11</v>
      </c>
      <c r="E7" t="s">
        <v>12</v>
      </c>
      <c r="F7">
        <v>102032</v>
      </c>
      <c r="G7">
        <v>12</v>
      </c>
      <c r="H7">
        <v>68918</v>
      </c>
    </row>
    <row r="8" spans="1:8" x14ac:dyDescent="0.3">
      <c r="A8" t="s">
        <v>1056</v>
      </c>
      <c r="B8" t="s">
        <v>48</v>
      </c>
      <c r="C8" t="s">
        <v>15</v>
      </c>
      <c r="D8" t="s">
        <v>23</v>
      </c>
      <c r="E8" t="s">
        <v>12</v>
      </c>
      <c r="F8">
        <v>89333</v>
      </c>
      <c r="G8">
        <v>14</v>
      </c>
      <c r="H8">
        <v>59706</v>
      </c>
    </row>
    <row r="9" spans="1:8" x14ac:dyDescent="0.3">
      <c r="A9" t="s">
        <v>1057</v>
      </c>
      <c r="B9" t="s">
        <v>21</v>
      </c>
      <c r="C9" t="s">
        <v>22</v>
      </c>
      <c r="D9" t="s">
        <v>31</v>
      </c>
      <c r="E9" t="s">
        <v>61</v>
      </c>
      <c r="F9">
        <v>50979</v>
      </c>
      <c r="G9">
        <v>2</v>
      </c>
      <c r="H9">
        <v>34309</v>
      </c>
    </row>
    <row r="10" spans="1:8" x14ac:dyDescent="0.3">
      <c r="A10" t="s">
        <v>1058</v>
      </c>
      <c r="B10" t="s">
        <v>9</v>
      </c>
      <c r="C10" t="s">
        <v>10</v>
      </c>
      <c r="D10" t="s">
        <v>37</v>
      </c>
      <c r="E10" t="s">
        <v>12</v>
      </c>
      <c r="F10">
        <v>146559</v>
      </c>
      <c r="G10">
        <v>13</v>
      </c>
      <c r="H10">
        <v>106549</v>
      </c>
    </row>
    <row r="11" spans="1:8" x14ac:dyDescent="0.3">
      <c r="A11" t="s">
        <v>1059</v>
      </c>
      <c r="B11" t="s">
        <v>48</v>
      </c>
      <c r="C11" t="s">
        <v>15</v>
      </c>
      <c r="D11" t="s">
        <v>31</v>
      </c>
      <c r="E11" t="s">
        <v>12</v>
      </c>
      <c r="F11">
        <v>33920</v>
      </c>
      <c r="G11">
        <v>12</v>
      </c>
      <c r="H11">
        <v>24075</v>
      </c>
    </row>
    <row r="12" spans="1:8" x14ac:dyDescent="0.3">
      <c r="A12" t="s">
        <v>1060</v>
      </c>
      <c r="B12" t="s">
        <v>9</v>
      </c>
      <c r="C12" t="s">
        <v>10</v>
      </c>
      <c r="D12" t="s">
        <v>11</v>
      </c>
      <c r="E12" t="s">
        <v>12</v>
      </c>
      <c r="F12">
        <v>96442</v>
      </c>
      <c r="G12">
        <v>3</v>
      </c>
      <c r="H12">
        <v>64406</v>
      </c>
    </row>
    <row r="13" spans="1:8" x14ac:dyDescent="0.3">
      <c r="A13" t="s">
        <v>1061</v>
      </c>
      <c r="B13" t="s">
        <v>18</v>
      </c>
      <c r="C13" t="s">
        <v>15</v>
      </c>
      <c r="D13" t="s">
        <v>37</v>
      </c>
      <c r="E13" t="s">
        <v>12</v>
      </c>
      <c r="F13">
        <v>29101</v>
      </c>
      <c r="G13">
        <v>10</v>
      </c>
      <c r="H13">
        <v>19313</v>
      </c>
    </row>
    <row r="14" spans="1:8" x14ac:dyDescent="0.3">
      <c r="A14" t="s">
        <v>1062</v>
      </c>
      <c r="B14" t="s">
        <v>40</v>
      </c>
      <c r="C14" t="s">
        <v>10</v>
      </c>
      <c r="D14" t="s">
        <v>31</v>
      </c>
      <c r="E14" t="s">
        <v>12</v>
      </c>
      <c r="F14">
        <v>136977</v>
      </c>
      <c r="G14">
        <v>13</v>
      </c>
      <c r="H14">
        <v>90520</v>
      </c>
    </row>
    <row r="15" spans="1:8" x14ac:dyDescent="0.3">
      <c r="A15" t="s">
        <v>1063</v>
      </c>
      <c r="B15" t="s">
        <v>36</v>
      </c>
      <c r="C15" t="s">
        <v>22</v>
      </c>
      <c r="D15" t="s">
        <v>31</v>
      </c>
      <c r="E15" t="s">
        <v>12</v>
      </c>
      <c r="F15">
        <v>19826</v>
      </c>
      <c r="G15">
        <v>4</v>
      </c>
      <c r="H15">
        <v>12464</v>
      </c>
    </row>
    <row r="16" spans="1:8" x14ac:dyDescent="0.3">
      <c r="A16" t="s">
        <v>1064</v>
      </c>
      <c r="B16" t="s">
        <v>36</v>
      </c>
      <c r="C16" t="s">
        <v>22</v>
      </c>
      <c r="D16" t="s">
        <v>23</v>
      </c>
      <c r="E16" t="s">
        <v>61</v>
      </c>
      <c r="F16">
        <v>120239</v>
      </c>
      <c r="G16">
        <v>7</v>
      </c>
      <c r="H16">
        <v>75649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6"/>
  <sheetViews>
    <sheetView tabSelected="1" topLeftCell="G1" workbookViewId="0">
      <selection activeCell="K9" sqref="K9"/>
    </sheetView>
  </sheetViews>
  <sheetFormatPr defaultRowHeight="14.4" x14ac:dyDescent="0.3"/>
  <cols>
    <col min="2" max="2" width="8.6640625" customWidth="1"/>
    <col min="3" max="3" width="11.77734375" bestFit="1" customWidth="1"/>
    <col min="4" max="4" width="11" bestFit="1" customWidth="1"/>
    <col min="5" max="5" width="33.21875" customWidth="1"/>
    <col min="6" max="6" width="7" customWidth="1"/>
    <col min="7" max="7" width="13.44140625" bestFit="1" customWidth="1"/>
    <col min="8" max="8" width="10.109375" bestFit="1" customWidth="1"/>
    <col min="9" max="9" width="12.77734375" bestFit="1" customWidth="1"/>
    <col min="10" max="10" width="12.77734375" customWidth="1"/>
    <col min="11" max="11" width="15" customWidth="1"/>
    <col min="12" max="12" width="8.6640625" bestFit="1" customWidth="1"/>
    <col min="13" max="13" width="11.77734375" bestFit="1" customWidth="1"/>
    <col min="14" max="14" width="11" bestFit="1" customWidth="1"/>
    <col min="15" max="15" width="6.88671875" bestFit="1" customWidth="1"/>
    <col min="16" max="16" width="11.21875" bestFit="1" customWidth="1"/>
    <col min="17" max="17" width="13.44140625" bestFit="1" customWidth="1"/>
    <col min="18" max="18" width="10.109375" bestFit="1" customWidth="1"/>
    <col min="19" max="19" width="12.77734375" bestFit="1" customWidth="1"/>
    <col min="21" max="21" width="13.77734375" bestFit="1" customWidth="1"/>
  </cols>
  <sheetData>
    <row r="1" spans="1:28" x14ac:dyDescent="0.3">
      <c r="A1" s="2" t="s">
        <v>1065</v>
      </c>
      <c r="B1" s="2"/>
      <c r="C1" s="2"/>
      <c r="D1" s="2"/>
      <c r="E1" s="2"/>
      <c r="F1" s="2"/>
    </row>
    <row r="2" spans="1:28" x14ac:dyDescent="0.3">
      <c r="A2" s="2" t="s">
        <v>1066</v>
      </c>
      <c r="B2" s="2"/>
      <c r="C2" s="2"/>
      <c r="D2" s="2"/>
      <c r="E2" s="2"/>
      <c r="F2" s="2"/>
    </row>
    <row r="4" spans="1:28" x14ac:dyDescent="0.3">
      <c r="B4" s="3" t="s">
        <v>1067</v>
      </c>
      <c r="C4" s="3"/>
      <c r="D4" s="3"/>
      <c r="L4" s="6" t="s">
        <v>1068</v>
      </c>
      <c r="M4" s="7"/>
      <c r="N4" s="7"/>
      <c r="O4" s="7"/>
      <c r="P4" s="7"/>
      <c r="Q4" s="8"/>
      <c r="U4" s="11" t="s">
        <v>1069</v>
      </c>
      <c r="V4" t="str">
        <f ca="1">_xlfn.FORMULATEXT(U6)</f>
        <v>=TAKE(SORT(SalesTable,6,-1),5)</v>
      </c>
    </row>
    <row r="6" spans="1:28" x14ac:dyDescent="0.3">
      <c r="B6" s="4" t="str" cm="1">
        <f t="array" ref="B6:I6">SalesTable[#Headers]</f>
        <v>OrderID</v>
      </c>
      <c r="C6" s="4" t="str">
        <v>Product</v>
      </c>
      <c r="D6" s="4" t="str">
        <v>Category</v>
      </c>
      <c r="E6" s="4" t="str">
        <v>Region</v>
      </c>
      <c r="F6" s="4" t="str">
        <v>Month</v>
      </c>
      <c r="G6" s="4" t="str">
        <v>Sales_Amount</v>
      </c>
      <c r="H6" s="4" t="str">
        <v>Units_Sold</v>
      </c>
      <c r="I6" s="4" t="str">
        <v>Cost_Amount</v>
      </c>
      <c r="J6" s="10"/>
      <c r="L6" s="9" t="str" cm="1">
        <f t="array" ref="L6:S6">SalesTable[#Headers]</f>
        <v>OrderID</v>
      </c>
      <c r="M6" s="9" t="str">
        <v>Product</v>
      </c>
      <c r="N6" s="9" t="str">
        <v>Category</v>
      </c>
      <c r="O6" s="9" t="str">
        <v>Region</v>
      </c>
      <c r="P6" s="9" t="str">
        <v>Month</v>
      </c>
      <c r="Q6" s="9" t="str">
        <v>Sales_Amount</v>
      </c>
      <c r="R6" s="9" t="str">
        <v>Units_Sold</v>
      </c>
      <c r="S6" s="9" t="str">
        <v>Cost_Amount</v>
      </c>
      <c r="U6" s="5" t="str" cm="1">
        <f t="array" ref="U6:AB10">_xlfn.TAKE(_xlfn._xlws.SORT(SalesTable[],6,-1),5)</f>
        <v>ORD1470</v>
      </c>
      <c r="V6" s="5" t="str">
        <v>Monitor</v>
      </c>
      <c r="W6" s="5" t="str">
        <v>Peripherals</v>
      </c>
      <c r="X6" s="5" t="str">
        <v>East</v>
      </c>
      <c r="Y6" s="5" t="str">
        <v>Nov-2025</v>
      </c>
      <c r="Z6" s="5">
        <v>149744</v>
      </c>
      <c r="AA6" s="5">
        <v>11</v>
      </c>
      <c r="AB6" s="5">
        <v>104482</v>
      </c>
    </row>
    <row r="7" spans="1:28" x14ac:dyDescent="0.3">
      <c r="B7" s="5" t="str" cm="1">
        <f t="array" ref="B7:I1006">_xlfn.SORTBY(SalesTable[],SalesTable[Sales_Amount],-1,SalesTable[Region],1)</f>
        <v>ORD1470</v>
      </c>
      <c r="C7" s="5" t="str">
        <v>Monitor</v>
      </c>
      <c r="D7" s="5" t="str">
        <v>Peripherals</v>
      </c>
      <c r="E7" s="5" t="str">
        <v>East</v>
      </c>
      <c r="F7" s="5" t="str">
        <v>Nov-2025</v>
      </c>
      <c r="G7" s="5">
        <v>149744</v>
      </c>
      <c r="H7" s="5">
        <v>11</v>
      </c>
      <c r="I7" s="5">
        <v>104482</v>
      </c>
      <c r="J7" s="10"/>
      <c r="L7" s="5" t="str" cm="1">
        <f t="array" ref="L7:S182">_xlfn._xlws.FILTER(SalesTable[],(SalesTable[Region]="North") * (SalesTable[Sales_Amount]&gt;50000))</f>
        <v>ORD1008</v>
      </c>
      <c r="M7" s="5" t="str">
        <v>Phone</v>
      </c>
      <c r="N7" s="5" t="str">
        <v>Electronics</v>
      </c>
      <c r="O7" s="5" t="str">
        <v>North</v>
      </c>
      <c r="P7" s="5" t="str">
        <v>May-2025</v>
      </c>
      <c r="Q7" s="5">
        <v>121590</v>
      </c>
      <c r="R7" s="5">
        <v>11</v>
      </c>
      <c r="S7" s="5">
        <v>87122</v>
      </c>
      <c r="U7" s="5" t="str">
        <v>ORD1962</v>
      </c>
      <c r="V7" s="5" t="str">
        <v>Mouse</v>
      </c>
      <c r="W7" s="5" t="str">
        <v>Accessories</v>
      </c>
      <c r="X7" s="5" t="str">
        <v>South</v>
      </c>
      <c r="Y7" s="5" t="str">
        <v>Aug-2025</v>
      </c>
      <c r="Z7" s="5">
        <v>149694</v>
      </c>
      <c r="AA7" s="5">
        <v>6</v>
      </c>
      <c r="AB7" s="5">
        <v>92299</v>
      </c>
    </row>
    <row r="8" spans="1:28" x14ac:dyDescent="0.3">
      <c r="B8" s="5" t="str">
        <v>ORD1962</v>
      </c>
      <c r="C8" s="5" t="str">
        <v>Mouse</v>
      </c>
      <c r="D8" s="5" t="str">
        <v>Accessories</v>
      </c>
      <c r="E8" s="5" t="str">
        <v>South</v>
      </c>
      <c r="F8" s="5" t="str">
        <v>Aug-2025</v>
      </c>
      <c r="G8" s="5">
        <v>149694</v>
      </c>
      <c r="H8" s="5">
        <v>6</v>
      </c>
      <c r="I8" s="5">
        <v>92299</v>
      </c>
      <c r="J8" s="10"/>
      <c r="L8" s="5" t="str">
        <v>ORD1013</v>
      </c>
      <c r="M8" s="5" t="str">
        <v>Printer</v>
      </c>
      <c r="N8" s="5" t="str">
        <v>Peripherals</v>
      </c>
      <c r="O8" s="5" t="str">
        <v>North</v>
      </c>
      <c r="P8" s="5" t="str">
        <v>Nov-2025</v>
      </c>
      <c r="Q8" s="5">
        <v>128605</v>
      </c>
      <c r="R8" s="5">
        <v>14</v>
      </c>
      <c r="S8" s="5">
        <v>90511</v>
      </c>
      <c r="U8" s="5" t="str">
        <v>ORD1540</v>
      </c>
      <c r="V8" s="5" t="str">
        <v>Headphones</v>
      </c>
      <c r="W8" s="5" t="str">
        <v>Accessories</v>
      </c>
      <c r="X8" s="5" t="str">
        <v>East</v>
      </c>
      <c r="Y8" s="5" t="str">
        <v>Apr-2025</v>
      </c>
      <c r="Z8" s="5">
        <v>149616</v>
      </c>
      <c r="AA8" s="5">
        <v>12</v>
      </c>
      <c r="AB8" s="5">
        <v>102451</v>
      </c>
    </row>
    <row r="9" spans="1:28" x14ac:dyDescent="0.3">
      <c r="B9" s="5" t="str">
        <v>ORD1540</v>
      </c>
      <c r="C9" s="5" t="str">
        <v>Headphones</v>
      </c>
      <c r="D9" s="5" t="str">
        <v>Accessories</v>
      </c>
      <c r="E9" s="5" t="str">
        <v>East</v>
      </c>
      <c r="F9" s="5" t="str">
        <v>Apr-2025</v>
      </c>
      <c r="G9" s="5">
        <v>149616</v>
      </c>
      <c r="H9" s="5">
        <v>12</v>
      </c>
      <c r="I9" s="5">
        <v>102451</v>
      </c>
      <c r="J9" s="10"/>
      <c r="L9" s="5" t="str">
        <v>ORD1017</v>
      </c>
      <c r="M9" s="5" t="str">
        <v>Printer</v>
      </c>
      <c r="N9" s="5" t="str">
        <v>Peripherals</v>
      </c>
      <c r="O9" s="5" t="str">
        <v>North</v>
      </c>
      <c r="P9" s="5" t="str">
        <v>Jul-2025</v>
      </c>
      <c r="Q9" s="5">
        <v>129754</v>
      </c>
      <c r="R9" s="5">
        <v>2</v>
      </c>
      <c r="S9" s="5">
        <v>95053</v>
      </c>
      <c r="U9" s="5" t="str">
        <v>ORD1112</v>
      </c>
      <c r="V9" s="5" t="str">
        <v>Mouse</v>
      </c>
      <c r="W9" s="5" t="str">
        <v>Accessories</v>
      </c>
      <c r="X9" s="5" t="str">
        <v>South</v>
      </c>
      <c r="Y9" s="5" t="str">
        <v>Jan-2025</v>
      </c>
      <c r="Z9" s="5">
        <v>149541</v>
      </c>
      <c r="AA9" s="5">
        <v>2</v>
      </c>
      <c r="AB9" s="5">
        <v>108336</v>
      </c>
    </row>
    <row r="10" spans="1:28" x14ac:dyDescent="0.3">
      <c r="B10" s="5" t="str">
        <v>ORD1112</v>
      </c>
      <c r="C10" s="5" t="str">
        <v>Mouse</v>
      </c>
      <c r="D10" s="5" t="str">
        <v>Accessories</v>
      </c>
      <c r="E10" s="5" t="str">
        <v>South</v>
      </c>
      <c r="F10" s="5" t="str">
        <v>Jan-2025</v>
      </c>
      <c r="G10" s="5">
        <v>149541</v>
      </c>
      <c r="H10" s="5">
        <v>2</v>
      </c>
      <c r="I10" s="5">
        <v>108336</v>
      </c>
      <c r="J10" s="10"/>
      <c r="L10" s="5" t="str">
        <v>ORD1036</v>
      </c>
      <c r="M10" s="5" t="str">
        <v>Tablet</v>
      </c>
      <c r="N10" s="5" t="str">
        <v>Electronics</v>
      </c>
      <c r="O10" s="5" t="str">
        <v>North</v>
      </c>
      <c r="P10" s="5" t="str">
        <v>Nov-2025</v>
      </c>
      <c r="Q10" s="5">
        <v>73595</v>
      </c>
      <c r="R10" s="5">
        <v>14</v>
      </c>
      <c r="S10" s="5">
        <v>50770</v>
      </c>
      <c r="U10" s="5" t="str">
        <v>ORD1286</v>
      </c>
      <c r="V10" s="5" t="str">
        <v>Tablet</v>
      </c>
      <c r="W10" s="5" t="str">
        <v>Electronics</v>
      </c>
      <c r="X10" s="5" t="str">
        <v>West</v>
      </c>
      <c r="Y10" s="5" t="str">
        <v>Dec-2025</v>
      </c>
      <c r="Z10" s="5">
        <v>149406</v>
      </c>
      <c r="AA10" s="5">
        <v>4</v>
      </c>
      <c r="AB10" s="5">
        <v>110423</v>
      </c>
    </row>
    <row r="11" spans="1:28" x14ac:dyDescent="0.3">
      <c r="B11" s="5" t="str">
        <v>ORD1286</v>
      </c>
      <c r="C11" s="5" t="str">
        <v>Tablet</v>
      </c>
      <c r="D11" s="5" t="str">
        <v>Electronics</v>
      </c>
      <c r="E11" s="5" t="str">
        <v>West</v>
      </c>
      <c r="F11" s="5" t="str">
        <v>Dec-2025</v>
      </c>
      <c r="G11" s="5">
        <v>149406</v>
      </c>
      <c r="H11" s="5">
        <v>4</v>
      </c>
      <c r="I11" s="5">
        <v>110423</v>
      </c>
      <c r="J11" s="10"/>
      <c r="L11" s="5" t="str">
        <v>ORD1038</v>
      </c>
      <c r="M11" s="5" t="str">
        <v>Mouse</v>
      </c>
      <c r="N11" s="5" t="str">
        <v>Accessories</v>
      </c>
      <c r="O11" s="5" t="str">
        <v>North</v>
      </c>
      <c r="P11" s="5" t="str">
        <v>Mar-2025</v>
      </c>
      <c r="Q11" s="5">
        <v>131259</v>
      </c>
      <c r="R11" s="5">
        <v>4</v>
      </c>
      <c r="S11" s="5">
        <v>89416</v>
      </c>
    </row>
    <row r="12" spans="1:28" x14ac:dyDescent="0.3">
      <c r="B12" s="5" t="str">
        <v>ORD1704</v>
      </c>
      <c r="C12" s="5" t="str">
        <v>Mouse</v>
      </c>
      <c r="D12" s="5" t="str">
        <v>Accessories</v>
      </c>
      <c r="E12" s="5" t="str">
        <v>East</v>
      </c>
      <c r="F12" s="5" t="str">
        <v>Mar-2025</v>
      </c>
      <c r="G12" s="5">
        <v>149204</v>
      </c>
      <c r="H12" s="5">
        <v>3</v>
      </c>
      <c r="I12" s="5">
        <v>90429</v>
      </c>
      <c r="J12" s="10"/>
      <c r="L12" s="5" t="str">
        <v>ORD1051</v>
      </c>
      <c r="M12" s="5" t="str">
        <v>Laptop</v>
      </c>
      <c r="N12" s="5" t="str">
        <v>Electronics</v>
      </c>
      <c r="O12" s="5" t="str">
        <v>North</v>
      </c>
      <c r="P12" s="5" t="str">
        <v>Jul-2025</v>
      </c>
      <c r="Q12" s="5">
        <v>91665</v>
      </c>
      <c r="R12" s="5">
        <v>15</v>
      </c>
      <c r="S12" s="5">
        <v>68355</v>
      </c>
    </row>
    <row r="13" spans="1:28" x14ac:dyDescent="0.3">
      <c r="B13" s="5" t="str">
        <v>ORD1871</v>
      </c>
      <c r="C13" s="5" t="str">
        <v>Monitor</v>
      </c>
      <c r="D13" s="5" t="str">
        <v>Peripherals</v>
      </c>
      <c r="E13" s="5" t="str">
        <v>East</v>
      </c>
      <c r="F13" s="5" t="str">
        <v>Mar-2025</v>
      </c>
      <c r="G13" s="5">
        <v>149031</v>
      </c>
      <c r="H13" s="5">
        <v>7</v>
      </c>
      <c r="I13" s="5">
        <v>109872</v>
      </c>
      <c r="J13" s="10"/>
      <c r="L13" s="5" t="str">
        <v>ORD1052</v>
      </c>
      <c r="M13" s="5" t="str">
        <v>Keyboard</v>
      </c>
      <c r="N13" s="5" t="str">
        <v>Peripherals</v>
      </c>
      <c r="O13" s="5" t="str">
        <v>North</v>
      </c>
      <c r="P13" s="5" t="str">
        <v>Jun-2025</v>
      </c>
      <c r="Q13" s="5">
        <v>98392</v>
      </c>
      <c r="R13" s="5">
        <v>3</v>
      </c>
      <c r="S13" s="5">
        <v>60852</v>
      </c>
      <c r="U13" s="11" t="s">
        <v>1070</v>
      </c>
      <c r="V13" t="str">
        <f ca="1">_xlfn.FORMULATEXT(U15)</f>
        <v>=TAKE(SORT(SalesTable,6,1),3)</v>
      </c>
      <c r="W13" s="1"/>
      <c r="X13" s="1"/>
      <c r="Y13" s="1"/>
      <c r="Z13" s="1"/>
      <c r="AA13" s="1"/>
      <c r="AB13" s="1"/>
    </row>
    <row r="14" spans="1:28" x14ac:dyDescent="0.3">
      <c r="B14" s="5" t="str">
        <v>ORD1132</v>
      </c>
      <c r="C14" s="5" t="str">
        <v>Laptop</v>
      </c>
      <c r="D14" s="5" t="str">
        <v>Electronics</v>
      </c>
      <c r="E14" s="5" t="str">
        <v>North</v>
      </c>
      <c r="F14" s="5" t="str">
        <v>Mar-2025</v>
      </c>
      <c r="G14" s="5">
        <v>148738</v>
      </c>
      <c r="H14" s="5">
        <v>15</v>
      </c>
      <c r="I14" s="5">
        <v>97147</v>
      </c>
      <c r="J14" s="10"/>
      <c r="L14" s="5" t="str">
        <v>ORD1054</v>
      </c>
      <c r="M14" s="5" t="str">
        <v>Monitor</v>
      </c>
      <c r="N14" s="5" t="str">
        <v>Peripherals</v>
      </c>
      <c r="O14" s="5" t="str">
        <v>North</v>
      </c>
      <c r="P14" s="5" t="str">
        <v>Nov-2025</v>
      </c>
      <c r="Q14" s="5">
        <v>72091</v>
      </c>
      <c r="R14" s="5">
        <v>13</v>
      </c>
      <c r="S14" s="5">
        <v>51787</v>
      </c>
    </row>
    <row r="15" spans="1:28" x14ac:dyDescent="0.3">
      <c r="B15" s="5" t="str">
        <v>ORD1729</v>
      </c>
      <c r="C15" s="5" t="str">
        <v>Printer</v>
      </c>
      <c r="D15" s="5" t="str">
        <v>Peripherals</v>
      </c>
      <c r="E15" s="5" t="str">
        <v>West</v>
      </c>
      <c r="F15" s="5" t="str">
        <v>May-2025</v>
      </c>
      <c r="G15" s="5">
        <v>148683</v>
      </c>
      <c r="H15" s="5">
        <v>15</v>
      </c>
      <c r="I15" s="5">
        <v>100892</v>
      </c>
      <c r="J15" s="10"/>
      <c r="L15" s="5" t="str">
        <v>ORD1061</v>
      </c>
      <c r="M15" s="5" t="str">
        <v>Keyboard</v>
      </c>
      <c r="N15" s="5" t="str">
        <v>Peripherals</v>
      </c>
      <c r="O15" s="5" t="str">
        <v>North</v>
      </c>
      <c r="P15" s="5" t="str">
        <v>Dec-2025</v>
      </c>
      <c r="Q15" s="5">
        <v>147973</v>
      </c>
      <c r="R15" s="5">
        <v>9</v>
      </c>
      <c r="S15" s="5">
        <v>90703</v>
      </c>
      <c r="U15" s="5" t="str" cm="1">
        <f t="array" ref="U15:AB17">_xlfn.TAKE(_xlfn._xlws.SORT(SalesTable[],6,1),3)</f>
        <v>ORD1015</v>
      </c>
      <c r="V15" s="5" t="str">
        <v>Printer</v>
      </c>
      <c r="W15" s="5" t="str">
        <v>Peripherals</v>
      </c>
      <c r="X15" s="5" t="str">
        <v>East</v>
      </c>
      <c r="Y15" s="5" t="str">
        <v>Jul-2025</v>
      </c>
      <c r="Z15" s="5">
        <v>5186</v>
      </c>
      <c r="AA15" s="5">
        <v>1</v>
      </c>
      <c r="AB15" s="5">
        <v>3729</v>
      </c>
    </row>
    <row r="16" spans="1:28" x14ac:dyDescent="0.3">
      <c r="B16" s="5" t="str">
        <v>ORD1581</v>
      </c>
      <c r="C16" s="5" t="str">
        <v>Tablet</v>
      </c>
      <c r="D16" s="5" t="str">
        <v>Electronics</v>
      </c>
      <c r="E16" s="5" t="str">
        <v>North</v>
      </c>
      <c r="F16" s="5" t="str">
        <v>Jul-2025</v>
      </c>
      <c r="G16" s="5">
        <v>148457</v>
      </c>
      <c r="H16" s="5">
        <v>6</v>
      </c>
      <c r="I16" s="5">
        <v>94057</v>
      </c>
      <c r="J16" s="10"/>
      <c r="L16" s="5" t="str">
        <v>ORD1063</v>
      </c>
      <c r="M16" s="5" t="str">
        <v>Headphones</v>
      </c>
      <c r="N16" s="5" t="str">
        <v>Accessories</v>
      </c>
      <c r="O16" s="5" t="str">
        <v>North</v>
      </c>
      <c r="P16" s="5" t="str">
        <v>Sep-2025</v>
      </c>
      <c r="Q16" s="5">
        <v>130698</v>
      </c>
      <c r="R16" s="5">
        <v>8</v>
      </c>
      <c r="S16" s="5">
        <v>92773</v>
      </c>
      <c r="U16" s="5" t="str">
        <v>ORD1091</v>
      </c>
      <c r="V16" s="5" t="str">
        <v>Phone</v>
      </c>
      <c r="W16" s="5" t="str">
        <v>Electronics</v>
      </c>
      <c r="X16" s="5" t="str">
        <v>North</v>
      </c>
      <c r="Y16" s="5" t="str">
        <v>Feb-2025</v>
      </c>
      <c r="Z16" s="5">
        <v>5267</v>
      </c>
      <c r="AA16" s="5">
        <v>7</v>
      </c>
      <c r="AB16" s="5">
        <v>3773</v>
      </c>
    </row>
    <row r="17" spans="2:29" x14ac:dyDescent="0.3">
      <c r="B17" s="5" t="str">
        <v>ORD1444</v>
      </c>
      <c r="C17" s="5" t="str">
        <v>Headphones</v>
      </c>
      <c r="D17" s="5" t="str">
        <v>Accessories</v>
      </c>
      <c r="E17" s="5" t="str">
        <v>South</v>
      </c>
      <c r="F17" s="5" t="str">
        <v>Dec-2025</v>
      </c>
      <c r="G17" s="5">
        <v>148413</v>
      </c>
      <c r="H17" s="5">
        <v>1</v>
      </c>
      <c r="I17" s="5">
        <v>93449</v>
      </c>
      <c r="J17" s="10"/>
      <c r="L17" s="5" t="str">
        <v>ORD1067</v>
      </c>
      <c r="M17" s="5" t="str">
        <v>Laptop</v>
      </c>
      <c r="N17" s="5" t="str">
        <v>Electronics</v>
      </c>
      <c r="O17" s="5" t="str">
        <v>North</v>
      </c>
      <c r="P17" s="5" t="str">
        <v>Jan-2025</v>
      </c>
      <c r="Q17" s="5">
        <v>70496</v>
      </c>
      <c r="R17" s="5">
        <v>13</v>
      </c>
      <c r="S17" s="5">
        <v>52515</v>
      </c>
      <c r="U17" s="5" t="str">
        <v>ORD1186</v>
      </c>
      <c r="V17" s="5" t="str">
        <v>Laptop</v>
      </c>
      <c r="W17" s="5" t="str">
        <v>Electronics</v>
      </c>
      <c r="X17" s="5" t="str">
        <v>East</v>
      </c>
      <c r="Y17" s="5" t="str">
        <v>Aug-2025</v>
      </c>
      <c r="Z17" s="5">
        <v>5289</v>
      </c>
      <c r="AA17" s="5">
        <v>2</v>
      </c>
      <c r="AB17" s="5">
        <v>3637</v>
      </c>
    </row>
    <row r="18" spans="2:29" x14ac:dyDescent="0.3">
      <c r="B18" s="5" t="str">
        <v>ORD1309</v>
      </c>
      <c r="C18" s="5" t="str">
        <v>Phone</v>
      </c>
      <c r="D18" s="5" t="str">
        <v>Electronics</v>
      </c>
      <c r="E18" s="5" t="str">
        <v>South</v>
      </c>
      <c r="F18" s="5" t="str">
        <v>May-2025</v>
      </c>
      <c r="G18" s="5">
        <v>148198</v>
      </c>
      <c r="H18" s="5">
        <v>2</v>
      </c>
      <c r="I18" s="5">
        <v>92447</v>
      </c>
      <c r="J18" s="10"/>
      <c r="L18" s="5" t="str">
        <v>ORD1075</v>
      </c>
      <c r="M18" s="5" t="str">
        <v>Printer</v>
      </c>
      <c r="N18" s="5" t="str">
        <v>Peripherals</v>
      </c>
      <c r="O18" s="5" t="str">
        <v>North</v>
      </c>
      <c r="P18" s="5" t="str">
        <v>Mar-2025</v>
      </c>
      <c r="Q18" s="5">
        <v>101294</v>
      </c>
      <c r="R18" s="5">
        <v>8</v>
      </c>
      <c r="S18" s="5">
        <v>75388</v>
      </c>
    </row>
    <row r="19" spans="2:29" x14ac:dyDescent="0.3">
      <c r="B19" s="5" t="str">
        <v>ORD1061</v>
      </c>
      <c r="C19" s="5" t="str">
        <v>Keyboard</v>
      </c>
      <c r="D19" s="5" t="str">
        <v>Peripherals</v>
      </c>
      <c r="E19" s="5" t="str">
        <v>North</v>
      </c>
      <c r="F19" s="5" t="str">
        <v>Dec-2025</v>
      </c>
      <c r="G19" s="5">
        <v>147973</v>
      </c>
      <c r="H19" s="5">
        <v>9</v>
      </c>
      <c r="I19" s="5">
        <v>90703</v>
      </c>
      <c r="J19" s="10"/>
      <c r="L19" s="5" t="str">
        <v>ORD1076</v>
      </c>
      <c r="M19" s="5" t="str">
        <v>Tablet</v>
      </c>
      <c r="N19" s="5" t="str">
        <v>Electronics</v>
      </c>
      <c r="O19" s="5" t="str">
        <v>North</v>
      </c>
      <c r="P19" s="5" t="str">
        <v>Mar-2025</v>
      </c>
      <c r="Q19" s="5">
        <v>75600</v>
      </c>
      <c r="R19" s="5">
        <v>13</v>
      </c>
      <c r="S19" s="5">
        <v>48721</v>
      </c>
    </row>
    <row r="20" spans="2:29" x14ac:dyDescent="0.3">
      <c r="B20" s="5" t="str">
        <v>ORD1893</v>
      </c>
      <c r="C20" s="5" t="str">
        <v>Tablet</v>
      </c>
      <c r="D20" s="5" t="str">
        <v>Electronics</v>
      </c>
      <c r="E20" s="5" t="str">
        <v>West</v>
      </c>
      <c r="F20" s="5" t="str">
        <v>Oct-2025</v>
      </c>
      <c r="G20" s="5">
        <v>147845</v>
      </c>
      <c r="H20" s="5">
        <v>7</v>
      </c>
      <c r="I20" s="5">
        <v>100904</v>
      </c>
      <c r="J20" s="10"/>
      <c r="L20" s="5" t="str">
        <v>ORD1079</v>
      </c>
      <c r="M20" s="5" t="str">
        <v>Tablet</v>
      </c>
      <c r="N20" s="5" t="str">
        <v>Electronics</v>
      </c>
      <c r="O20" s="5" t="str">
        <v>North</v>
      </c>
      <c r="P20" s="5" t="str">
        <v>Sep-2025</v>
      </c>
      <c r="Q20" s="5">
        <v>131739</v>
      </c>
      <c r="R20" s="5">
        <v>14</v>
      </c>
      <c r="S20" s="5">
        <v>92497</v>
      </c>
    </row>
    <row r="21" spans="2:29" x14ac:dyDescent="0.3">
      <c r="B21" s="5" t="str">
        <v>ORD1648</v>
      </c>
      <c r="C21" s="5" t="str">
        <v>Printer</v>
      </c>
      <c r="D21" s="5" t="str">
        <v>Peripherals</v>
      </c>
      <c r="E21" s="5" t="str">
        <v>West</v>
      </c>
      <c r="F21" s="5" t="str">
        <v>Aug-2025</v>
      </c>
      <c r="G21" s="5">
        <v>147690</v>
      </c>
      <c r="H21" s="5">
        <v>6</v>
      </c>
      <c r="I21" s="5">
        <v>103011</v>
      </c>
      <c r="J21" s="10"/>
      <c r="L21" s="5" t="str">
        <v>ORD1080</v>
      </c>
      <c r="M21" s="5" t="str">
        <v>Laptop</v>
      </c>
      <c r="N21" s="5" t="str">
        <v>Electronics</v>
      </c>
      <c r="O21" s="5" t="str">
        <v>North</v>
      </c>
      <c r="P21" s="5" t="str">
        <v>Dec-2025</v>
      </c>
      <c r="Q21" s="5">
        <v>119213</v>
      </c>
      <c r="R21" s="5">
        <v>11</v>
      </c>
      <c r="S21" s="5">
        <v>78436</v>
      </c>
      <c r="U21" s="13" t="s">
        <v>1071</v>
      </c>
      <c r="V21" s="13"/>
      <c r="W21" s="13"/>
    </row>
    <row r="22" spans="2:29" x14ac:dyDescent="0.3">
      <c r="B22" s="5" t="str">
        <v>ORD1226</v>
      </c>
      <c r="C22" s="5" t="str">
        <v>Phone</v>
      </c>
      <c r="D22" s="5" t="str">
        <v>Electronics</v>
      </c>
      <c r="E22" s="5" t="str">
        <v>North</v>
      </c>
      <c r="F22" s="5" t="str">
        <v>Jun-2025</v>
      </c>
      <c r="G22" s="5">
        <v>147116</v>
      </c>
      <c r="H22" s="5">
        <v>15</v>
      </c>
      <c r="I22" s="5">
        <v>94549</v>
      </c>
      <c r="J22" s="10"/>
      <c r="L22" s="5" t="str">
        <v>ORD1084</v>
      </c>
      <c r="M22" s="5" t="str">
        <v>Phone</v>
      </c>
      <c r="N22" s="5" t="str">
        <v>Electronics</v>
      </c>
      <c r="O22" s="5" t="str">
        <v>North</v>
      </c>
      <c r="P22" s="5" t="str">
        <v>Mar-2025</v>
      </c>
      <c r="Q22" s="5">
        <v>85747</v>
      </c>
      <c r="R22" s="5">
        <v>7</v>
      </c>
      <c r="S22" s="5">
        <v>52859</v>
      </c>
    </row>
    <row r="23" spans="2:29" x14ac:dyDescent="0.3">
      <c r="B23" s="5" t="str">
        <v>ORD1263</v>
      </c>
      <c r="C23" s="5" t="str">
        <v>Headphones</v>
      </c>
      <c r="D23" s="5" t="str">
        <v>Accessories</v>
      </c>
      <c r="E23" s="5" t="str">
        <v>South</v>
      </c>
      <c r="F23" s="5" t="str">
        <v>Dec-2025</v>
      </c>
      <c r="G23" s="5">
        <v>147112</v>
      </c>
      <c r="H23" s="5">
        <v>10</v>
      </c>
      <c r="I23" s="5">
        <v>89102</v>
      </c>
      <c r="J23" s="10"/>
      <c r="L23" s="5" t="str">
        <v>ORD1093</v>
      </c>
      <c r="M23" s="5" t="str">
        <v>Printer</v>
      </c>
      <c r="N23" s="5" t="str">
        <v>Peripherals</v>
      </c>
      <c r="O23" s="5" t="str">
        <v>North</v>
      </c>
      <c r="P23" s="5" t="str">
        <v>Jul-2025</v>
      </c>
      <c r="Q23" s="5">
        <v>124800</v>
      </c>
      <c r="R23" s="5">
        <v>7</v>
      </c>
      <c r="S23" s="5">
        <v>82445</v>
      </c>
    </row>
    <row r="24" spans="2:29" x14ac:dyDescent="0.3">
      <c r="B24" s="5" t="str">
        <v>ORD1463</v>
      </c>
      <c r="C24" s="5" t="str">
        <v>Monitor</v>
      </c>
      <c r="D24" s="5" t="str">
        <v>Peripherals</v>
      </c>
      <c r="E24" s="5" t="str">
        <v>West</v>
      </c>
      <c r="F24" s="5" t="str">
        <v>Apr-2025</v>
      </c>
      <c r="G24" s="5">
        <v>146960</v>
      </c>
      <c r="H24" s="5">
        <v>1</v>
      </c>
      <c r="I24" s="5">
        <v>102583</v>
      </c>
      <c r="J24" s="10"/>
      <c r="L24" s="5" t="str">
        <v>ORD1094</v>
      </c>
      <c r="M24" s="5" t="str">
        <v>Monitor</v>
      </c>
      <c r="N24" s="5" t="str">
        <v>Peripherals</v>
      </c>
      <c r="O24" s="5" t="str">
        <v>North</v>
      </c>
      <c r="P24" s="5" t="str">
        <v>Feb-2025</v>
      </c>
      <c r="Q24" s="5">
        <v>65551</v>
      </c>
      <c r="R24" s="5">
        <v>5</v>
      </c>
      <c r="S24" s="5">
        <v>39892</v>
      </c>
      <c r="V24" s="12" t="str" cm="1">
        <f t="array" ref="V24:AC54">_xlfn.VSTACK(Q1_Sales!A1:H16,Q2_Sales!A2:H16)</f>
        <v>OrderID</v>
      </c>
      <c r="W24" s="12" t="str">
        <v>Product</v>
      </c>
      <c r="X24" s="12" t="str">
        <v>Category</v>
      </c>
      <c r="Y24" s="12" t="str">
        <v>Region</v>
      </c>
      <c r="Z24" s="12" t="str">
        <v>Month</v>
      </c>
      <c r="AA24" s="12" t="str">
        <v>Sales_Amount</v>
      </c>
      <c r="AB24" s="12" t="str">
        <v>Units_Sold</v>
      </c>
      <c r="AC24" s="12" t="str">
        <v>Cost_Amount</v>
      </c>
    </row>
    <row r="25" spans="2:29" x14ac:dyDescent="0.3">
      <c r="B25" s="5" t="str">
        <v>ORD1528</v>
      </c>
      <c r="C25" s="5" t="str">
        <v>Phone</v>
      </c>
      <c r="D25" s="5" t="str">
        <v>Electronics</v>
      </c>
      <c r="E25" s="5" t="str">
        <v>North</v>
      </c>
      <c r="F25" s="5" t="str">
        <v>Apr-2025</v>
      </c>
      <c r="G25" s="5">
        <v>146927</v>
      </c>
      <c r="H25" s="5">
        <v>4</v>
      </c>
      <c r="I25" s="5">
        <v>90449</v>
      </c>
      <c r="J25" s="10"/>
      <c r="L25" s="5" t="str">
        <v>ORD1108</v>
      </c>
      <c r="M25" s="5" t="str">
        <v>Laptop</v>
      </c>
      <c r="N25" s="5" t="str">
        <v>Electronics</v>
      </c>
      <c r="O25" s="5" t="str">
        <v>North</v>
      </c>
      <c r="P25" s="5" t="str">
        <v>Feb-2025</v>
      </c>
      <c r="Q25" s="5">
        <v>129091</v>
      </c>
      <c r="R25" s="5">
        <v>5</v>
      </c>
      <c r="S25" s="5">
        <v>81371</v>
      </c>
      <c r="V25" s="5" t="str">
        <v>ORD5001</v>
      </c>
      <c r="W25" s="5" t="str">
        <v>Mouse</v>
      </c>
      <c r="X25" s="5" t="str">
        <v>Accessories</v>
      </c>
      <c r="Y25" s="5" t="str">
        <v>East</v>
      </c>
      <c r="Z25" s="5" t="str">
        <v>Feb-2025</v>
      </c>
      <c r="AA25" s="5">
        <v>132017</v>
      </c>
      <c r="AB25" s="5">
        <v>8</v>
      </c>
      <c r="AC25" s="5">
        <v>81016</v>
      </c>
    </row>
    <row r="26" spans="2:29" x14ac:dyDescent="0.3">
      <c r="B26" s="5" t="str">
        <v>ORD1811</v>
      </c>
      <c r="C26" s="5" t="str">
        <v>Laptop</v>
      </c>
      <c r="D26" s="5" t="str">
        <v>Electronics</v>
      </c>
      <c r="E26" s="5" t="str">
        <v>East</v>
      </c>
      <c r="F26" s="5" t="str">
        <v>Jun-2025</v>
      </c>
      <c r="G26" s="5">
        <v>146900</v>
      </c>
      <c r="H26" s="5">
        <v>1</v>
      </c>
      <c r="I26" s="5">
        <v>93803</v>
      </c>
      <c r="J26" s="10"/>
      <c r="L26" s="5" t="str">
        <v>ORD1117</v>
      </c>
      <c r="M26" s="5" t="str">
        <v>Phone</v>
      </c>
      <c r="N26" s="5" t="str">
        <v>Electronics</v>
      </c>
      <c r="O26" s="5" t="str">
        <v>North</v>
      </c>
      <c r="P26" s="5" t="str">
        <v>Oct-2025</v>
      </c>
      <c r="Q26" s="5">
        <v>86835</v>
      </c>
      <c r="R26" s="5">
        <v>3</v>
      </c>
      <c r="S26" s="5">
        <v>58308</v>
      </c>
      <c r="V26" s="5" t="str">
        <v>ORD5002</v>
      </c>
      <c r="W26" s="5" t="str">
        <v>Monitor</v>
      </c>
      <c r="X26" s="5" t="str">
        <v>Peripherals</v>
      </c>
      <c r="Y26" s="5" t="str">
        <v>South</v>
      </c>
      <c r="Z26" s="5" t="str">
        <v>Jan-2025</v>
      </c>
      <c r="AA26" s="5">
        <v>42231</v>
      </c>
      <c r="AB26" s="5">
        <v>8</v>
      </c>
      <c r="AC26" s="5">
        <v>31654</v>
      </c>
    </row>
    <row r="27" spans="2:29" x14ac:dyDescent="0.3">
      <c r="B27" s="5" t="str">
        <v>ORD1633</v>
      </c>
      <c r="C27" s="5" t="str">
        <v>Keyboard</v>
      </c>
      <c r="D27" s="5" t="str">
        <v>Peripherals</v>
      </c>
      <c r="E27" s="5" t="str">
        <v>South</v>
      </c>
      <c r="F27" s="5" t="str">
        <v>Jan-2025</v>
      </c>
      <c r="G27" s="5">
        <v>146895</v>
      </c>
      <c r="H27" s="5">
        <v>8</v>
      </c>
      <c r="I27" s="5">
        <v>93403</v>
      </c>
      <c r="J27" s="10"/>
      <c r="L27" s="5" t="str">
        <v>ORD1118</v>
      </c>
      <c r="M27" s="5" t="str">
        <v>Laptop</v>
      </c>
      <c r="N27" s="5" t="str">
        <v>Electronics</v>
      </c>
      <c r="O27" s="5" t="str">
        <v>North</v>
      </c>
      <c r="P27" s="5" t="str">
        <v>Feb-2025</v>
      </c>
      <c r="Q27" s="5">
        <v>50441</v>
      </c>
      <c r="R27" s="5">
        <v>8</v>
      </c>
      <c r="S27" s="5">
        <v>37392</v>
      </c>
      <c r="V27" s="5" t="str">
        <v>ORD5003</v>
      </c>
      <c r="W27" s="5" t="str">
        <v>Printer</v>
      </c>
      <c r="X27" s="5" t="str">
        <v>Peripherals</v>
      </c>
      <c r="Y27" s="5" t="str">
        <v>North</v>
      </c>
      <c r="Z27" s="5" t="str">
        <v>Feb-2025</v>
      </c>
      <c r="AA27" s="5">
        <v>123765</v>
      </c>
      <c r="AB27" s="5">
        <v>15</v>
      </c>
      <c r="AC27" s="5">
        <v>84965</v>
      </c>
    </row>
    <row r="28" spans="2:29" x14ac:dyDescent="0.3">
      <c r="B28" s="5" t="str">
        <v>ORD1825</v>
      </c>
      <c r="C28" s="5" t="str">
        <v>Phone</v>
      </c>
      <c r="D28" s="5" t="str">
        <v>Electronics</v>
      </c>
      <c r="E28" s="5" t="str">
        <v>East</v>
      </c>
      <c r="F28" s="5" t="str">
        <v>Mar-2025</v>
      </c>
      <c r="G28" s="5">
        <v>146741</v>
      </c>
      <c r="H28" s="5">
        <v>7</v>
      </c>
      <c r="I28" s="5">
        <v>102058</v>
      </c>
      <c r="J28" s="10"/>
      <c r="L28" s="5" t="str">
        <v>ORD1127</v>
      </c>
      <c r="M28" s="5" t="str">
        <v>Headphones</v>
      </c>
      <c r="N28" s="5" t="str">
        <v>Accessories</v>
      </c>
      <c r="O28" s="5" t="str">
        <v>North</v>
      </c>
      <c r="P28" s="5" t="str">
        <v>Mar-2025</v>
      </c>
      <c r="Q28" s="5">
        <v>96640</v>
      </c>
      <c r="R28" s="5">
        <v>4</v>
      </c>
      <c r="S28" s="5">
        <v>60519</v>
      </c>
      <c r="V28" s="5" t="str">
        <v>ORD5004</v>
      </c>
      <c r="W28" s="5" t="str">
        <v>Printer</v>
      </c>
      <c r="X28" s="5" t="str">
        <v>Peripherals</v>
      </c>
      <c r="Y28" s="5" t="str">
        <v>South</v>
      </c>
      <c r="Z28" s="5" t="str">
        <v>Jan-2025</v>
      </c>
      <c r="AA28" s="5">
        <v>63417</v>
      </c>
      <c r="AB28" s="5">
        <v>11</v>
      </c>
      <c r="AC28" s="5">
        <v>41409</v>
      </c>
    </row>
    <row r="29" spans="2:29" x14ac:dyDescent="0.3">
      <c r="B29" s="5" t="str">
        <v>ORD1656</v>
      </c>
      <c r="C29" s="5" t="str">
        <v>Mouse</v>
      </c>
      <c r="D29" s="5" t="str">
        <v>Accessories</v>
      </c>
      <c r="E29" s="5" t="str">
        <v>East</v>
      </c>
      <c r="F29" s="5" t="str">
        <v>May-2025</v>
      </c>
      <c r="G29" s="5">
        <v>146709</v>
      </c>
      <c r="H29" s="5">
        <v>4</v>
      </c>
      <c r="I29" s="5">
        <v>107273</v>
      </c>
      <c r="J29" s="10"/>
      <c r="L29" s="5" t="str">
        <v>ORD1129</v>
      </c>
      <c r="M29" s="5" t="str">
        <v>Tablet</v>
      </c>
      <c r="N29" s="5" t="str">
        <v>Electronics</v>
      </c>
      <c r="O29" s="5" t="str">
        <v>North</v>
      </c>
      <c r="P29" s="5" t="str">
        <v>Nov-2025</v>
      </c>
      <c r="Q29" s="5">
        <v>65794</v>
      </c>
      <c r="R29" s="5">
        <v>13</v>
      </c>
      <c r="S29" s="5">
        <v>47067</v>
      </c>
      <c r="V29" s="5" t="str">
        <v>ORD5005</v>
      </c>
      <c r="W29" s="5" t="str">
        <v>Printer</v>
      </c>
      <c r="X29" s="5" t="str">
        <v>Peripherals</v>
      </c>
      <c r="Y29" s="5" t="str">
        <v>West</v>
      </c>
      <c r="Z29" s="5" t="str">
        <v>Feb-2025</v>
      </c>
      <c r="AA29" s="5">
        <v>68773</v>
      </c>
      <c r="AB29" s="5">
        <v>9</v>
      </c>
      <c r="AC29" s="5">
        <v>43287</v>
      </c>
    </row>
    <row r="30" spans="2:29" x14ac:dyDescent="0.3">
      <c r="B30" s="5" t="str">
        <v>ORD1689</v>
      </c>
      <c r="C30" s="5" t="str">
        <v>Laptop</v>
      </c>
      <c r="D30" s="5" t="str">
        <v>Electronics</v>
      </c>
      <c r="E30" s="5" t="str">
        <v>North</v>
      </c>
      <c r="F30" s="5" t="str">
        <v>Apr-2025</v>
      </c>
      <c r="G30" s="5">
        <v>146692</v>
      </c>
      <c r="H30" s="5">
        <v>14</v>
      </c>
      <c r="I30" s="5">
        <v>91317</v>
      </c>
      <c r="J30" s="10"/>
      <c r="L30" s="5" t="str">
        <v>ORD1132</v>
      </c>
      <c r="M30" s="5" t="str">
        <v>Laptop</v>
      </c>
      <c r="N30" s="5" t="str">
        <v>Electronics</v>
      </c>
      <c r="O30" s="5" t="str">
        <v>North</v>
      </c>
      <c r="P30" s="5" t="str">
        <v>Mar-2025</v>
      </c>
      <c r="Q30" s="5">
        <v>148738</v>
      </c>
      <c r="R30" s="5">
        <v>15</v>
      </c>
      <c r="S30" s="5">
        <v>97147</v>
      </c>
      <c r="V30" s="5" t="str">
        <v>ORD5006</v>
      </c>
      <c r="W30" s="5" t="str">
        <v>Keyboard</v>
      </c>
      <c r="X30" s="5" t="str">
        <v>Peripherals</v>
      </c>
      <c r="Y30" s="5" t="str">
        <v>East</v>
      </c>
      <c r="Z30" s="5" t="str">
        <v>Mar-2025</v>
      </c>
      <c r="AA30" s="5">
        <v>84636</v>
      </c>
      <c r="AB30" s="5">
        <v>8</v>
      </c>
      <c r="AC30" s="5">
        <v>58353</v>
      </c>
    </row>
    <row r="31" spans="2:29" x14ac:dyDescent="0.3">
      <c r="B31" s="5" t="str">
        <v>ORD1137</v>
      </c>
      <c r="C31" s="5" t="str">
        <v>Tablet</v>
      </c>
      <c r="D31" s="5" t="str">
        <v>Electronics</v>
      </c>
      <c r="E31" s="5" t="str">
        <v>West</v>
      </c>
      <c r="F31" s="5" t="str">
        <v>Jun-2025</v>
      </c>
      <c r="G31" s="5">
        <v>146579</v>
      </c>
      <c r="H31" s="5">
        <v>5</v>
      </c>
      <c r="I31" s="5">
        <v>95933</v>
      </c>
      <c r="J31" s="10"/>
      <c r="L31" s="5" t="str">
        <v>ORD1134</v>
      </c>
      <c r="M31" s="5" t="str">
        <v>Tablet</v>
      </c>
      <c r="N31" s="5" t="str">
        <v>Electronics</v>
      </c>
      <c r="O31" s="5" t="str">
        <v>North</v>
      </c>
      <c r="P31" s="5" t="str">
        <v>May-2025</v>
      </c>
      <c r="Q31" s="5">
        <v>133271</v>
      </c>
      <c r="R31" s="5">
        <v>2</v>
      </c>
      <c r="S31" s="5">
        <v>98196</v>
      </c>
      <c r="V31" s="5" t="str">
        <v>ORD5007</v>
      </c>
      <c r="W31" s="5" t="str">
        <v>Phone</v>
      </c>
      <c r="X31" s="5" t="str">
        <v>Electronics</v>
      </c>
      <c r="Y31" s="5" t="str">
        <v>North</v>
      </c>
      <c r="Z31" s="5" t="str">
        <v>Jan-2025</v>
      </c>
      <c r="AA31" s="5">
        <v>62248</v>
      </c>
      <c r="AB31" s="5">
        <v>15</v>
      </c>
      <c r="AC31" s="5">
        <v>43165</v>
      </c>
    </row>
    <row r="32" spans="2:29" x14ac:dyDescent="0.3">
      <c r="B32" s="5" t="str">
        <v>ORD1755</v>
      </c>
      <c r="C32" s="5" t="str">
        <v>Mouse</v>
      </c>
      <c r="D32" s="5" t="str">
        <v>Accessories</v>
      </c>
      <c r="E32" s="5" t="str">
        <v>West</v>
      </c>
      <c r="F32" s="5" t="str">
        <v>Nov-2025</v>
      </c>
      <c r="G32" s="5">
        <v>146576</v>
      </c>
      <c r="H32" s="5">
        <v>5</v>
      </c>
      <c r="I32" s="5">
        <v>102174</v>
      </c>
      <c r="J32" s="10"/>
      <c r="L32" s="5" t="str">
        <v>ORD1142</v>
      </c>
      <c r="M32" s="5" t="str">
        <v>Laptop</v>
      </c>
      <c r="N32" s="5" t="str">
        <v>Electronics</v>
      </c>
      <c r="O32" s="5" t="str">
        <v>North</v>
      </c>
      <c r="P32" s="5" t="str">
        <v>Nov-2025</v>
      </c>
      <c r="Q32" s="5">
        <v>80324</v>
      </c>
      <c r="R32" s="5">
        <v>9</v>
      </c>
      <c r="S32" s="5">
        <v>52971</v>
      </c>
      <c r="V32" s="5" t="str">
        <v>ORD5008</v>
      </c>
      <c r="W32" s="5" t="str">
        <v>Headphones</v>
      </c>
      <c r="X32" s="5" t="str">
        <v>Accessories</v>
      </c>
      <c r="Y32" s="5" t="str">
        <v>East</v>
      </c>
      <c r="Z32" s="5" t="str">
        <v>Jan-2025</v>
      </c>
      <c r="AA32" s="5">
        <v>21695</v>
      </c>
      <c r="AB32" s="5">
        <v>11</v>
      </c>
      <c r="AC32" s="5">
        <v>15999</v>
      </c>
    </row>
    <row r="33" spans="2:29" x14ac:dyDescent="0.3">
      <c r="B33" s="5" t="str">
        <v>ORD1440</v>
      </c>
      <c r="C33" s="5" t="str">
        <v>Headphones</v>
      </c>
      <c r="D33" s="5" t="str">
        <v>Accessories</v>
      </c>
      <c r="E33" s="5" t="str">
        <v>East</v>
      </c>
      <c r="F33" s="5" t="str">
        <v>Jun-2025</v>
      </c>
      <c r="G33" s="5">
        <v>146308</v>
      </c>
      <c r="H33" s="5">
        <v>4</v>
      </c>
      <c r="I33" s="5">
        <v>107974</v>
      </c>
      <c r="J33" s="10"/>
      <c r="L33" s="5" t="str">
        <v>ORD1147</v>
      </c>
      <c r="M33" s="5" t="str">
        <v>Monitor</v>
      </c>
      <c r="N33" s="5" t="str">
        <v>Peripherals</v>
      </c>
      <c r="O33" s="5" t="str">
        <v>North</v>
      </c>
      <c r="P33" s="5" t="str">
        <v>Oct-2025</v>
      </c>
      <c r="Q33" s="5">
        <v>129552</v>
      </c>
      <c r="R33" s="5">
        <v>9</v>
      </c>
      <c r="S33" s="5">
        <v>92077</v>
      </c>
      <c r="V33" s="5" t="str">
        <v>ORD5009</v>
      </c>
      <c r="W33" s="5" t="str">
        <v>Keyboard</v>
      </c>
      <c r="X33" s="5" t="str">
        <v>Peripherals</v>
      </c>
      <c r="Y33" s="5" t="str">
        <v>East</v>
      </c>
      <c r="Z33" s="5" t="str">
        <v>Mar-2025</v>
      </c>
      <c r="AA33" s="5">
        <v>33723</v>
      </c>
      <c r="AB33" s="5">
        <v>9</v>
      </c>
      <c r="AC33" s="5">
        <v>22363</v>
      </c>
    </row>
    <row r="34" spans="2:29" x14ac:dyDescent="0.3">
      <c r="B34" s="5" t="str">
        <v>ORD1370</v>
      </c>
      <c r="C34" s="5" t="str">
        <v>Monitor</v>
      </c>
      <c r="D34" s="5" t="str">
        <v>Peripherals</v>
      </c>
      <c r="E34" s="5" t="str">
        <v>West</v>
      </c>
      <c r="F34" s="5" t="str">
        <v>May-2025</v>
      </c>
      <c r="G34" s="5">
        <v>146306</v>
      </c>
      <c r="H34" s="5">
        <v>15</v>
      </c>
      <c r="I34" s="5">
        <v>91976</v>
      </c>
      <c r="J34" s="10"/>
      <c r="L34" s="5" t="str">
        <v>ORD1149</v>
      </c>
      <c r="M34" s="5" t="str">
        <v>Mouse</v>
      </c>
      <c r="N34" s="5" t="str">
        <v>Accessories</v>
      </c>
      <c r="O34" s="5" t="str">
        <v>North</v>
      </c>
      <c r="P34" s="5" t="str">
        <v>Jan-2025</v>
      </c>
      <c r="Q34" s="5">
        <v>57679</v>
      </c>
      <c r="R34" s="5">
        <v>13</v>
      </c>
      <c r="S34" s="5">
        <v>42902</v>
      </c>
      <c r="V34" s="5" t="str">
        <v>ORD5010</v>
      </c>
      <c r="W34" s="5" t="str">
        <v>Mouse</v>
      </c>
      <c r="X34" s="5" t="str">
        <v>Accessories</v>
      </c>
      <c r="Y34" s="5" t="str">
        <v>South</v>
      </c>
      <c r="Z34" s="5" t="str">
        <v>Jan-2025</v>
      </c>
      <c r="AA34" s="5">
        <v>57044</v>
      </c>
      <c r="AB34" s="5">
        <v>3</v>
      </c>
      <c r="AC34" s="5">
        <v>36112</v>
      </c>
    </row>
    <row r="35" spans="2:29" x14ac:dyDescent="0.3">
      <c r="B35" s="5" t="str">
        <v>ORD1006</v>
      </c>
      <c r="C35" s="5" t="str">
        <v>Headphones</v>
      </c>
      <c r="D35" s="5" t="str">
        <v>Accessories</v>
      </c>
      <c r="E35" s="5" t="str">
        <v>West</v>
      </c>
      <c r="F35" s="5" t="str">
        <v>Oct-2025</v>
      </c>
      <c r="G35" s="5">
        <v>146228</v>
      </c>
      <c r="H35" s="5">
        <v>2</v>
      </c>
      <c r="I35" s="5">
        <v>89926</v>
      </c>
      <c r="J35" s="10"/>
      <c r="L35" s="5" t="str">
        <v>ORD1150</v>
      </c>
      <c r="M35" s="5" t="str">
        <v>Headphones</v>
      </c>
      <c r="N35" s="5" t="str">
        <v>Accessories</v>
      </c>
      <c r="O35" s="5" t="str">
        <v>North</v>
      </c>
      <c r="P35" s="5" t="str">
        <v>Sep-2025</v>
      </c>
      <c r="Q35" s="5">
        <v>117209</v>
      </c>
      <c r="R35" s="5">
        <v>14</v>
      </c>
      <c r="S35" s="5">
        <v>70989</v>
      </c>
      <c r="V35" s="5" t="str">
        <v>ORD5011</v>
      </c>
      <c r="W35" s="5" t="str">
        <v>Tablet</v>
      </c>
      <c r="X35" s="5" t="str">
        <v>Electronics</v>
      </c>
      <c r="Y35" s="5" t="str">
        <v>South</v>
      </c>
      <c r="Z35" s="5" t="str">
        <v>Jan-2025</v>
      </c>
      <c r="AA35" s="5">
        <v>119950</v>
      </c>
      <c r="AB35" s="5">
        <v>2</v>
      </c>
      <c r="AC35" s="5">
        <v>76082</v>
      </c>
    </row>
    <row r="36" spans="2:29" x14ac:dyDescent="0.3">
      <c r="B36" s="5" t="str">
        <v>ORD1621</v>
      </c>
      <c r="C36" s="5" t="str">
        <v>Keyboard</v>
      </c>
      <c r="D36" s="5" t="str">
        <v>Peripherals</v>
      </c>
      <c r="E36" s="5" t="str">
        <v>East</v>
      </c>
      <c r="F36" s="5" t="str">
        <v>Mar-2025</v>
      </c>
      <c r="G36" s="5">
        <v>146162</v>
      </c>
      <c r="H36" s="5">
        <v>15</v>
      </c>
      <c r="I36" s="5">
        <v>96671</v>
      </c>
      <c r="J36" s="10"/>
      <c r="L36" s="5" t="str">
        <v>ORD1156</v>
      </c>
      <c r="M36" s="5" t="str">
        <v>Mouse</v>
      </c>
      <c r="N36" s="5" t="str">
        <v>Accessories</v>
      </c>
      <c r="O36" s="5" t="str">
        <v>North</v>
      </c>
      <c r="P36" s="5" t="str">
        <v>Dec-2025</v>
      </c>
      <c r="Q36" s="5">
        <v>82354</v>
      </c>
      <c r="R36" s="5">
        <v>9</v>
      </c>
      <c r="S36" s="5">
        <v>52887</v>
      </c>
      <c r="V36" s="5" t="str">
        <v>ORD5012</v>
      </c>
      <c r="W36" s="5" t="str">
        <v>Headphones</v>
      </c>
      <c r="X36" s="5" t="str">
        <v>Accessories</v>
      </c>
      <c r="Y36" s="5" t="str">
        <v>North</v>
      </c>
      <c r="Z36" s="5" t="str">
        <v>Mar-2025</v>
      </c>
      <c r="AA36" s="5">
        <v>11435</v>
      </c>
      <c r="AB36" s="5">
        <v>15</v>
      </c>
      <c r="AC36" s="5">
        <v>7174</v>
      </c>
    </row>
    <row r="37" spans="2:29" x14ac:dyDescent="0.3">
      <c r="B37" s="5" t="str">
        <v>ORD1522</v>
      </c>
      <c r="C37" s="5" t="str">
        <v>Keyboard</v>
      </c>
      <c r="D37" s="5" t="str">
        <v>Peripherals</v>
      </c>
      <c r="E37" s="5" t="str">
        <v>East</v>
      </c>
      <c r="F37" s="5" t="str">
        <v>Jun-2025</v>
      </c>
      <c r="G37" s="5">
        <v>146117</v>
      </c>
      <c r="H37" s="5">
        <v>8</v>
      </c>
      <c r="I37" s="5">
        <v>99406</v>
      </c>
      <c r="J37" s="10"/>
      <c r="L37" s="5" t="str">
        <v>ORD1158</v>
      </c>
      <c r="M37" s="5" t="str">
        <v>Headphones</v>
      </c>
      <c r="N37" s="5" t="str">
        <v>Accessories</v>
      </c>
      <c r="O37" s="5" t="str">
        <v>North</v>
      </c>
      <c r="P37" s="5" t="str">
        <v>Nov-2025</v>
      </c>
      <c r="Q37" s="5">
        <v>133931</v>
      </c>
      <c r="R37" s="5">
        <v>7</v>
      </c>
      <c r="S37" s="5">
        <v>91410</v>
      </c>
      <c r="V37" s="5" t="str">
        <v>ORD5013</v>
      </c>
      <c r="W37" s="5" t="str">
        <v>Headphones</v>
      </c>
      <c r="X37" s="5" t="str">
        <v>Accessories</v>
      </c>
      <c r="Y37" s="5" t="str">
        <v>East</v>
      </c>
      <c r="Z37" s="5" t="str">
        <v>Mar-2025</v>
      </c>
      <c r="AA37" s="5">
        <v>38842</v>
      </c>
      <c r="AB37" s="5">
        <v>12</v>
      </c>
      <c r="AC37" s="5">
        <v>27676</v>
      </c>
    </row>
    <row r="38" spans="2:29" x14ac:dyDescent="0.3">
      <c r="B38" s="5" t="str">
        <v>ORD1510</v>
      </c>
      <c r="C38" s="5" t="str">
        <v>Laptop</v>
      </c>
      <c r="D38" s="5" t="str">
        <v>Electronics</v>
      </c>
      <c r="E38" s="5" t="str">
        <v>West</v>
      </c>
      <c r="F38" s="5" t="str">
        <v>Mar-2025</v>
      </c>
      <c r="G38" s="5">
        <v>145808</v>
      </c>
      <c r="H38" s="5">
        <v>10</v>
      </c>
      <c r="I38" s="5">
        <v>93118</v>
      </c>
      <c r="J38" s="10"/>
      <c r="L38" s="5" t="str">
        <v>ORD1166</v>
      </c>
      <c r="M38" s="5" t="str">
        <v>Phone</v>
      </c>
      <c r="N38" s="5" t="str">
        <v>Electronics</v>
      </c>
      <c r="O38" s="5" t="str">
        <v>North</v>
      </c>
      <c r="P38" s="5" t="str">
        <v>Dec-2025</v>
      </c>
      <c r="Q38" s="5">
        <v>81165</v>
      </c>
      <c r="R38" s="5">
        <v>6</v>
      </c>
      <c r="S38" s="5">
        <v>59111</v>
      </c>
      <c r="V38" s="5" t="str">
        <v>ORD5014</v>
      </c>
      <c r="W38" s="5" t="str">
        <v>Printer</v>
      </c>
      <c r="X38" s="5" t="str">
        <v>Peripherals</v>
      </c>
      <c r="Y38" s="5" t="str">
        <v>South</v>
      </c>
      <c r="Z38" s="5" t="str">
        <v>Mar-2025</v>
      </c>
      <c r="AA38" s="5">
        <v>86796</v>
      </c>
      <c r="AB38" s="5">
        <v>6</v>
      </c>
      <c r="AC38" s="5">
        <v>58269</v>
      </c>
    </row>
    <row r="39" spans="2:29" x14ac:dyDescent="0.3">
      <c r="B39" s="5" t="str">
        <v>ORD1337</v>
      </c>
      <c r="C39" s="5" t="str">
        <v>Headphones</v>
      </c>
      <c r="D39" s="5" t="str">
        <v>Accessories</v>
      </c>
      <c r="E39" s="5" t="str">
        <v>North</v>
      </c>
      <c r="F39" s="5" t="str">
        <v>Aug-2025</v>
      </c>
      <c r="G39" s="5">
        <v>145655</v>
      </c>
      <c r="H39" s="5">
        <v>14</v>
      </c>
      <c r="I39" s="5">
        <v>106108</v>
      </c>
      <c r="J39" s="10"/>
      <c r="L39" s="5" t="str">
        <v>ORD1172</v>
      </c>
      <c r="M39" s="5" t="str">
        <v>Keyboard</v>
      </c>
      <c r="N39" s="5" t="str">
        <v>Peripherals</v>
      </c>
      <c r="O39" s="5" t="str">
        <v>North</v>
      </c>
      <c r="P39" s="5" t="str">
        <v>Feb-2025</v>
      </c>
      <c r="Q39" s="5">
        <v>82608</v>
      </c>
      <c r="R39" s="5">
        <v>8</v>
      </c>
      <c r="S39" s="5">
        <v>61723</v>
      </c>
      <c r="V39" s="5" t="str">
        <v>ORD5015</v>
      </c>
      <c r="W39" s="5" t="str">
        <v>Keyboard</v>
      </c>
      <c r="X39" s="5" t="str">
        <v>Peripherals</v>
      </c>
      <c r="Y39" s="5" t="str">
        <v>North</v>
      </c>
      <c r="Z39" s="5" t="str">
        <v>Feb-2025</v>
      </c>
      <c r="AA39" s="5">
        <v>122643</v>
      </c>
      <c r="AB39" s="5">
        <v>13</v>
      </c>
      <c r="AC39" s="5">
        <v>77795</v>
      </c>
    </row>
    <row r="40" spans="2:29" x14ac:dyDescent="0.3">
      <c r="B40" s="5" t="str">
        <v>ORD1711</v>
      </c>
      <c r="C40" s="5" t="str">
        <v>Keyboard</v>
      </c>
      <c r="D40" s="5" t="str">
        <v>Peripherals</v>
      </c>
      <c r="E40" s="5" t="str">
        <v>South</v>
      </c>
      <c r="F40" s="5" t="str">
        <v>Feb-2025</v>
      </c>
      <c r="G40" s="5">
        <v>145533</v>
      </c>
      <c r="H40" s="5">
        <v>7</v>
      </c>
      <c r="I40" s="5">
        <v>92876</v>
      </c>
      <c r="J40" s="10"/>
      <c r="L40" s="5" t="str">
        <v>ORD1175</v>
      </c>
      <c r="M40" s="5" t="str">
        <v>Laptop</v>
      </c>
      <c r="N40" s="5" t="str">
        <v>Electronics</v>
      </c>
      <c r="O40" s="5" t="str">
        <v>North</v>
      </c>
      <c r="P40" s="5" t="str">
        <v>Dec-2025</v>
      </c>
      <c r="Q40" s="5">
        <v>133029</v>
      </c>
      <c r="R40" s="5">
        <v>14</v>
      </c>
      <c r="S40" s="5">
        <v>80290</v>
      </c>
      <c r="V40" s="5" t="str">
        <v>ORD6001</v>
      </c>
      <c r="W40" s="5" t="str">
        <v>Tablet</v>
      </c>
      <c r="X40" s="5" t="str">
        <v>Electronics</v>
      </c>
      <c r="Y40" s="5" t="str">
        <v>North</v>
      </c>
      <c r="Z40" s="5" t="str">
        <v>Apr-2025</v>
      </c>
      <c r="AA40" s="5">
        <v>54624</v>
      </c>
      <c r="AB40" s="5">
        <v>3</v>
      </c>
      <c r="AC40" s="5">
        <v>37633</v>
      </c>
    </row>
    <row r="41" spans="2:29" x14ac:dyDescent="0.3">
      <c r="B41" s="5" t="str">
        <v>ORD1248</v>
      </c>
      <c r="C41" s="5" t="str">
        <v>Tablet</v>
      </c>
      <c r="D41" s="5" t="str">
        <v>Electronics</v>
      </c>
      <c r="E41" s="5" t="str">
        <v>North</v>
      </c>
      <c r="F41" s="5" t="str">
        <v>Jan-2025</v>
      </c>
      <c r="G41" s="5">
        <v>145515</v>
      </c>
      <c r="H41" s="5">
        <v>11</v>
      </c>
      <c r="I41" s="5">
        <v>93033</v>
      </c>
      <c r="J41" s="10"/>
      <c r="L41" s="5" t="str">
        <v>ORD1191</v>
      </c>
      <c r="M41" s="5" t="str">
        <v>Laptop</v>
      </c>
      <c r="N41" s="5" t="str">
        <v>Electronics</v>
      </c>
      <c r="O41" s="5" t="str">
        <v>North</v>
      </c>
      <c r="P41" s="5" t="str">
        <v>Sep-2025</v>
      </c>
      <c r="Q41" s="5">
        <v>110005</v>
      </c>
      <c r="R41" s="5">
        <v>14</v>
      </c>
      <c r="S41" s="5">
        <v>72278</v>
      </c>
      <c r="V41" s="5" t="str">
        <v>ORD6002</v>
      </c>
      <c r="W41" s="5" t="str">
        <v>Tablet</v>
      </c>
      <c r="X41" s="5" t="str">
        <v>Electronics</v>
      </c>
      <c r="Y41" s="5" t="str">
        <v>West</v>
      </c>
      <c r="Z41" s="5" t="str">
        <v>Apr-2025</v>
      </c>
      <c r="AA41" s="5">
        <v>59530</v>
      </c>
      <c r="AB41" s="5">
        <v>1</v>
      </c>
      <c r="AC41" s="5">
        <v>42033</v>
      </c>
    </row>
    <row r="42" spans="2:29" x14ac:dyDescent="0.3">
      <c r="B42" s="5" t="str">
        <v>ORD1887</v>
      </c>
      <c r="C42" s="5" t="str">
        <v>Headphones</v>
      </c>
      <c r="D42" s="5" t="str">
        <v>Accessories</v>
      </c>
      <c r="E42" s="5" t="str">
        <v>South</v>
      </c>
      <c r="F42" s="5" t="str">
        <v>Dec-2025</v>
      </c>
      <c r="G42" s="5">
        <v>145514</v>
      </c>
      <c r="H42" s="5">
        <v>7</v>
      </c>
      <c r="I42" s="5">
        <v>105463</v>
      </c>
      <c r="J42" s="10"/>
      <c r="L42" s="5" t="str">
        <v>ORD1194</v>
      </c>
      <c r="M42" s="5" t="str">
        <v>Phone</v>
      </c>
      <c r="N42" s="5" t="str">
        <v>Electronics</v>
      </c>
      <c r="O42" s="5" t="str">
        <v>North</v>
      </c>
      <c r="P42" s="5" t="str">
        <v>Dec-2025</v>
      </c>
      <c r="Q42" s="5">
        <v>99012</v>
      </c>
      <c r="R42" s="5">
        <v>3</v>
      </c>
      <c r="S42" s="5">
        <v>59809</v>
      </c>
      <c r="V42" s="5" t="str">
        <v>ORD6003</v>
      </c>
      <c r="W42" s="5" t="str">
        <v>Phone</v>
      </c>
      <c r="X42" s="5" t="str">
        <v>Electronics</v>
      </c>
      <c r="Y42" s="5" t="str">
        <v>East</v>
      </c>
      <c r="Z42" s="5" t="str">
        <v>Apr-2025</v>
      </c>
      <c r="AA42" s="5">
        <v>14444</v>
      </c>
      <c r="AB42" s="5">
        <v>13</v>
      </c>
      <c r="AC42" s="5">
        <v>9926</v>
      </c>
    </row>
    <row r="43" spans="2:29" x14ac:dyDescent="0.3">
      <c r="B43" s="5" t="str">
        <v>ORD1968</v>
      </c>
      <c r="C43" s="5" t="str">
        <v>Monitor</v>
      </c>
      <c r="D43" s="5" t="str">
        <v>Peripherals</v>
      </c>
      <c r="E43" s="5" t="str">
        <v>West</v>
      </c>
      <c r="F43" s="5" t="str">
        <v>Mar-2025</v>
      </c>
      <c r="G43" s="5">
        <v>145303</v>
      </c>
      <c r="H43" s="5">
        <v>5</v>
      </c>
      <c r="I43" s="5">
        <v>108137</v>
      </c>
      <c r="J43" s="10"/>
      <c r="L43" s="5" t="str">
        <v>ORD1204</v>
      </c>
      <c r="M43" s="5" t="str">
        <v>Tablet</v>
      </c>
      <c r="N43" s="5" t="str">
        <v>Electronics</v>
      </c>
      <c r="O43" s="5" t="str">
        <v>North</v>
      </c>
      <c r="P43" s="5" t="str">
        <v>Mar-2025</v>
      </c>
      <c r="Q43" s="5">
        <v>63945</v>
      </c>
      <c r="R43" s="5">
        <v>7</v>
      </c>
      <c r="S43" s="5">
        <v>45703</v>
      </c>
      <c r="V43" s="5" t="str">
        <v>ORD6004</v>
      </c>
      <c r="W43" s="5" t="str">
        <v>Monitor</v>
      </c>
      <c r="X43" s="5" t="str">
        <v>Peripherals</v>
      </c>
      <c r="Y43" s="5" t="str">
        <v>South</v>
      </c>
      <c r="Z43" s="5" t="str">
        <v>Apr-2025</v>
      </c>
      <c r="AA43" s="5">
        <v>92567</v>
      </c>
      <c r="AB43" s="5">
        <v>10</v>
      </c>
      <c r="AC43" s="5">
        <v>59823</v>
      </c>
    </row>
    <row r="44" spans="2:29" x14ac:dyDescent="0.3">
      <c r="B44" s="5" t="str">
        <v>ORD1379</v>
      </c>
      <c r="C44" s="5" t="str">
        <v>Monitor</v>
      </c>
      <c r="D44" s="5" t="str">
        <v>Peripherals</v>
      </c>
      <c r="E44" s="5" t="str">
        <v>South</v>
      </c>
      <c r="F44" s="5" t="str">
        <v>Mar-2025</v>
      </c>
      <c r="G44" s="5">
        <v>145011</v>
      </c>
      <c r="H44" s="5">
        <v>3</v>
      </c>
      <c r="I44" s="5">
        <v>103027</v>
      </c>
      <c r="J44" s="10"/>
      <c r="L44" s="5" t="str">
        <v>ORD1217</v>
      </c>
      <c r="M44" s="5" t="str">
        <v>Monitor</v>
      </c>
      <c r="N44" s="5" t="str">
        <v>Peripherals</v>
      </c>
      <c r="O44" s="5" t="str">
        <v>North</v>
      </c>
      <c r="P44" s="5" t="str">
        <v>May-2025</v>
      </c>
      <c r="Q44" s="5">
        <v>119387</v>
      </c>
      <c r="R44" s="5">
        <v>2</v>
      </c>
      <c r="S44" s="5">
        <v>83740</v>
      </c>
      <c r="V44" s="5" t="str">
        <v>ORD6005</v>
      </c>
      <c r="W44" s="5" t="str">
        <v>Phone</v>
      </c>
      <c r="X44" s="5" t="str">
        <v>Electronics</v>
      </c>
      <c r="Y44" s="5" t="str">
        <v>South</v>
      </c>
      <c r="Z44" s="5" t="str">
        <v>Jun-2025</v>
      </c>
      <c r="AA44" s="5">
        <v>30155</v>
      </c>
      <c r="AB44" s="5">
        <v>1</v>
      </c>
      <c r="AC44" s="5">
        <v>22350</v>
      </c>
    </row>
    <row r="45" spans="2:29" x14ac:dyDescent="0.3">
      <c r="B45" s="5" t="str">
        <v>ORD1647</v>
      </c>
      <c r="C45" s="5" t="str">
        <v>Monitor</v>
      </c>
      <c r="D45" s="5" t="str">
        <v>Peripherals</v>
      </c>
      <c r="E45" s="5" t="str">
        <v>West</v>
      </c>
      <c r="F45" s="5" t="str">
        <v>Jun-2025</v>
      </c>
      <c r="G45" s="5">
        <v>144977</v>
      </c>
      <c r="H45" s="5">
        <v>8</v>
      </c>
      <c r="I45" s="5">
        <v>95823</v>
      </c>
      <c r="J45" s="10"/>
      <c r="L45" s="5" t="str">
        <v>ORD1224</v>
      </c>
      <c r="M45" s="5" t="str">
        <v>Laptop</v>
      </c>
      <c r="N45" s="5" t="str">
        <v>Electronics</v>
      </c>
      <c r="O45" s="5" t="str">
        <v>North</v>
      </c>
      <c r="P45" s="5" t="str">
        <v>Feb-2025</v>
      </c>
      <c r="Q45" s="5">
        <v>57299</v>
      </c>
      <c r="R45" s="5">
        <v>14</v>
      </c>
      <c r="S45" s="5">
        <v>42701</v>
      </c>
      <c r="V45" s="5" t="str">
        <v>ORD6006</v>
      </c>
      <c r="W45" s="5" t="str">
        <v>Printer</v>
      </c>
      <c r="X45" s="5" t="str">
        <v>Peripherals</v>
      </c>
      <c r="Y45" s="5" t="str">
        <v>East</v>
      </c>
      <c r="Z45" s="5" t="str">
        <v>Apr-2025</v>
      </c>
      <c r="AA45" s="5">
        <v>102032</v>
      </c>
      <c r="AB45" s="5">
        <v>12</v>
      </c>
      <c r="AC45" s="5">
        <v>68918</v>
      </c>
    </row>
    <row r="46" spans="2:29" x14ac:dyDescent="0.3">
      <c r="B46" s="5" t="str">
        <v>ORD1677</v>
      </c>
      <c r="C46" s="5" t="str">
        <v>Keyboard</v>
      </c>
      <c r="D46" s="5" t="str">
        <v>Peripherals</v>
      </c>
      <c r="E46" s="5" t="str">
        <v>South</v>
      </c>
      <c r="F46" s="5" t="str">
        <v>Jun-2025</v>
      </c>
      <c r="G46" s="5">
        <v>144945</v>
      </c>
      <c r="H46" s="5">
        <v>11</v>
      </c>
      <c r="I46" s="5">
        <v>101407</v>
      </c>
      <c r="J46" s="10"/>
      <c r="L46" s="5" t="str">
        <v>ORD1226</v>
      </c>
      <c r="M46" s="5" t="str">
        <v>Phone</v>
      </c>
      <c r="N46" s="5" t="str">
        <v>Electronics</v>
      </c>
      <c r="O46" s="5" t="str">
        <v>North</v>
      </c>
      <c r="P46" s="5" t="str">
        <v>Jun-2025</v>
      </c>
      <c r="Q46" s="5">
        <v>147116</v>
      </c>
      <c r="R46" s="5">
        <v>15</v>
      </c>
      <c r="S46" s="5">
        <v>94549</v>
      </c>
      <c r="V46" s="5" t="str">
        <v>ORD6007</v>
      </c>
      <c r="W46" s="5" t="str">
        <v>Tablet</v>
      </c>
      <c r="X46" s="5" t="str">
        <v>Electronics</v>
      </c>
      <c r="Y46" s="5" t="str">
        <v>West</v>
      </c>
      <c r="Z46" s="5" t="str">
        <v>Apr-2025</v>
      </c>
      <c r="AA46" s="5">
        <v>89333</v>
      </c>
      <c r="AB46" s="5">
        <v>14</v>
      </c>
      <c r="AC46" s="5">
        <v>59706</v>
      </c>
    </row>
    <row r="47" spans="2:29" x14ac:dyDescent="0.3">
      <c r="B47" s="5" t="str">
        <v>ORD1383</v>
      </c>
      <c r="C47" s="5" t="str">
        <v>Headphones</v>
      </c>
      <c r="D47" s="5" t="str">
        <v>Accessories</v>
      </c>
      <c r="E47" s="5" t="str">
        <v>South</v>
      </c>
      <c r="F47" s="5" t="str">
        <v>Feb-2025</v>
      </c>
      <c r="G47" s="5">
        <v>144895</v>
      </c>
      <c r="H47" s="5">
        <v>8</v>
      </c>
      <c r="I47" s="5">
        <v>92216</v>
      </c>
      <c r="J47" s="10"/>
      <c r="L47" s="5" t="str">
        <v>ORD1232</v>
      </c>
      <c r="M47" s="5" t="str">
        <v>Mouse</v>
      </c>
      <c r="N47" s="5" t="str">
        <v>Accessories</v>
      </c>
      <c r="O47" s="5" t="str">
        <v>North</v>
      </c>
      <c r="P47" s="5" t="str">
        <v>Jun-2025</v>
      </c>
      <c r="Q47" s="5">
        <v>81696</v>
      </c>
      <c r="R47" s="5">
        <v>3</v>
      </c>
      <c r="S47" s="5">
        <v>50359</v>
      </c>
      <c r="V47" s="5" t="str">
        <v>ORD6008</v>
      </c>
      <c r="W47" s="5" t="str">
        <v>Headphones</v>
      </c>
      <c r="X47" s="5" t="str">
        <v>Accessories</v>
      </c>
      <c r="Y47" s="5" t="str">
        <v>North</v>
      </c>
      <c r="Z47" s="5" t="str">
        <v>Jun-2025</v>
      </c>
      <c r="AA47" s="5">
        <v>50979</v>
      </c>
      <c r="AB47" s="5">
        <v>2</v>
      </c>
      <c r="AC47" s="5">
        <v>34309</v>
      </c>
    </row>
    <row r="48" spans="2:29" x14ac:dyDescent="0.3">
      <c r="B48" s="5" t="str">
        <v>ORD1754</v>
      </c>
      <c r="C48" s="5" t="str">
        <v>Phone</v>
      </c>
      <c r="D48" s="5" t="str">
        <v>Electronics</v>
      </c>
      <c r="E48" s="5" t="str">
        <v>North</v>
      </c>
      <c r="F48" s="5" t="str">
        <v>Jan-2025</v>
      </c>
      <c r="G48" s="5">
        <v>144736</v>
      </c>
      <c r="H48" s="5">
        <v>10</v>
      </c>
      <c r="I48" s="5">
        <v>104652</v>
      </c>
      <c r="J48" s="10"/>
      <c r="L48" s="5" t="str">
        <v>ORD1234</v>
      </c>
      <c r="M48" s="5" t="str">
        <v>Keyboard</v>
      </c>
      <c r="N48" s="5" t="str">
        <v>Peripherals</v>
      </c>
      <c r="O48" s="5" t="str">
        <v>North</v>
      </c>
      <c r="P48" s="5" t="str">
        <v>Jan-2025</v>
      </c>
      <c r="Q48" s="5">
        <v>90373</v>
      </c>
      <c r="R48" s="5">
        <v>1</v>
      </c>
      <c r="S48" s="5">
        <v>66406</v>
      </c>
      <c r="V48" s="5" t="str">
        <v>ORD6009</v>
      </c>
      <c r="W48" s="5" t="str">
        <v>Keyboard</v>
      </c>
      <c r="X48" s="5" t="str">
        <v>Peripherals</v>
      </c>
      <c r="Y48" s="5" t="str">
        <v>South</v>
      </c>
      <c r="Z48" s="5" t="str">
        <v>Apr-2025</v>
      </c>
      <c r="AA48" s="5">
        <v>146559</v>
      </c>
      <c r="AB48" s="5">
        <v>13</v>
      </c>
      <c r="AC48" s="5">
        <v>106549</v>
      </c>
    </row>
    <row r="49" spans="2:29" x14ac:dyDescent="0.3">
      <c r="B49" s="5" t="str">
        <v>ORD1634</v>
      </c>
      <c r="C49" s="5" t="str">
        <v>Keyboard</v>
      </c>
      <c r="D49" s="5" t="str">
        <v>Peripherals</v>
      </c>
      <c r="E49" s="5" t="str">
        <v>West</v>
      </c>
      <c r="F49" s="5" t="str">
        <v>Apr-2025</v>
      </c>
      <c r="G49" s="5">
        <v>144507</v>
      </c>
      <c r="H49" s="5">
        <v>6</v>
      </c>
      <c r="I49" s="5">
        <v>97505</v>
      </c>
      <c r="J49" s="10"/>
      <c r="L49" s="5" t="str">
        <v>ORD1237</v>
      </c>
      <c r="M49" s="5" t="str">
        <v>Printer</v>
      </c>
      <c r="N49" s="5" t="str">
        <v>Peripherals</v>
      </c>
      <c r="O49" s="5" t="str">
        <v>North</v>
      </c>
      <c r="P49" s="5" t="str">
        <v>Feb-2025</v>
      </c>
      <c r="Q49" s="5">
        <v>107784</v>
      </c>
      <c r="R49" s="5">
        <v>12</v>
      </c>
      <c r="S49" s="5">
        <v>69320</v>
      </c>
      <c r="V49" s="5" t="str">
        <v>ORD6010</v>
      </c>
      <c r="W49" s="5" t="str">
        <v>Tablet</v>
      </c>
      <c r="X49" s="5" t="str">
        <v>Electronics</v>
      </c>
      <c r="Y49" s="5" t="str">
        <v>North</v>
      </c>
      <c r="Z49" s="5" t="str">
        <v>Apr-2025</v>
      </c>
      <c r="AA49" s="5">
        <v>33920</v>
      </c>
      <c r="AB49" s="5">
        <v>12</v>
      </c>
      <c r="AC49" s="5">
        <v>24075</v>
      </c>
    </row>
    <row r="50" spans="2:29" x14ac:dyDescent="0.3">
      <c r="B50" s="5" t="str">
        <v>ORD1567</v>
      </c>
      <c r="C50" s="5" t="str">
        <v>Headphones</v>
      </c>
      <c r="D50" s="5" t="str">
        <v>Accessories</v>
      </c>
      <c r="E50" s="5" t="str">
        <v>West</v>
      </c>
      <c r="F50" s="5" t="str">
        <v>Nov-2025</v>
      </c>
      <c r="G50" s="5">
        <v>144490</v>
      </c>
      <c r="H50" s="5">
        <v>6</v>
      </c>
      <c r="I50" s="5">
        <v>88183</v>
      </c>
      <c r="J50" s="10"/>
      <c r="L50" s="5" t="str">
        <v>ORD1244</v>
      </c>
      <c r="M50" s="5" t="str">
        <v>Tablet</v>
      </c>
      <c r="N50" s="5" t="str">
        <v>Electronics</v>
      </c>
      <c r="O50" s="5" t="str">
        <v>North</v>
      </c>
      <c r="P50" s="5" t="str">
        <v>Aug-2025</v>
      </c>
      <c r="Q50" s="5">
        <v>83427</v>
      </c>
      <c r="R50" s="5">
        <v>4</v>
      </c>
      <c r="S50" s="5">
        <v>51447</v>
      </c>
      <c r="V50" s="5" t="str">
        <v>ORD6011</v>
      </c>
      <c r="W50" s="5" t="str">
        <v>Keyboard</v>
      </c>
      <c r="X50" s="5" t="str">
        <v>Peripherals</v>
      </c>
      <c r="Y50" s="5" t="str">
        <v>East</v>
      </c>
      <c r="Z50" s="5" t="str">
        <v>Apr-2025</v>
      </c>
      <c r="AA50" s="5">
        <v>96442</v>
      </c>
      <c r="AB50" s="5">
        <v>3</v>
      </c>
      <c r="AC50" s="5">
        <v>64406</v>
      </c>
    </row>
    <row r="51" spans="2:29" x14ac:dyDescent="0.3">
      <c r="B51" s="5" t="str">
        <v>ORD1014</v>
      </c>
      <c r="C51" s="5" t="str">
        <v>Phone</v>
      </c>
      <c r="D51" s="5" t="str">
        <v>Electronics</v>
      </c>
      <c r="E51" s="5" t="str">
        <v>South</v>
      </c>
      <c r="F51" s="5" t="str">
        <v>May-2025</v>
      </c>
      <c r="G51" s="5">
        <v>144244</v>
      </c>
      <c r="H51" s="5">
        <v>2</v>
      </c>
      <c r="I51" s="5">
        <v>86917</v>
      </c>
      <c r="J51" s="10"/>
      <c r="L51" s="5" t="str">
        <v>ORD1248</v>
      </c>
      <c r="M51" s="5" t="str">
        <v>Tablet</v>
      </c>
      <c r="N51" s="5" t="str">
        <v>Electronics</v>
      </c>
      <c r="O51" s="5" t="str">
        <v>North</v>
      </c>
      <c r="P51" s="5" t="str">
        <v>Jan-2025</v>
      </c>
      <c r="Q51" s="5">
        <v>145515</v>
      </c>
      <c r="R51" s="5">
        <v>11</v>
      </c>
      <c r="S51" s="5">
        <v>93033</v>
      </c>
      <c r="V51" s="5" t="str">
        <v>ORD6012</v>
      </c>
      <c r="W51" s="5" t="str">
        <v>Laptop</v>
      </c>
      <c r="X51" s="5" t="str">
        <v>Electronics</v>
      </c>
      <c r="Y51" s="5" t="str">
        <v>South</v>
      </c>
      <c r="Z51" s="5" t="str">
        <v>Apr-2025</v>
      </c>
      <c r="AA51" s="5">
        <v>29101</v>
      </c>
      <c r="AB51" s="5">
        <v>10</v>
      </c>
      <c r="AC51" s="5">
        <v>19313</v>
      </c>
    </row>
    <row r="52" spans="2:29" x14ac:dyDescent="0.3">
      <c r="B52" s="5" t="str">
        <v>ORD1388</v>
      </c>
      <c r="C52" s="5" t="str">
        <v>Printer</v>
      </c>
      <c r="D52" s="5" t="str">
        <v>Peripherals</v>
      </c>
      <c r="E52" s="5" t="str">
        <v>South</v>
      </c>
      <c r="F52" s="5" t="str">
        <v>Sep-2025</v>
      </c>
      <c r="G52" s="5">
        <v>144218</v>
      </c>
      <c r="H52" s="5">
        <v>4</v>
      </c>
      <c r="I52" s="5">
        <v>94434</v>
      </c>
      <c r="J52" s="10"/>
      <c r="L52" s="5" t="str">
        <v>ORD1257</v>
      </c>
      <c r="M52" s="5" t="str">
        <v>Headphones</v>
      </c>
      <c r="N52" s="5" t="str">
        <v>Accessories</v>
      </c>
      <c r="O52" s="5" t="str">
        <v>North</v>
      </c>
      <c r="P52" s="5" t="str">
        <v>Jul-2025</v>
      </c>
      <c r="Q52" s="5">
        <v>128041</v>
      </c>
      <c r="R52" s="5">
        <v>12</v>
      </c>
      <c r="S52" s="5">
        <v>78769</v>
      </c>
      <c r="V52" s="5" t="str">
        <v>ORD6013</v>
      </c>
      <c r="W52" s="5" t="str">
        <v>Monitor</v>
      </c>
      <c r="X52" s="5" t="str">
        <v>Peripherals</v>
      </c>
      <c r="Y52" s="5" t="str">
        <v>North</v>
      </c>
      <c r="Z52" s="5" t="str">
        <v>Apr-2025</v>
      </c>
      <c r="AA52" s="5">
        <v>136977</v>
      </c>
      <c r="AB52" s="5">
        <v>13</v>
      </c>
      <c r="AC52" s="5">
        <v>90520</v>
      </c>
    </row>
    <row r="53" spans="2:29" x14ac:dyDescent="0.3">
      <c r="B53" s="5" t="str">
        <v>ORD1418</v>
      </c>
      <c r="C53" s="5" t="str">
        <v>Monitor</v>
      </c>
      <c r="D53" s="5" t="str">
        <v>Peripherals</v>
      </c>
      <c r="E53" s="5" t="str">
        <v>East</v>
      </c>
      <c r="F53" s="5" t="str">
        <v>Dec-2025</v>
      </c>
      <c r="G53" s="5">
        <v>144182</v>
      </c>
      <c r="H53" s="5">
        <v>7</v>
      </c>
      <c r="I53" s="5">
        <v>87521</v>
      </c>
      <c r="J53" s="10"/>
      <c r="L53" s="5" t="str">
        <v>ORD1258</v>
      </c>
      <c r="M53" s="5" t="str">
        <v>Monitor</v>
      </c>
      <c r="N53" s="5" t="str">
        <v>Peripherals</v>
      </c>
      <c r="O53" s="5" t="str">
        <v>North</v>
      </c>
      <c r="P53" s="5" t="str">
        <v>Nov-2025</v>
      </c>
      <c r="Q53" s="5">
        <v>137299</v>
      </c>
      <c r="R53" s="5">
        <v>12</v>
      </c>
      <c r="S53" s="5">
        <v>99200</v>
      </c>
      <c r="V53" s="5" t="str">
        <v>ORD6014</v>
      </c>
      <c r="W53" s="5" t="str">
        <v>Mouse</v>
      </c>
      <c r="X53" s="5" t="str">
        <v>Accessories</v>
      </c>
      <c r="Y53" s="5" t="str">
        <v>North</v>
      </c>
      <c r="Z53" s="5" t="str">
        <v>Apr-2025</v>
      </c>
      <c r="AA53" s="5">
        <v>19826</v>
      </c>
      <c r="AB53" s="5">
        <v>4</v>
      </c>
      <c r="AC53" s="5">
        <v>12464</v>
      </c>
    </row>
    <row r="54" spans="2:29" x14ac:dyDescent="0.3">
      <c r="B54" s="5" t="str">
        <v>ORD1937</v>
      </c>
      <c r="C54" s="5" t="str">
        <v>Laptop</v>
      </c>
      <c r="D54" s="5" t="str">
        <v>Electronics</v>
      </c>
      <c r="E54" s="5" t="str">
        <v>North</v>
      </c>
      <c r="F54" s="5" t="str">
        <v>Dec-2025</v>
      </c>
      <c r="G54" s="5">
        <v>143954</v>
      </c>
      <c r="H54" s="5">
        <v>13</v>
      </c>
      <c r="I54" s="5">
        <v>93742</v>
      </c>
      <c r="J54" s="10"/>
      <c r="L54" s="5" t="str">
        <v>ORD1279</v>
      </c>
      <c r="M54" s="5" t="str">
        <v>Phone</v>
      </c>
      <c r="N54" s="5" t="str">
        <v>Electronics</v>
      </c>
      <c r="O54" s="5" t="str">
        <v>North</v>
      </c>
      <c r="P54" s="5" t="str">
        <v>Jan-2025</v>
      </c>
      <c r="Q54" s="5">
        <v>140192</v>
      </c>
      <c r="R54" s="5">
        <v>12</v>
      </c>
      <c r="S54" s="5">
        <v>100751</v>
      </c>
      <c r="V54" s="5" t="str">
        <v>ORD6015</v>
      </c>
      <c r="W54" s="5" t="str">
        <v>Mouse</v>
      </c>
      <c r="X54" s="5" t="str">
        <v>Accessories</v>
      </c>
      <c r="Y54" s="5" t="str">
        <v>West</v>
      </c>
      <c r="Z54" s="5" t="str">
        <v>Jun-2025</v>
      </c>
      <c r="AA54" s="5">
        <v>120239</v>
      </c>
      <c r="AB54" s="5">
        <v>7</v>
      </c>
      <c r="AC54" s="5">
        <v>75649</v>
      </c>
    </row>
    <row r="55" spans="2:29" x14ac:dyDescent="0.3">
      <c r="B55" s="5" t="str">
        <v>ORD1465</v>
      </c>
      <c r="C55" s="5" t="str">
        <v>Keyboard</v>
      </c>
      <c r="D55" s="5" t="str">
        <v>Peripherals</v>
      </c>
      <c r="E55" s="5" t="str">
        <v>South</v>
      </c>
      <c r="F55" s="5" t="str">
        <v>Sep-2025</v>
      </c>
      <c r="G55" s="5">
        <v>143941</v>
      </c>
      <c r="H55" s="5">
        <v>7</v>
      </c>
      <c r="I55" s="5">
        <v>101676</v>
      </c>
      <c r="J55" s="10"/>
      <c r="L55" s="5" t="str">
        <v>ORD1284</v>
      </c>
      <c r="M55" s="5" t="str">
        <v>Laptop</v>
      </c>
      <c r="N55" s="5" t="str">
        <v>Electronics</v>
      </c>
      <c r="O55" s="5" t="str">
        <v>North</v>
      </c>
      <c r="P55" s="5" t="str">
        <v>Jun-2025</v>
      </c>
      <c r="Q55" s="5">
        <v>94795</v>
      </c>
      <c r="R55" s="5">
        <v>12</v>
      </c>
      <c r="S55" s="5">
        <v>60490</v>
      </c>
      <c r="V55" s="5"/>
      <c r="W55" s="5"/>
      <c r="X55" s="5"/>
      <c r="Y55" s="5"/>
      <c r="Z55" s="5"/>
      <c r="AA55" s="5"/>
      <c r="AB55" s="5"/>
      <c r="AC55" s="5"/>
    </row>
    <row r="56" spans="2:29" x14ac:dyDescent="0.3">
      <c r="B56" s="5" t="str">
        <v>ORD1518</v>
      </c>
      <c r="C56" s="5" t="str">
        <v>Mouse</v>
      </c>
      <c r="D56" s="5" t="str">
        <v>Accessories</v>
      </c>
      <c r="E56" s="5" t="str">
        <v>West</v>
      </c>
      <c r="F56" s="5" t="str">
        <v>Jan-2025</v>
      </c>
      <c r="G56" s="5">
        <v>143862</v>
      </c>
      <c r="H56" s="5">
        <v>11</v>
      </c>
      <c r="I56" s="5">
        <v>105489</v>
      </c>
      <c r="J56" s="10"/>
      <c r="L56" s="5" t="str">
        <v>ORD1289</v>
      </c>
      <c r="M56" s="5" t="str">
        <v>Tablet</v>
      </c>
      <c r="N56" s="5" t="str">
        <v>Electronics</v>
      </c>
      <c r="O56" s="5" t="str">
        <v>North</v>
      </c>
      <c r="P56" s="5" t="str">
        <v>Nov-2025</v>
      </c>
      <c r="Q56" s="5">
        <v>112129</v>
      </c>
      <c r="R56" s="5">
        <v>14</v>
      </c>
      <c r="S56" s="5">
        <v>68743</v>
      </c>
    </row>
    <row r="57" spans="2:29" x14ac:dyDescent="0.3">
      <c r="B57" s="5" t="str">
        <v>ORD1274</v>
      </c>
      <c r="C57" s="5" t="str">
        <v>Monitor</v>
      </c>
      <c r="D57" s="5" t="str">
        <v>Peripherals</v>
      </c>
      <c r="E57" s="5" t="str">
        <v>South</v>
      </c>
      <c r="F57" s="5" t="str">
        <v>Jun-2025</v>
      </c>
      <c r="G57" s="5">
        <v>143713</v>
      </c>
      <c r="H57" s="5">
        <v>5</v>
      </c>
      <c r="I57" s="5">
        <v>86382</v>
      </c>
      <c r="J57" s="10"/>
      <c r="L57" s="5" t="str">
        <v>ORD1299</v>
      </c>
      <c r="M57" s="5" t="str">
        <v>Monitor</v>
      </c>
      <c r="N57" s="5" t="str">
        <v>Peripherals</v>
      </c>
      <c r="O57" s="5" t="str">
        <v>North</v>
      </c>
      <c r="P57" s="5" t="str">
        <v>Aug-2025</v>
      </c>
      <c r="Q57" s="5">
        <v>138930</v>
      </c>
      <c r="R57" s="5">
        <v>14</v>
      </c>
      <c r="S57" s="5">
        <v>87192</v>
      </c>
    </row>
    <row r="58" spans="2:29" x14ac:dyDescent="0.3">
      <c r="B58" s="5" t="str">
        <v>ORD1138</v>
      </c>
      <c r="C58" s="5" t="str">
        <v>Printer</v>
      </c>
      <c r="D58" s="5" t="str">
        <v>Peripherals</v>
      </c>
      <c r="E58" s="5" t="str">
        <v>West</v>
      </c>
      <c r="F58" s="5" t="str">
        <v>Aug-2025</v>
      </c>
      <c r="G58" s="5">
        <v>143636</v>
      </c>
      <c r="H58" s="5">
        <v>8</v>
      </c>
      <c r="I58" s="5">
        <v>100779</v>
      </c>
      <c r="J58" s="10"/>
      <c r="L58" s="5" t="str">
        <v>ORD1303</v>
      </c>
      <c r="M58" s="5" t="str">
        <v>Headphones</v>
      </c>
      <c r="N58" s="5" t="str">
        <v>Accessories</v>
      </c>
      <c r="O58" s="5" t="str">
        <v>North</v>
      </c>
      <c r="P58" s="5" t="str">
        <v>Jul-2025</v>
      </c>
      <c r="Q58" s="5">
        <v>118676</v>
      </c>
      <c r="R58" s="5">
        <v>13</v>
      </c>
      <c r="S58" s="5">
        <v>75920</v>
      </c>
    </row>
    <row r="59" spans="2:29" x14ac:dyDescent="0.3">
      <c r="B59" s="5" t="str">
        <v>ORD1531</v>
      </c>
      <c r="C59" s="5" t="str">
        <v>Tablet</v>
      </c>
      <c r="D59" s="5" t="str">
        <v>Electronics</v>
      </c>
      <c r="E59" s="5" t="str">
        <v>East</v>
      </c>
      <c r="F59" s="5" t="str">
        <v>May-2025</v>
      </c>
      <c r="G59" s="5">
        <v>143238</v>
      </c>
      <c r="H59" s="5">
        <v>2</v>
      </c>
      <c r="I59" s="5">
        <v>88374</v>
      </c>
      <c r="J59" s="10"/>
      <c r="L59" s="5" t="str">
        <v>ORD1320</v>
      </c>
      <c r="M59" s="5" t="str">
        <v>Phone</v>
      </c>
      <c r="N59" s="5" t="str">
        <v>Electronics</v>
      </c>
      <c r="O59" s="5" t="str">
        <v>North</v>
      </c>
      <c r="P59" s="5" t="str">
        <v>Mar-2025</v>
      </c>
      <c r="Q59" s="5">
        <v>108556</v>
      </c>
      <c r="R59" s="5">
        <v>15</v>
      </c>
      <c r="S59" s="5">
        <v>75554</v>
      </c>
    </row>
    <row r="60" spans="2:29" x14ac:dyDescent="0.3">
      <c r="B60" s="5" t="str">
        <v>ORD1085</v>
      </c>
      <c r="C60" s="5" t="str">
        <v>Keyboard</v>
      </c>
      <c r="D60" s="5" t="str">
        <v>Peripherals</v>
      </c>
      <c r="E60" s="5" t="str">
        <v>South</v>
      </c>
      <c r="F60" s="5" t="str">
        <v>Apr-2025</v>
      </c>
      <c r="G60" s="5">
        <v>143181</v>
      </c>
      <c r="H60" s="5">
        <v>3</v>
      </c>
      <c r="I60" s="5">
        <v>102530</v>
      </c>
      <c r="J60" s="10"/>
      <c r="L60" s="5" t="str">
        <v>ORD1322</v>
      </c>
      <c r="M60" s="5" t="str">
        <v>Laptop</v>
      </c>
      <c r="N60" s="5" t="str">
        <v>Electronics</v>
      </c>
      <c r="O60" s="5" t="str">
        <v>North</v>
      </c>
      <c r="P60" s="5" t="str">
        <v>Oct-2025</v>
      </c>
      <c r="Q60" s="5">
        <v>140684</v>
      </c>
      <c r="R60" s="5">
        <v>1</v>
      </c>
      <c r="S60" s="5">
        <v>95154</v>
      </c>
    </row>
    <row r="61" spans="2:29" x14ac:dyDescent="0.3">
      <c r="B61" s="5" t="str">
        <v>ORD1939</v>
      </c>
      <c r="C61" s="5" t="str">
        <v>Keyboard</v>
      </c>
      <c r="D61" s="5" t="str">
        <v>Peripherals</v>
      </c>
      <c r="E61" s="5" t="str">
        <v>West</v>
      </c>
      <c r="F61" s="5" t="str">
        <v>Jun-2025</v>
      </c>
      <c r="G61" s="5">
        <v>142975</v>
      </c>
      <c r="H61" s="5">
        <v>14</v>
      </c>
      <c r="I61" s="5">
        <v>101587</v>
      </c>
      <c r="J61" s="10"/>
      <c r="L61" s="5" t="str">
        <v>ORD1324</v>
      </c>
      <c r="M61" s="5" t="str">
        <v>Phone</v>
      </c>
      <c r="N61" s="5" t="str">
        <v>Electronics</v>
      </c>
      <c r="O61" s="5" t="str">
        <v>North</v>
      </c>
      <c r="P61" s="5" t="str">
        <v>Jun-2025</v>
      </c>
      <c r="Q61" s="5">
        <v>74435</v>
      </c>
      <c r="R61" s="5">
        <v>7</v>
      </c>
      <c r="S61" s="5">
        <v>45392</v>
      </c>
    </row>
    <row r="62" spans="2:29" x14ac:dyDescent="0.3">
      <c r="B62" s="5" t="str">
        <v>ORD1125</v>
      </c>
      <c r="C62" s="5" t="str">
        <v>Mouse</v>
      </c>
      <c r="D62" s="5" t="str">
        <v>Accessories</v>
      </c>
      <c r="E62" s="5" t="str">
        <v>East</v>
      </c>
      <c r="F62" s="5" t="str">
        <v>Feb-2025</v>
      </c>
      <c r="G62" s="5">
        <v>142854</v>
      </c>
      <c r="H62" s="5">
        <v>15</v>
      </c>
      <c r="I62" s="5">
        <v>86430</v>
      </c>
      <c r="J62" s="10"/>
      <c r="L62" s="5" t="str">
        <v>ORD1325</v>
      </c>
      <c r="M62" s="5" t="str">
        <v>Headphones</v>
      </c>
      <c r="N62" s="5" t="str">
        <v>Accessories</v>
      </c>
      <c r="O62" s="5" t="str">
        <v>North</v>
      </c>
      <c r="P62" s="5" t="str">
        <v>May-2025</v>
      </c>
      <c r="Q62" s="5">
        <v>125335</v>
      </c>
      <c r="R62" s="5">
        <v>9</v>
      </c>
      <c r="S62" s="5">
        <v>86588</v>
      </c>
    </row>
    <row r="63" spans="2:29" x14ac:dyDescent="0.3">
      <c r="B63" s="5" t="str">
        <v>ORD1526</v>
      </c>
      <c r="C63" s="5" t="str">
        <v>Laptop</v>
      </c>
      <c r="D63" s="5" t="str">
        <v>Electronics</v>
      </c>
      <c r="E63" s="5" t="str">
        <v>West</v>
      </c>
      <c r="F63" s="5" t="str">
        <v>May-2025</v>
      </c>
      <c r="G63" s="5">
        <v>142543</v>
      </c>
      <c r="H63" s="5">
        <v>15</v>
      </c>
      <c r="I63" s="5">
        <v>97719</v>
      </c>
      <c r="J63" s="10"/>
      <c r="L63" s="5" t="str">
        <v>ORD1326</v>
      </c>
      <c r="M63" s="5" t="str">
        <v>Headphones</v>
      </c>
      <c r="N63" s="5" t="str">
        <v>Accessories</v>
      </c>
      <c r="O63" s="5" t="str">
        <v>North</v>
      </c>
      <c r="P63" s="5" t="str">
        <v>Jul-2025</v>
      </c>
      <c r="Q63" s="5">
        <v>94916</v>
      </c>
      <c r="R63" s="5">
        <v>1</v>
      </c>
      <c r="S63" s="5">
        <v>65600</v>
      </c>
    </row>
    <row r="64" spans="2:29" x14ac:dyDescent="0.3">
      <c r="B64" s="5" t="str">
        <v>ORD1141</v>
      </c>
      <c r="C64" s="5" t="str">
        <v>Tablet</v>
      </c>
      <c r="D64" s="5" t="str">
        <v>Electronics</v>
      </c>
      <c r="E64" s="5" t="str">
        <v>West</v>
      </c>
      <c r="F64" s="5" t="str">
        <v>Oct-2025</v>
      </c>
      <c r="G64" s="5">
        <v>142481</v>
      </c>
      <c r="H64" s="5">
        <v>6</v>
      </c>
      <c r="I64" s="5">
        <v>105131</v>
      </c>
      <c r="J64" s="10"/>
      <c r="L64" s="5" t="str">
        <v>ORD1331</v>
      </c>
      <c r="M64" s="5" t="str">
        <v>Printer</v>
      </c>
      <c r="N64" s="5" t="str">
        <v>Peripherals</v>
      </c>
      <c r="O64" s="5" t="str">
        <v>North</v>
      </c>
      <c r="P64" s="5" t="str">
        <v>Jan-2025</v>
      </c>
      <c r="Q64" s="5">
        <v>69317</v>
      </c>
      <c r="R64" s="5">
        <v>3</v>
      </c>
      <c r="S64" s="5">
        <v>41802</v>
      </c>
    </row>
    <row r="65" spans="2:19" x14ac:dyDescent="0.3">
      <c r="B65" s="5" t="str">
        <v>ORD1028</v>
      </c>
      <c r="C65" s="5" t="str">
        <v>Monitor</v>
      </c>
      <c r="D65" s="5" t="str">
        <v>Peripherals</v>
      </c>
      <c r="E65" s="5" t="str">
        <v>West</v>
      </c>
      <c r="F65" s="5" t="str">
        <v>Dec-2025</v>
      </c>
      <c r="G65" s="5">
        <v>142472</v>
      </c>
      <c r="H65" s="5">
        <v>7</v>
      </c>
      <c r="I65" s="5">
        <v>96261</v>
      </c>
      <c r="J65" s="10"/>
      <c r="L65" s="5" t="str">
        <v>ORD1334</v>
      </c>
      <c r="M65" s="5" t="str">
        <v>Laptop</v>
      </c>
      <c r="N65" s="5" t="str">
        <v>Electronics</v>
      </c>
      <c r="O65" s="5" t="str">
        <v>North</v>
      </c>
      <c r="P65" s="5" t="str">
        <v>Mar-2025</v>
      </c>
      <c r="Q65" s="5">
        <v>111242</v>
      </c>
      <c r="R65" s="5">
        <v>14</v>
      </c>
      <c r="S65" s="5">
        <v>80874</v>
      </c>
    </row>
    <row r="66" spans="2:19" x14ac:dyDescent="0.3">
      <c r="B66" s="5" t="str">
        <v>ORD1208</v>
      </c>
      <c r="C66" s="5" t="str">
        <v>Headphones</v>
      </c>
      <c r="D66" s="5" t="str">
        <v>Accessories</v>
      </c>
      <c r="E66" s="5" t="str">
        <v>South</v>
      </c>
      <c r="F66" s="5" t="str">
        <v>Sep-2025</v>
      </c>
      <c r="G66" s="5">
        <v>142400</v>
      </c>
      <c r="H66" s="5">
        <v>1</v>
      </c>
      <c r="I66" s="5">
        <v>93110</v>
      </c>
      <c r="J66" s="10"/>
      <c r="L66" s="5" t="str">
        <v>ORD1337</v>
      </c>
      <c r="M66" s="5" t="str">
        <v>Headphones</v>
      </c>
      <c r="N66" s="5" t="str">
        <v>Accessories</v>
      </c>
      <c r="O66" s="5" t="str">
        <v>North</v>
      </c>
      <c r="P66" s="5" t="str">
        <v>Aug-2025</v>
      </c>
      <c r="Q66" s="5">
        <v>145655</v>
      </c>
      <c r="R66" s="5">
        <v>14</v>
      </c>
      <c r="S66" s="5">
        <v>106108</v>
      </c>
    </row>
    <row r="67" spans="2:19" x14ac:dyDescent="0.3">
      <c r="B67" s="5" t="str">
        <v>ORD1143</v>
      </c>
      <c r="C67" s="5" t="str">
        <v>Headphones</v>
      </c>
      <c r="D67" s="5" t="str">
        <v>Accessories</v>
      </c>
      <c r="E67" s="5" t="str">
        <v>West</v>
      </c>
      <c r="F67" s="5" t="str">
        <v>Oct-2025</v>
      </c>
      <c r="G67" s="5">
        <v>142358</v>
      </c>
      <c r="H67" s="5">
        <v>10</v>
      </c>
      <c r="I67" s="5">
        <v>87285</v>
      </c>
      <c r="J67" s="10"/>
      <c r="L67" s="5" t="str">
        <v>ORD1345</v>
      </c>
      <c r="M67" s="5" t="str">
        <v>Headphones</v>
      </c>
      <c r="N67" s="5" t="str">
        <v>Accessories</v>
      </c>
      <c r="O67" s="5" t="str">
        <v>North</v>
      </c>
      <c r="P67" s="5" t="str">
        <v>Aug-2025</v>
      </c>
      <c r="Q67" s="5">
        <v>75382</v>
      </c>
      <c r="R67" s="5">
        <v>11</v>
      </c>
      <c r="S67" s="5">
        <v>51484</v>
      </c>
    </row>
    <row r="68" spans="2:19" x14ac:dyDescent="0.3">
      <c r="B68" s="5" t="str">
        <v>ORD1229</v>
      </c>
      <c r="C68" s="5" t="str">
        <v>Tablet</v>
      </c>
      <c r="D68" s="5" t="str">
        <v>Electronics</v>
      </c>
      <c r="E68" s="5" t="str">
        <v>West</v>
      </c>
      <c r="F68" s="5" t="str">
        <v>Dec-2025</v>
      </c>
      <c r="G68" s="5">
        <v>142286</v>
      </c>
      <c r="H68" s="5">
        <v>3</v>
      </c>
      <c r="I68" s="5">
        <v>100059</v>
      </c>
      <c r="J68" s="10"/>
      <c r="L68" s="5" t="str">
        <v>ORD1348</v>
      </c>
      <c r="M68" s="5" t="str">
        <v>Monitor</v>
      </c>
      <c r="N68" s="5" t="str">
        <v>Peripherals</v>
      </c>
      <c r="O68" s="5" t="str">
        <v>North</v>
      </c>
      <c r="P68" s="5" t="str">
        <v>Jul-2025</v>
      </c>
      <c r="Q68" s="5">
        <v>66673</v>
      </c>
      <c r="R68" s="5">
        <v>11</v>
      </c>
      <c r="S68" s="5">
        <v>42362</v>
      </c>
    </row>
    <row r="69" spans="2:19" x14ac:dyDescent="0.3">
      <c r="B69" s="5" t="str">
        <v>ORD1321</v>
      </c>
      <c r="C69" s="5" t="str">
        <v>Printer</v>
      </c>
      <c r="D69" s="5" t="str">
        <v>Peripherals</v>
      </c>
      <c r="E69" s="5" t="str">
        <v>East</v>
      </c>
      <c r="F69" s="5" t="str">
        <v>Oct-2025</v>
      </c>
      <c r="G69" s="5">
        <v>142121</v>
      </c>
      <c r="H69" s="5">
        <v>10</v>
      </c>
      <c r="I69" s="5">
        <v>102802</v>
      </c>
      <c r="J69" s="10"/>
      <c r="L69" s="5" t="str">
        <v>ORD1349</v>
      </c>
      <c r="M69" s="5" t="str">
        <v>Laptop</v>
      </c>
      <c r="N69" s="5" t="str">
        <v>Electronics</v>
      </c>
      <c r="O69" s="5" t="str">
        <v>North</v>
      </c>
      <c r="P69" s="5" t="str">
        <v>May-2025</v>
      </c>
      <c r="Q69" s="5">
        <v>124922</v>
      </c>
      <c r="R69" s="5">
        <v>6</v>
      </c>
      <c r="S69" s="5">
        <v>78456</v>
      </c>
    </row>
    <row r="70" spans="2:19" x14ac:dyDescent="0.3">
      <c r="B70" s="5" t="str">
        <v>ORD1086</v>
      </c>
      <c r="C70" s="5" t="str">
        <v>Phone</v>
      </c>
      <c r="D70" s="5" t="str">
        <v>Electronics</v>
      </c>
      <c r="E70" s="5" t="str">
        <v>East</v>
      </c>
      <c r="F70" s="5" t="str">
        <v>Oct-2025</v>
      </c>
      <c r="G70" s="5">
        <v>141835</v>
      </c>
      <c r="H70" s="5">
        <v>4</v>
      </c>
      <c r="I70" s="5">
        <v>101492</v>
      </c>
      <c r="J70" s="10"/>
      <c r="L70" s="5" t="str">
        <v>ORD1356</v>
      </c>
      <c r="M70" s="5" t="str">
        <v>Laptop</v>
      </c>
      <c r="N70" s="5" t="str">
        <v>Electronics</v>
      </c>
      <c r="O70" s="5" t="str">
        <v>North</v>
      </c>
      <c r="P70" s="5" t="str">
        <v>Sep-2025</v>
      </c>
      <c r="Q70" s="5">
        <v>116462</v>
      </c>
      <c r="R70" s="5">
        <v>6</v>
      </c>
      <c r="S70" s="5">
        <v>78651</v>
      </c>
    </row>
    <row r="71" spans="2:19" x14ac:dyDescent="0.3">
      <c r="B71" s="5" t="str">
        <v>ORD1669</v>
      </c>
      <c r="C71" s="5" t="str">
        <v>Keyboard</v>
      </c>
      <c r="D71" s="5" t="str">
        <v>Peripherals</v>
      </c>
      <c r="E71" s="5" t="str">
        <v>West</v>
      </c>
      <c r="F71" s="5" t="str">
        <v>Apr-2025</v>
      </c>
      <c r="G71" s="5">
        <v>141545</v>
      </c>
      <c r="H71" s="5">
        <v>2</v>
      </c>
      <c r="I71" s="5">
        <v>87633</v>
      </c>
      <c r="J71" s="10"/>
      <c r="L71" s="5" t="str">
        <v>ORD1360</v>
      </c>
      <c r="M71" s="5" t="str">
        <v>Laptop</v>
      </c>
      <c r="N71" s="5" t="str">
        <v>Electronics</v>
      </c>
      <c r="O71" s="5" t="str">
        <v>North</v>
      </c>
      <c r="P71" s="5" t="str">
        <v>Nov-2025</v>
      </c>
      <c r="Q71" s="5">
        <v>133891</v>
      </c>
      <c r="R71" s="5">
        <v>13</v>
      </c>
      <c r="S71" s="5">
        <v>99552</v>
      </c>
    </row>
    <row r="72" spans="2:19" x14ac:dyDescent="0.3">
      <c r="B72" s="5" t="str">
        <v>ORD1588</v>
      </c>
      <c r="C72" s="5" t="str">
        <v>Tablet</v>
      </c>
      <c r="D72" s="5" t="str">
        <v>Electronics</v>
      </c>
      <c r="E72" s="5" t="str">
        <v>West</v>
      </c>
      <c r="F72" s="5" t="str">
        <v>Jan-2025</v>
      </c>
      <c r="G72" s="5">
        <v>141323</v>
      </c>
      <c r="H72" s="5">
        <v>11</v>
      </c>
      <c r="I72" s="5">
        <v>87889</v>
      </c>
      <c r="J72" s="10"/>
      <c r="L72" s="5" t="str">
        <v>ORD1364</v>
      </c>
      <c r="M72" s="5" t="str">
        <v>Printer</v>
      </c>
      <c r="N72" s="5" t="str">
        <v>Peripherals</v>
      </c>
      <c r="O72" s="5" t="str">
        <v>North</v>
      </c>
      <c r="P72" s="5" t="str">
        <v>Apr-2025</v>
      </c>
      <c r="Q72" s="5">
        <v>103002</v>
      </c>
      <c r="R72" s="5">
        <v>6</v>
      </c>
      <c r="S72" s="5">
        <v>66746</v>
      </c>
    </row>
    <row r="73" spans="2:19" x14ac:dyDescent="0.3">
      <c r="B73" s="5" t="str">
        <v>ORD1529</v>
      </c>
      <c r="C73" s="5" t="str">
        <v>Printer</v>
      </c>
      <c r="D73" s="5" t="str">
        <v>Peripherals</v>
      </c>
      <c r="E73" s="5" t="str">
        <v>South</v>
      </c>
      <c r="F73" s="5" t="str">
        <v>Dec-2025</v>
      </c>
      <c r="G73" s="5">
        <v>140997</v>
      </c>
      <c r="H73" s="5">
        <v>7</v>
      </c>
      <c r="I73" s="5">
        <v>94992</v>
      </c>
      <c r="J73" s="10"/>
      <c r="L73" s="5" t="str">
        <v>ORD1368</v>
      </c>
      <c r="M73" s="5" t="str">
        <v>Keyboard</v>
      </c>
      <c r="N73" s="5" t="str">
        <v>Peripherals</v>
      </c>
      <c r="O73" s="5" t="str">
        <v>North</v>
      </c>
      <c r="P73" s="5" t="str">
        <v>Aug-2025</v>
      </c>
      <c r="Q73" s="5">
        <v>50373</v>
      </c>
      <c r="R73" s="5">
        <v>2</v>
      </c>
      <c r="S73" s="5">
        <v>34524</v>
      </c>
    </row>
    <row r="74" spans="2:19" x14ac:dyDescent="0.3">
      <c r="B74" s="5" t="str">
        <v>ORD1200</v>
      </c>
      <c r="C74" s="5" t="str">
        <v>Printer</v>
      </c>
      <c r="D74" s="5" t="str">
        <v>Peripherals</v>
      </c>
      <c r="E74" s="5" t="str">
        <v>West</v>
      </c>
      <c r="F74" s="5" t="str">
        <v>Feb-2025</v>
      </c>
      <c r="G74" s="5">
        <v>140921</v>
      </c>
      <c r="H74" s="5">
        <v>9</v>
      </c>
      <c r="I74" s="5">
        <v>91389</v>
      </c>
      <c r="J74" s="10"/>
      <c r="L74" s="5" t="str">
        <v>ORD1380</v>
      </c>
      <c r="M74" s="5" t="str">
        <v>Tablet</v>
      </c>
      <c r="N74" s="5" t="str">
        <v>Electronics</v>
      </c>
      <c r="O74" s="5" t="str">
        <v>North</v>
      </c>
      <c r="P74" s="5" t="str">
        <v>Feb-2025</v>
      </c>
      <c r="Q74" s="5">
        <v>126821</v>
      </c>
      <c r="R74" s="5">
        <v>2</v>
      </c>
      <c r="S74" s="5">
        <v>87809</v>
      </c>
    </row>
    <row r="75" spans="2:19" x14ac:dyDescent="0.3">
      <c r="B75" s="5" t="str">
        <v>ORD1488</v>
      </c>
      <c r="C75" s="5" t="str">
        <v>Printer</v>
      </c>
      <c r="D75" s="5" t="str">
        <v>Peripherals</v>
      </c>
      <c r="E75" s="5" t="str">
        <v>West</v>
      </c>
      <c r="F75" s="5" t="str">
        <v>Aug-2025</v>
      </c>
      <c r="G75" s="5">
        <v>140771</v>
      </c>
      <c r="H75" s="5">
        <v>12</v>
      </c>
      <c r="I75" s="5">
        <v>92602</v>
      </c>
      <c r="J75" s="10"/>
      <c r="L75" s="5" t="str">
        <v>ORD1387</v>
      </c>
      <c r="M75" s="5" t="str">
        <v>Tablet</v>
      </c>
      <c r="N75" s="5" t="str">
        <v>Electronics</v>
      </c>
      <c r="O75" s="5" t="str">
        <v>North</v>
      </c>
      <c r="P75" s="5" t="str">
        <v>Oct-2025</v>
      </c>
      <c r="Q75" s="5">
        <v>122286</v>
      </c>
      <c r="R75" s="5">
        <v>5</v>
      </c>
      <c r="S75" s="5">
        <v>88185</v>
      </c>
    </row>
    <row r="76" spans="2:19" x14ac:dyDescent="0.3">
      <c r="B76" s="5" t="str">
        <v>ORD1214</v>
      </c>
      <c r="C76" s="5" t="str">
        <v>Mouse</v>
      </c>
      <c r="D76" s="5" t="str">
        <v>Accessories</v>
      </c>
      <c r="E76" s="5" t="str">
        <v>East</v>
      </c>
      <c r="F76" s="5" t="str">
        <v>Feb-2025</v>
      </c>
      <c r="G76" s="5">
        <v>140736</v>
      </c>
      <c r="H76" s="5">
        <v>5</v>
      </c>
      <c r="I76" s="5">
        <v>96873</v>
      </c>
      <c r="J76" s="10"/>
      <c r="L76" s="5" t="str">
        <v>ORD1390</v>
      </c>
      <c r="M76" s="5" t="str">
        <v>Tablet</v>
      </c>
      <c r="N76" s="5" t="str">
        <v>Electronics</v>
      </c>
      <c r="O76" s="5" t="str">
        <v>North</v>
      </c>
      <c r="P76" s="5" t="str">
        <v>Oct-2025</v>
      </c>
      <c r="Q76" s="5">
        <v>77865</v>
      </c>
      <c r="R76" s="5">
        <v>5</v>
      </c>
      <c r="S76" s="5">
        <v>52050</v>
      </c>
    </row>
    <row r="77" spans="2:19" x14ac:dyDescent="0.3">
      <c r="B77" s="5" t="str">
        <v>ORD1322</v>
      </c>
      <c r="C77" s="5" t="str">
        <v>Laptop</v>
      </c>
      <c r="D77" s="5" t="str">
        <v>Electronics</v>
      </c>
      <c r="E77" s="5" t="str">
        <v>North</v>
      </c>
      <c r="F77" s="5" t="str">
        <v>Oct-2025</v>
      </c>
      <c r="G77" s="5">
        <v>140684</v>
      </c>
      <c r="H77" s="5">
        <v>1</v>
      </c>
      <c r="I77" s="5">
        <v>95154</v>
      </c>
      <c r="J77" s="10"/>
      <c r="L77" s="5" t="str">
        <v>ORD1402</v>
      </c>
      <c r="M77" s="5" t="str">
        <v>Mouse</v>
      </c>
      <c r="N77" s="5" t="str">
        <v>Accessories</v>
      </c>
      <c r="O77" s="5" t="str">
        <v>North</v>
      </c>
      <c r="P77" s="5" t="str">
        <v>Oct-2025</v>
      </c>
      <c r="Q77" s="5">
        <v>88324</v>
      </c>
      <c r="R77" s="5">
        <v>1</v>
      </c>
      <c r="S77" s="5">
        <v>62748</v>
      </c>
    </row>
    <row r="78" spans="2:19" x14ac:dyDescent="0.3">
      <c r="B78" s="5" t="str">
        <v>ORD1116</v>
      </c>
      <c r="C78" s="5" t="str">
        <v>Laptop</v>
      </c>
      <c r="D78" s="5" t="str">
        <v>Electronics</v>
      </c>
      <c r="E78" s="5" t="str">
        <v>West</v>
      </c>
      <c r="F78" s="5" t="str">
        <v>Aug-2025</v>
      </c>
      <c r="G78" s="5">
        <v>140659</v>
      </c>
      <c r="H78" s="5">
        <v>15</v>
      </c>
      <c r="I78" s="5">
        <v>94761</v>
      </c>
      <c r="J78" s="10"/>
      <c r="L78" s="5" t="str">
        <v>ORD1408</v>
      </c>
      <c r="M78" s="5" t="str">
        <v>Printer</v>
      </c>
      <c r="N78" s="5" t="str">
        <v>Peripherals</v>
      </c>
      <c r="O78" s="5" t="str">
        <v>North</v>
      </c>
      <c r="P78" s="5" t="str">
        <v>Oct-2025</v>
      </c>
      <c r="Q78" s="5">
        <v>108441</v>
      </c>
      <c r="R78" s="5">
        <v>14</v>
      </c>
      <c r="S78" s="5">
        <v>80671</v>
      </c>
    </row>
    <row r="79" spans="2:19" x14ac:dyDescent="0.3">
      <c r="B79" s="5" t="str">
        <v>ORD1632</v>
      </c>
      <c r="C79" s="5" t="str">
        <v>Keyboard</v>
      </c>
      <c r="D79" s="5" t="str">
        <v>Peripherals</v>
      </c>
      <c r="E79" s="5" t="str">
        <v>East</v>
      </c>
      <c r="F79" s="5" t="str">
        <v>Dec-2025</v>
      </c>
      <c r="G79" s="5">
        <v>140580</v>
      </c>
      <c r="H79" s="5">
        <v>2</v>
      </c>
      <c r="I79" s="5">
        <v>86105</v>
      </c>
      <c r="J79" s="10"/>
      <c r="L79" s="5" t="str">
        <v>ORD1410</v>
      </c>
      <c r="M79" s="5" t="str">
        <v>Monitor</v>
      </c>
      <c r="N79" s="5" t="str">
        <v>Peripherals</v>
      </c>
      <c r="O79" s="5" t="str">
        <v>North</v>
      </c>
      <c r="P79" s="5" t="str">
        <v>Jun-2025</v>
      </c>
      <c r="Q79" s="5">
        <v>116985</v>
      </c>
      <c r="R79" s="5">
        <v>3</v>
      </c>
      <c r="S79" s="5">
        <v>83325</v>
      </c>
    </row>
    <row r="80" spans="2:19" x14ac:dyDescent="0.3">
      <c r="B80" s="5" t="str">
        <v>ORD1279</v>
      </c>
      <c r="C80" s="5" t="str">
        <v>Phone</v>
      </c>
      <c r="D80" s="5" t="str">
        <v>Electronics</v>
      </c>
      <c r="E80" s="5" t="str">
        <v>North</v>
      </c>
      <c r="F80" s="5" t="str">
        <v>Jan-2025</v>
      </c>
      <c r="G80" s="5">
        <v>140192</v>
      </c>
      <c r="H80" s="5">
        <v>12</v>
      </c>
      <c r="I80" s="5">
        <v>100751</v>
      </c>
      <c r="J80" s="10"/>
      <c r="L80" s="5" t="str">
        <v>ORD1417</v>
      </c>
      <c r="M80" s="5" t="str">
        <v>Printer</v>
      </c>
      <c r="N80" s="5" t="str">
        <v>Peripherals</v>
      </c>
      <c r="O80" s="5" t="str">
        <v>North</v>
      </c>
      <c r="P80" s="5" t="str">
        <v>May-2025</v>
      </c>
      <c r="Q80" s="5">
        <v>128484</v>
      </c>
      <c r="R80" s="5">
        <v>6</v>
      </c>
      <c r="S80" s="5">
        <v>90571</v>
      </c>
    </row>
    <row r="81" spans="2:19" x14ac:dyDescent="0.3">
      <c r="B81" s="5" t="str">
        <v>ORD1774</v>
      </c>
      <c r="C81" s="5" t="str">
        <v>Keyboard</v>
      </c>
      <c r="D81" s="5" t="str">
        <v>Peripherals</v>
      </c>
      <c r="E81" s="5" t="str">
        <v>North</v>
      </c>
      <c r="F81" s="5" t="str">
        <v>Dec-2025</v>
      </c>
      <c r="G81" s="5">
        <v>140063</v>
      </c>
      <c r="H81" s="5">
        <v>8</v>
      </c>
      <c r="I81" s="5">
        <v>88865</v>
      </c>
      <c r="J81" s="10"/>
      <c r="L81" s="5" t="str">
        <v>ORD1424</v>
      </c>
      <c r="M81" s="5" t="str">
        <v>Printer</v>
      </c>
      <c r="N81" s="5" t="str">
        <v>Peripherals</v>
      </c>
      <c r="O81" s="5" t="str">
        <v>North</v>
      </c>
      <c r="P81" s="5" t="str">
        <v>Mar-2025</v>
      </c>
      <c r="Q81" s="5">
        <v>123941</v>
      </c>
      <c r="R81" s="5">
        <v>15</v>
      </c>
      <c r="S81" s="5">
        <v>84755</v>
      </c>
    </row>
    <row r="82" spans="2:19" x14ac:dyDescent="0.3">
      <c r="B82" s="5" t="str">
        <v>ORD1236</v>
      </c>
      <c r="C82" s="5" t="str">
        <v>Phone</v>
      </c>
      <c r="D82" s="5" t="str">
        <v>Electronics</v>
      </c>
      <c r="E82" s="5" t="str">
        <v>West</v>
      </c>
      <c r="F82" s="5" t="str">
        <v>Feb-2025</v>
      </c>
      <c r="G82" s="5">
        <v>140046</v>
      </c>
      <c r="H82" s="5">
        <v>8</v>
      </c>
      <c r="I82" s="5">
        <v>96624</v>
      </c>
      <c r="J82" s="10"/>
      <c r="L82" s="5" t="str">
        <v>ORD1432</v>
      </c>
      <c r="M82" s="5" t="str">
        <v>Keyboard</v>
      </c>
      <c r="N82" s="5" t="str">
        <v>Peripherals</v>
      </c>
      <c r="O82" s="5" t="str">
        <v>North</v>
      </c>
      <c r="P82" s="5" t="str">
        <v>May-2025</v>
      </c>
      <c r="Q82" s="5">
        <v>79654</v>
      </c>
      <c r="R82" s="5">
        <v>9</v>
      </c>
      <c r="S82" s="5">
        <v>59651</v>
      </c>
    </row>
    <row r="83" spans="2:19" x14ac:dyDescent="0.3">
      <c r="B83" s="5" t="str">
        <v>ORD1249</v>
      </c>
      <c r="C83" s="5" t="str">
        <v>Monitor</v>
      </c>
      <c r="D83" s="5" t="str">
        <v>Peripherals</v>
      </c>
      <c r="E83" s="5" t="str">
        <v>West</v>
      </c>
      <c r="F83" s="5" t="str">
        <v>Sep-2025</v>
      </c>
      <c r="G83" s="5">
        <v>140003</v>
      </c>
      <c r="H83" s="5">
        <v>8</v>
      </c>
      <c r="I83" s="5">
        <v>84854</v>
      </c>
      <c r="J83" s="10"/>
      <c r="L83" s="5" t="str">
        <v>ORD1437</v>
      </c>
      <c r="M83" s="5" t="str">
        <v>Mouse</v>
      </c>
      <c r="N83" s="5" t="str">
        <v>Accessories</v>
      </c>
      <c r="O83" s="5" t="str">
        <v>North</v>
      </c>
      <c r="P83" s="5" t="str">
        <v>Mar-2025</v>
      </c>
      <c r="Q83" s="5">
        <v>54696</v>
      </c>
      <c r="R83" s="5">
        <v>12</v>
      </c>
      <c r="S83" s="5">
        <v>38708</v>
      </c>
    </row>
    <row r="84" spans="2:19" x14ac:dyDescent="0.3">
      <c r="B84" s="5" t="str">
        <v>ORD1603</v>
      </c>
      <c r="C84" s="5" t="str">
        <v>Keyboard</v>
      </c>
      <c r="D84" s="5" t="str">
        <v>Peripherals</v>
      </c>
      <c r="E84" s="5" t="str">
        <v>West</v>
      </c>
      <c r="F84" s="5" t="str">
        <v>Apr-2025</v>
      </c>
      <c r="G84" s="5">
        <v>139939</v>
      </c>
      <c r="H84" s="5">
        <v>5</v>
      </c>
      <c r="I84" s="5">
        <v>95664</v>
      </c>
      <c r="J84" s="10"/>
      <c r="L84" s="5" t="str">
        <v>ORD1441</v>
      </c>
      <c r="M84" s="5" t="str">
        <v>Tablet</v>
      </c>
      <c r="N84" s="5" t="str">
        <v>Electronics</v>
      </c>
      <c r="O84" s="5" t="str">
        <v>North</v>
      </c>
      <c r="P84" s="5" t="str">
        <v>Aug-2025</v>
      </c>
      <c r="Q84" s="5">
        <v>98009</v>
      </c>
      <c r="R84" s="5">
        <v>14</v>
      </c>
      <c r="S84" s="5">
        <v>67250</v>
      </c>
    </row>
    <row r="85" spans="2:19" x14ac:dyDescent="0.3">
      <c r="B85" s="5" t="str">
        <v>ORD1847</v>
      </c>
      <c r="C85" s="5" t="str">
        <v>Printer</v>
      </c>
      <c r="D85" s="5" t="str">
        <v>Peripherals</v>
      </c>
      <c r="E85" s="5" t="str">
        <v>North</v>
      </c>
      <c r="F85" s="5" t="str">
        <v>Feb-2025</v>
      </c>
      <c r="G85" s="5">
        <v>139778</v>
      </c>
      <c r="H85" s="5">
        <v>13</v>
      </c>
      <c r="I85" s="5">
        <v>91116</v>
      </c>
      <c r="J85" s="10"/>
      <c r="L85" s="5" t="str">
        <v>ORD1446</v>
      </c>
      <c r="M85" s="5" t="str">
        <v>Keyboard</v>
      </c>
      <c r="N85" s="5" t="str">
        <v>Peripherals</v>
      </c>
      <c r="O85" s="5" t="str">
        <v>North</v>
      </c>
      <c r="P85" s="5" t="str">
        <v>Dec-2025</v>
      </c>
      <c r="Q85" s="5">
        <v>76425</v>
      </c>
      <c r="R85" s="5">
        <v>4</v>
      </c>
      <c r="S85" s="5">
        <v>46838</v>
      </c>
    </row>
    <row r="86" spans="2:19" x14ac:dyDescent="0.3">
      <c r="B86" s="5" t="str">
        <v>ORD1787</v>
      </c>
      <c r="C86" s="5" t="str">
        <v>Laptop</v>
      </c>
      <c r="D86" s="5" t="str">
        <v>Electronics</v>
      </c>
      <c r="E86" s="5" t="str">
        <v>North</v>
      </c>
      <c r="F86" s="5" t="str">
        <v>Aug-2025</v>
      </c>
      <c r="G86" s="5">
        <v>139628</v>
      </c>
      <c r="H86" s="5">
        <v>6</v>
      </c>
      <c r="I86" s="5">
        <v>87589</v>
      </c>
      <c r="J86" s="10"/>
      <c r="L86" s="5" t="str">
        <v>ORD1459</v>
      </c>
      <c r="M86" s="5" t="str">
        <v>Monitor</v>
      </c>
      <c r="N86" s="5" t="str">
        <v>Peripherals</v>
      </c>
      <c r="O86" s="5" t="str">
        <v>North</v>
      </c>
      <c r="P86" s="5" t="str">
        <v>Mar-2025</v>
      </c>
      <c r="Q86" s="5">
        <v>134887</v>
      </c>
      <c r="R86" s="5">
        <v>14</v>
      </c>
      <c r="S86" s="5">
        <v>84830</v>
      </c>
    </row>
    <row r="87" spans="2:19" x14ac:dyDescent="0.3">
      <c r="B87" s="5" t="str">
        <v>ORD1936</v>
      </c>
      <c r="C87" s="5" t="str">
        <v>Headphones</v>
      </c>
      <c r="D87" s="5" t="str">
        <v>Accessories</v>
      </c>
      <c r="E87" s="5" t="str">
        <v>East</v>
      </c>
      <c r="F87" s="5" t="str">
        <v>Aug-2025</v>
      </c>
      <c r="G87" s="5">
        <v>139599</v>
      </c>
      <c r="H87" s="5">
        <v>13</v>
      </c>
      <c r="I87" s="5">
        <v>93604</v>
      </c>
      <c r="J87" s="10"/>
      <c r="L87" s="5" t="str">
        <v>ORD1469</v>
      </c>
      <c r="M87" s="5" t="str">
        <v>Mouse</v>
      </c>
      <c r="N87" s="5" t="str">
        <v>Accessories</v>
      </c>
      <c r="O87" s="5" t="str">
        <v>North</v>
      </c>
      <c r="P87" s="5" t="str">
        <v>Sep-2025</v>
      </c>
      <c r="Q87" s="5">
        <v>54784</v>
      </c>
      <c r="R87" s="5">
        <v>7</v>
      </c>
      <c r="S87" s="5">
        <v>37608</v>
      </c>
    </row>
    <row r="88" spans="2:19" x14ac:dyDescent="0.3">
      <c r="B88" s="5" t="str">
        <v>ORD1438</v>
      </c>
      <c r="C88" s="5" t="str">
        <v>Tablet</v>
      </c>
      <c r="D88" s="5" t="str">
        <v>Electronics</v>
      </c>
      <c r="E88" s="5" t="str">
        <v>South</v>
      </c>
      <c r="F88" s="5" t="str">
        <v>Jul-2025</v>
      </c>
      <c r="G88" s="5">
        <v>139375</v>
      </c>
      <c r="H88" s="5">
        <v>9</v>
      </c>
      <c r="I88" s="5">
        <v>97097</v>
      </c>
      <c r="J88" s="10"/>
      <c r="L88" s="5" t="str">
        <v>ORD1486</v>
      </c>
      <c r="M88" s="5" t="str">
        <v>Tablet</v>
      </c>
      <c r="N88" s="5" t="str">
        <v>Electronics</v>
      </c>
      <c r="O88" s="5" t="str">
        <v>North</v>
      </c>
      <c r="P88" s="5" t="str">
        <v>Nov-2025</v>
      </c>
      <c r="Q88" s="5">
        <v>81883</v>
      </c>
      <c r="R88" s="5">
        <v>5</v>
      </c>
      <c r="S88" s="5">
        <v>55181</v>
      </c>
    </row>
    <row r="89" spans="2:19" x14ac:dyDescent="0.3">
      <c r="B89" s="5" t="str">
        <v>ORD1922</v>
      </c>
      <c r="C89" s="5" t="str">
        <v>Keyboard</v>
      </c>
      <c r="D89" s="5" t="str">
        <v>Peripherals</v>
      </c>
      <c r="E89" s="5" t="str">
        <v>West</v>
      </c>
      <c r="F89" s="5" t="str">
        <v>Sep-2025</v>
      </c>
      <c r="G89" s="5">
        <v>139230</v>
      </c>
      <c r="H89" s="5">
        <v>1</v>
      </c>
      <c r="I89" s="5">
        <v>101617</v>
      </c>
      <c r="J89" s="10"/>
      <c r="L89" s="5" t="str">
        <v>ORD1495</v>
      </c>
      <c r="M89" s="5" t="str">
        <v>Monitor</v>
      </c>
      <c r="N89" s="5" t="str">
        <v>Peripherals</v>
      </c>
      <c r="O89" s="5" t="str">
        <v>North</v>
      </c>
      <c r="P89" s="5" t="str">
        <v>Feb-2025</v>
      </c>
      <c r="Q89" s="5">
        <v>92240</v>
      </c>
      <c r="R89" s="5">
        <v>3</v>
      </c>
      <c r="S89" s="5">
        <v>64932</v>
      </c>
    </row>
    <row r="90" spans="2:19" x14ac:dyDescent="0.3">
      <c r="B90" s="5" t="str">
        <v>ORD1050</v>
      </c>
      <c r="C90" s="5" t="str">
        <v>Keyboard</v>
      </c>
      <c r="D90" s="5" t="str">
        <v>Peripherals</v>
      </c>
      <c r="E90" s="5" t="str">
        <v>East</v>
      </c>
      <c r="F90" s="5" t="str">
        <v>Aug-2025</v>
      </c>
      <c r="G90" s="5">
        <v>139008</v>
      </c>
      <c r="H90" s="5">
        <v>14</v>
      </c>
      <c r="I90" s="5">
        <v>92617</v>
      </c>
      <c r="J90" s="10"/>
      <c r="L90" s="5" t="str">
        <v>ORD1504</v>
      </c>
      <c r="M90" s="5" t="str">
        <v>Monitor</v>
      </c>
      <c r="N90" s="5" t="str">
        <v>Peripherals</v>
      </c>
      <c r="O90" s="5" t="str">
        <v>North</v>
      </c>
      <c r="P90" s="5" t="str">
        <v>Apr-2025</v>
      </c>
      <c r="Q90" s="5">
        <v>125185</v>
      </c>
      <c r="R90" s="5">
        <v>4</v>
      </c>
      <c r="S90" s="5">
        <v>76400</v>
      </c>
    </row>
    <row r="91" spans="2:19" x14ac:dyDescent="0.3">
      <c r="B91" s="5" t="str">
        <v>ORD1344</v>
      </c>
      <c r="C91" s="5" t="str">
        <v>Mouse</v>
      </c>
      <c r="D91" s="5" t="str">
        <v>Accessories</v>
      </c>
      <c r="E91" s="5" t="str">
        <v>West</v>
      </c>
      <c r="F91" s="5" t="str">
        <v>Feb-2025</v>
      </c>
      <c r="G91" s="5">
        <v>138968</v>
      </c>
      <c r="H91" s="5">
        <v>14</v>
      </c>
      <c r="I91" s="5">
        <v>88893</v>
      </c>
      <c r="J91" s="10"/>
      <c r="L91" s="5" t="str">
        <v>ORD1511</v>
      </c>
      <c r="M91" s="5" t="str">
        <v>Phone</v>
      </c>
      <c r="N91" s="5" t="str">
        <v>Electronics</v>
      </c>
      <c r="O91" s="5" t="str">
        <v>North</v>
      </c>
      <c r="P91" s="5" t="str">
        <v>Feb-2025</v>
      </c>
      <c r="Q91" s="5">
        <v>77320</v>
      </c>
      <c r="R91" s="5">
        <v>11</v>
      </c>
      <c r="S91" s="5">
        <v>54411</v>
      </c>
    </row>
    <row r="92" spans="2:19" x14ac:dyDescent="0.3">
      <c r="B92" s="5" t="str">
        <v>ORD1299</v>
      </c>
      <c r="C92" s="5" t="str">
        <v>Monitor</v>
      </c>
      <c r="D92" s="5" t="str">
        <v>Peripherals</v>
      </c>
      <c r="E92" s="5" t="str">
        <v>North</v>
      </c>
      <c r="F92" s="5" t="str">
        <v>Aug-2025</v>
      </c>
      <c r="G92" s="5">
        <v>138930</v>
      </c>
      <c r="H92" s="5">
        <v>14</v>
      </c>
      <c r="I92" s="5">
        <v>87192</v>
      </c>
      <c r="J92" s="10"/>
      <c r="L92" s="5" t="str">
        <v>ORD1514</v>
      </c>
      <c r="M92" s="5" t="str">
        <v>Keyboard</v>
      </c>
      <c r="N92" s="5" t="str">
        <v>Peripherals</v>
      </c>
      <c r="O92" s="5" t="str">
        <v>North</v>
      </c>
      <c r="P92" s="5" t="str">
        <v>Sep-2025</v>
      </c>
      <c r="Q92" s="5">
        <v>122493</v>
      </c>
      <c r="R92" s="5">
        <v>10</v>
      </c>
      <c r="S92" s="5">
        <v>90880</v>
      </c>
    </row>
    <row r="93" spans="2:19" x14ac:dyDescent="0.3">
      <c r="B93" s="5" t="str">
        <v>ORD1705</v>
      </c>
      <c r="C93" s="5" t="str">
        <v>Keyboard</v>
      </c>
      <c r="D93" s="5" t="str">
        <v>Peripherals</v>
      </c>
      <c r="E93" s="5" t="str">
        <v>South</v>
      </c>
      <c r="F93" s="5" t="str">
        <v>Feb-2025</v>
      </c>
      <c r="G93" s="5">
        <v>138521</v>
      </c>
      <c r="H93" s="5">
        <v>2</v>
      </c>
      <c r="I93" s="5">
        <v>86177</v>
      </c>
      <c r="J93" s="10"/>
      <c r="L93" s="5" t="str">
        <v>ORD1528</v>
      </c>
      <c r="M93" s="5" t="str">
        <v>Phone</v>
      </c>
      <c r="N93" s="5" t="str">
        <v>Electronics</v>
      </c>
      <c r="O93" s="5" t="str">
        <v>North</v>
      </c>
      <c r="P93" s="5" t="str">
        <v>Apr-2025</v>
      </c>
      <c r="Q93" s="5">
        <v>146927</v>
      </c>
      <c r="R93" s="5">
        <v>4</v>
      </c>
      <c r="S93" s="5">
        <v>90449</v>
      </c>
    </row>
    <row r="94" spans="2:19" x14ac:dyDescent="0.3">
      <c r="B94" s="5" t="str">
        <v>ORD1243</v>
      </c>
      <c r="C94" s="5" t="str">
        <v>Laptop</v>
      </c>
      <c r="D94" s="5" t="str">
        <v>Electronics</v>
      </c>
      <c r="E94" s="5" t="str">
        <v>South</v>
      </c>
      <c r="F94" s="5" t="str">
        <v>Jan-2025</v>
      </c>
      <c r="G94" s="5">
        <v>138476</v>
      </c>
      <c r="H94" s="5">
        <v>14</v>
      </c>
      <c r="I94" s="5">
        <v>87008</v>
      </c>
      <c r="J94" s="10"/>
      <c r="L94" s="5" t="str">
        <v>ORD1539</v>
      </c>
      <c r="M94" s="5" t="str">
        <v>Printer</v>
      </c>
      <c r="N94" s="5" t="str">
        <v>Peripherals</v>
      </c>
      <c r="O94" s="5" t="str">
        <v>North</v>
      </c>
      <c r="P94" s="5" t="str">
        <v>Feb-2025</v>
      </c>
      <c r="Q94" s="5">
        <v>107500</v>
      </c>
      <c r="R94" s="5">
        <v>15</v>
      </c>
      <c r="S94" s="5">
        <v>79986</v>
      </c>
    </row>
    <row r="95" spans="2:19" x14ac:dyDescent="0.3">
      <c r="B95" s="5" t="str">
        <v>ORD1104</v>
      </c>
      <c r="C95" s="5" t="str">
        <v>Laptop</v>
      </c>
      <c r="D95" s="5" t="str">
        <v>Electronics</v>
      </c>
      <c r="E95" s="5" t="str">
        <v>South</v>
      </c>
      <c r="F95" s="5" t="str">
        <v>Jul-2025</v>
      </c>
      <c r="G95" s="5">
        <v>138371</v>
      </c>
      <c r="H95" s="5">
        <v>14</v>
      </c>
      <c r="I95" s="5">
        <v>88964</v>
      </c>
      <c r="J95" s="10"/>
      <c r="L95" s="5" t="str">
        <v>ORD1554</v>
      </c>
      <c r="M95" s="5" t="str">
        <v>Mouse</v>
      </c>
      <c r="N95" s="5" t="str">
        <v>Accessories</v>
      </c>
      <c r="O95" s="5" t="str">
        <v>North</v>
      </c>
      <c r="P95" s="5" t="str">
        <v>Dec-2025</v>
      </c>
      <c r="Q95" s="5">
        <v>127321</v>
      </c>
      <c r="R95" s="5">
        <v>1</v>
      </c>
      <c r="S95" s="5">
        <v>94386</v>
      </c>
    </row>
    <row r="96" spans="2:19" x14ac:dyDescent="0.3">
      <c r="B96" s="5" t="str">
        <v>ORD1650</v>
      </c>
      <c r="C96" s="5" t="str">
        <v>Laptop</v>
      </c>
      <c r="D96" s="5" t="str">
        <v>Electronics</v>
      </c>
      <c r="E96" s="5" t="str">
        <v>South</v>
      </c>
      <c r="F96" s="5" t="str">
        <v>Feb-2025</v>
      </c>
      <c r="G96" s="5">
        <v>138251</v>
      </c>
      <c r="H96" s="5">
        <v>10</v>
      </c>
      <c r="I96" s="5">
        <v>98899</v>
      </c>
      <c r="J96" s="10"/>
      <c r="L96" s="5" t="str">
        <v>ORD1556</v>
      </c>
      <c r="M96" s="5" t="str">
        <v>Printer</v>
      </c>
      <c r="N96" s="5" t="str">
        <v>Peripherals</v>
      </c>
      <c r="O96" s="5" t="str">
        <v>North</v>
      </c>
      <c r="P96" s="5" t="str">
        <v>Sep-2025</v>
      </c>
      <c r="Q96" s="5">
        <v>135832</v>
      </c>
      <c r="R96" s="5">
        <v>2</v>
      </c>
      <c r="S96" s="5">
        <v>85715</v>
      </c>
    </row>
    <row r="97" spans="2:19" x14ac:dyDescent="0.3">
      <c r="B97" s="5" t="str">
        <v>ORD1982</v>
      </c>
      <c r="C97" s="5" t="str">
        <v>Phone</v>
      </c>
      <c r="D97" s="5" t="str">
        <v>Electronics</v>
      </c>
      <c r="E97" s="5" t="str">
        <v>North</v>
      </c>
      <c r="F97" s="5" t="str">
        <v>Jan-2025</v>
      </c>
      <c r="G97" s="5">
        <v>138220</v>
      </c>
      <c r="H97" s="5">
        <v>5</v>
      </c>
      <c r="I97" s="5">
        <v>102195</v>
      </c>
      <c r="J97" s="10"/>
      <c r="L97" s="5" t="str">
        <v>ORD1558</v>
      </c>
      <c r="M97" s="5" t="str">
        <v>Monitor</v>
      </c>
      <c r="N97" s="5" t="str">
        <v>Peripherals</v>
      </c>
      <c r="O97" s="5" t="str">
        <v>North</v>
      </c>
      <c r="P97" s="5" t="str">
        <v>Oct-2025</v>
      </c>
      <c r="Q97" s="5">
        <v>96979</v>
      </c>
      <c r="R97" s="5">
        <v>3</v>
      </c>
      <c r="S97" s="5">
        <v>72242</v>
      </c>
    </row>
    <row r="98" spans="2:19" x14ac:dyDescent="0.3">
      <c r="B98" s="5" t="str">
        <v>ORD1924</v>
      </c>
      <c r="C98" s="5" t="str">
        <v>Monitor</v>
      </c>
      <c r="D98" s="5" t="str">
        <v>Peripherals</v>
      </c>
      <c r="E98" s="5" t="str">
        <v>East</v>
      </c>
      <c r="F98" s="5" t="str">
        <v>Jul-2025</v>
      </c>
      <c r="G98" s="5">
        <v>138037</v>
      </c>
      <c r="H98" s="5">
        <v>4</v>
      </c>
      <c r="I98" s="5">
        <v>91412</v>
      </c>
      <c r="J98" s="10"/>
      <c r="L98" s="5" t="str">
        <v>ORD1562</v>
      </c>
      <c r="M98" s="5" t="str">
        <v>Headphones</v>
      </c>
      <c r="N98" s="5" t="str">
        <v>Accessories</v>
      </c>
      <c r="O98" s="5" t="str">
        <v>North</v>
      </c>
      <c r="P98" s="5" t="str">
        <v>Aug-2025</v>
      </c>
      <c r="Q98" s="5">
        <v>54484</v>
      </c>
      <c r="R98" s="5">
        <v>13</v>
      </c>
      <c r="S98" s="5">
        <v>39715</v>
      </c>
    </row>
    <row r="99" spans="2:19" x14ac:dyDescent="0.3">
      <c r="B99" s="5" t="str">
        <v>ORD1065</v>
      </c>
      <c r="C99" s="5" t="str">
        <v>Printer</v>
      </c>
      <c r="D99" s="5" t="str">
        <v>Peripherals</v>
      </c>
      <c r="E99" s="5" t="str">
        <v>South</v>
      </c>
      <c r="F99" s="5" t="str">
        <v>May-2025</v>
      </c>
      <c r="G99" s="5">
        <v>138021</v>
      </c>
      <c r="H99" s="5">
        <v>6</v>
      </c>
      <c r="I99" s="5">
        <v>98243</v>
      </c>
      <c r="J99" s="10"/>
      <c r="L99" s="5" t="str">
        <v>ORD1569</v>
      </c>
      <c r="M99" s="5" t="str">
        <v>Keyboard</v>
      </c>
      <c r="N99" s="5" t="str">
        <v>Peripherals</v>
      </c>
      <c r="O99" s="5" t="str">
        <v>North</v>
      </c>
      <c r="P99" s="5" t="str">
        <v>May-2025</v>
      </c>
      <c r="Q99" s="5">
        <v>97957</v>
      </c>
      <c r="R99" s="5">
        <v>14</v>
      </c>
      <c r="S99" s="5">
        <v>61185</v>
      </c>
    </row>
    <row r="100" spans="2:19" x14ac:dyDescent="0.3">
      <c r="B100" s="5" t="str">
        <v>ORD1258</v>
      </c>
      <c r="C100" s="5" t="str">
        <v>Monitor</v>
      </c>
      <c r="D100" s="5" t="str">
        <v>Peripherals</v>
      </c>
      <c r="E100" s="5" t="str">
        <v>North</v>
      </c>
      <c r="F100" s="5" t="str">
        <v>Nov-2025</v>
      </c>
      <c r="G100" s="5">
        <v>137299</v>
      </c>
      <c r="H100" s="5">
        <v>12</v>
      </c>
      <c r="I100" s="5">
        <v>99200</v>
      </c>
      <c r="J100" s="10"/>
      <c r="L100" s="5" t="str">
        <v>ORD1581</v>
      </c>
      <c r="M100" s="5" t="str">
        <v>Tablet</v>
      </c>
      <c r="N100" s="5" t="str">
        <v>Electronics</v>
      </c>
      <c r="O100" s="5" t="str">
        <v>North</v>
      </c>
      <c r="P100" s="5" t="str">
        <v>Jul-2025</v>
      </c>
      <c r="Q100" s="5">
        <v>148457</v>
      </c>
      <c r="R100" s="5">
        <v>6</v>
      </c>
      <c r="S100" s="5">
        <v>94057</v>
      </c>
    </row>
    <row r="101" spans="2:19" x14ac:dyDescent="0.3">
      <c r="B101" s="5" t="str">
        <v>ORD1089</v>
      </c>
      <c r="C101" s="5" t="str">
        <v>Tablet</v>
      </c>
      <c r="D101" s="5" t="str">
        <v>Electronics</v>
      </c>
      <c r="E101" s="5" t="str">
        <v>East</v>
      </c>
      <c r="F101" s="5" t="str">
        <v>Oct-2025</v>
      </c>
      <c r="G101" s="5">
        <v>137254</v>
      </c>
      <c r="H101" s="5">
        <v>10</v>
      </c>
      <c r="I101" s="5">
        <v>93023</v>
      </c>
      <c r="J101" s="10"/>
      <c r="L101" s="5" t="str">
        <v>ORD1584</v>
      </c>
      <c r="M101" s="5" t="str">
        <v>Tablet</v>
      </c>
      <c r="N101" s="5" t="str">
        <v>Electronics</v>
      </c>
      <c r="O101" s="5" t="str">
        <v>North</v>
      </c>
      <c r="P101" s="5" t="str">
        <v>Mar-2025</v>
      </c>
      <c r="Q101" s="5">
        <v>131443</v>
      </c>
      <c r="R101" s="5">
        <v>15</v>
      </c>
      <c r="S101" s="5">
        <v>94840</v>
      </c>
    </row>
    <row r="102" spans="2:19" x14ac:dyDescent="0.3">
      <c r="B102" s="5" t="str">
        <v>ORD1580</v>
      </c>
      <c r="C102" s="5" t="str">
        <v>Keyboard</v>
      </c>
      <c r="D102" s="5" t="str">
        <v>Peripherals</v>
      </c>
      <c r="E102" s="5" t="str">
        <v>West</v>
      </c>
      <c r="F102" s="5" t="str">
        <v>Apr-2025</v>
      </c>
      <c r="G102" s="5">
        <v>136384</v>
      </c>
      <c r="H102" s="5">
        <v>4</v>
      </c>
      <c r="I102" s="5">
        <v>96637</v>
      </c>
      <c r="J102" s="10"/>
      <c r="L102" s="5" t="str">
        <v>ORD1585</v>
      </c>
      <c r="M102" s="5" t="str">
        <v>Tablet</v>
      </c>
      <c r="N102" s="5" t="str">
        <v>Electronics</v>
      </c>
      <c r="O102" s="5" t="str">
        <v>North</v>
      </c>
      <c r="P102" s="5" t="str">
        <v>Nov-2025</v>
      </c>
      <c r="Q102" s="5">
        <v>127887</v>
      </c>
      <c r="R102" s="5">
        <v>7</v>
      </c>
      <c r="S102" s="5">
        <v>82380</v>
      </c>
    </row>
    <row r="103" spans="2:19" x14ac:dyDescent="0.3">
      <c r="B103" s="5" t="str">
        <v>ORD1265</v>
      </c>
      <c r="C103" s="5" t="str">
        <v>Printer</v>
      </c>
      <c r="D103" s="5" t="str">
        <v>Peripherals</v>
      </c>
      <c r="E103" s="5" t="str">
        <v>East</v>
      </c>
      <c r="F103" s="5" t="str">
        <v>May-2025</v>
      </c>
      <c r="G103" s="5">
        <v>136276</v>
      </c>
      <c r="H103" s="5">
        <v>1</v>
      </c>
      <c r="I103" s="5">
        <v>82122</v>
      </c>
      <c r="J103" s="10"/>
      <c r="L103" s="5" t="str">
        <v>ORD1586</v>
      </c>
      <c r="M103" s="5" t="str">
        <v>Printer</v>
      </c>
      <c r="N103" s="5" t="str">
        <v>Peripherals</v>
      </c>
      <c r="O103" s="5" t="str">
        <v>North</v>
      </c>
      <c r="P103" s="5" t="str">
        <v>Dec-2025</v>
      </c>
      <c r="Q103" s="5">
        <v>114482</v>
      </c>
      <c r="R103" s="5">
        <v>13</v>
      </c>
      <c r="S103" s="5">
        <v>74287</v>
      </c>
    </row>
    <row r="104" spans="2:19" x14ac:dyDescent="0.3">
      <c r="B104" s="5" t="str">
        <v>ORD1042</v>
      </c>
      <c r="C104" s="5" t="str">
        <v>Mouse</v>
      </c>
      <c r="D104" s="5" t="str">
        <v>Accessories</v>
      </c>
      <c r="E104" s="5" t="str">
        <v>South</v>
      </c>
      <c r="F104" s="5" t="str">
        <v>Sep-2025</v>
      </c>
      <c r="G104" s="5">
        <v>136249</v>
      </c>
      <c r="H104" s="5">
        <v>6</v>
      </c>
      <c r="I104" s="5">
        <v>97791</v>
      </c>
      <c r="J104" s="10"/>
      <c r="L104" s="5" t="str">
        <v>ORD1590</v>
      </c>
      <c r="M104" s="5" t="str">
        <v>Monitor</v>
      </c>
      <c r="N104" s="5" t="str">
        <v>Peripherals</v>
      </c>
      <c r="O104" s="5" t="str">
        <v>North</v>
      </c>
      <c r="P104" s="5" t="str">
        <v>Dec-2025</v>
      </c>
      <c r="Q104" s="5">
        <v>64106</v>
      </c>
      <c r="R104" s="5">
        <v>2</v>
      </c>
      <c r="S104" s="5">
        <v>42493</v>
      </c>
    </row>
    <row r="105" spans="2:19" x14ac:dyDescent="0.3">
      <c r="B105" s="5" t="str">
        <v>ORD1206</v>
      </c>
      <c r="C105" s="5" t="str">
        <v>Monitor</v>
      </c>
      <c r="D105" s="5" t="str">
        <v>Peripherals</v>
      </c>
      <c r="E105" s="5" t="str">
        <v>East</v>
      </c>
      <c r="F105" s="5" t="str">
        <v>Sep-2025</v>
      </c>
      <c r="G105" s="5">
        <v>135930</v>
      </c>
      <c r="H105" s="5">
        <v>6</v>
      </c>
      <c r="I105" s="5">
        <v>87608</v>
      </c>
      <c r="J105" s="10"/>
      <c r="L105" s="5" t="str">
        <v>ORD1595</v>
      </c>
      <c r="M105" s="5" t="str">
        <v>Laptop</v>
      </c>
      <c r="N105" s="5" t="str">
        <v>Electronics</v>
      </c>
      <c r="O105" s="5" t="str">
        <v>North</v>
      </c>
      <c r="P105" s="5" t="str">
        <v>Jul-2025</v>
      </c>
      <c r="Q105" s="5">
        <v>121242</v>
      </c>
      <c r="R105" s="5">
        <v>15</v>
      </c>
      <c r="S105" s="5">
        <v>75849</v>
      </c>
    </row>
    <row r="106" spans="2:19" x14ac:dyDescent="0.3">
      <c r="B106" s="5" t="str">
        <v>ORD1162</v>
      </c>
      <c r="C106" s="5" t="str">
        <v>Monitor</v>
      </c>
      <c r="D106" s="5" t="str">
        <v>Peripherals</v>
      </c>
      <c r="E106" s="5" t="str">
        <v>West</v>
      </c>
      <c r="F106" s="5" t="str">
        <v>Nov-2025</v>
      </c>
      <c r="G106" s="5">
        <v>135855</v>
      </c>
      <c r="H106" s="5">
        <v>4</v>
      </c>
      <c r="I106" s="5">
        <v>92455</v>
      </c>
      <c r="J106" s="10"/>
      <c r="L106" s="5" t="str">
        <v>ORD1597</v>
      </c>
      <c r="M106" s="5" t="str">
        <v>Laptop</v>
      </c>
      <c r="N106" s="5" t="str">
        <v>Electronics</v>
      </c>
      <c r="O106" s="5" t="str">
        <v>North</v>
      </c>
      <c r="P106" s="5" t="str">
        <v>Jul-2025</v>
      </c>
      <c r="Q106" s="5">
        <v>53479</v>
      </c>
      <c r="R106" s="5">
        <v>2</v>
      </c>
      <c r="S106" s="5">
        <v>39925</v>
      </c>
    </row>
    <row r="107" spans="2:19" x14ac:dyDescent="0.3">
      <c r="B107" s="5" t="str">
        <v>ORD1556</v>
      </c>
      <c r="C107" s="5" t="str">
        <v>Printer</v>
      </c>
      <c r="D107" s="5" t="str">
        <v>Peripherals</v>
      </c>
      <c r="E107" s="5" t="str">
        <v>North</v>
      </c>
      <c r="F107" s="5" t="str">
        <v>Sep-2025</v>
      </c>
      <c r="G107" s="5">
        <v>135832</v>
      </c>
      <c r="H107" s="5">
        <v>2</v>
      </c>
      <c r="I107" s="5">
        <v>85715</v>
      </c>
      <c r="J107" s="10"/>
      <c r="L107" s="5" t="str">
        <v>ORD1601</v>
      </c>
      <c r="M107" s="5" t="str">
        <v>Monitor</v>
      </c>
      <c r="N107" s="5" t="str">
        <v>Peripherals</v>
      </c>
      <c r="O107" s="5" t="str">
        <v>North</v>
      </c>
      <c r="P107" s="5" t="str">
        <v>Apr-2025</v>
      </c>
      <c r="Q107" s="5">
        <v>58816</v>
      </c>
      <c r="R107" s="5">
        <v>10</v>
      </c>
      <c r="S107" s="5">
        <v>39563</v>
      </c>
    </row>
    <row r="108" spans="2:19" x14ac:dyDescent="0.3">
      <c r="B108" s="5" t="str">
        <v>ORD1201</v>
      </c>
      <c r="C108" s="5" t="str">
        <v>Keyboard</v>
      </c>
      <c r="D108" s="5" t="str">
        <v>Peripherals</v>
      </c>
      <c r="E108" s="5" t="str">
        <v>South</v>
      </c>
      <c r="F108" s="5" t="str">
        <v>Nov-2025</v>
      </c>
      <c r="G108" s="5">
        <v>135797</v>
      </c>
      <c r="H108" s="5">
        <v>14</v>
      </c>
      <c r="I108" s="5">
        <v>82050</v>
      </c>
      <c r="J108" s="10"/>
      <c r="L108" s="5" t="str">
        <v>ORD1602</v>
      </c>
      <c r="M108" s="5" t="str">
        <v>Monitor</v>
      </c>
      <c r="N108" s="5" t="str">
        <v>Peripherals</v>
      </c>
      <c r="O108" s="5" t="str">
        <v>North</v>
      </c>
      <c r="P108" s="5" t="str">
        <v>Jul-2025</v>
      </c>
      <c r="Q108" s="5">
        <v>106975</v>
      </c>
      <c r="R108" s="5">
        <v>7</v>
      </c>
      <c r="S108" s="5">
        <v>68053</v>
      </c>
    </row>
    <row r="109" spans="2:19" x14ac:dyDescent="0.3">
      <c r="B109" s="5" t="str">
        <v>ORD1403</v>
      </c>
      <c r="C109" s="5" t="str">
        <v>Keyboard</v>
      </c>
      <c r="D109" s="5" t="str">
        <v>Peripherals</v>
      </c>
      <c r="E109" s="5" t="str">
        <v>South</v>
      </c>
      <c r="F109" s="5" t="str">
        <v>Apr-2025</v>
      </c>
      <c r="G109" s="5">
        <v>135731</v>
      </c>
      <c r="H109" s="5">
        <v>7</v>
      </c>
      <c r="I109" s="5">
        <v>92604</v>
      </c>
      <c r="J109" s="10"/>
      <c r="L109" s="5" t="str">
        <v>ORD1623</v>
      </c>
      <c r="M109" s="5" t="str">
        <v>Laptop</v>
      </c>
      <c r="N109" s="5" t="str">
        <v>Electronics</v>
      </c>
      <c r="O109" s="5" t="str">
        <v>North</v>
      </c>
      <c r="P109" s="5" t="str">
        <v>Nov-2025</v>
      </c>
      <c r="Q109" s="5">
        <v>77167</v>
      </c>
      <c r="R109" s="5">
        <v>14</v>
      </c>
      <c r="S109" s="5">
        <v>52978</v>
      </c>
    </row>
    <row r="110" spans="2:19" x14ac:dyDescent="0.3">
      <c r="B110" s="5" t="str">
        <v>ORD1502</v>
      </c>
      <c r="C110" s="5" t="str">
        <v>Phone</v>
      </c>
      <c r="D110" s="5" t="str">
        <v>Electronics</v>
      </c>
      <c r="E110" s="5" t="str">
        <v>East</v>
      </c>
      <c r="F110" s="5" t="str">
        <v>Aug-2025</v>
      </c>
      <c r="G110" s="5">
        <v>135460</v>
      </c>
      <c r="H110" s="5">
        <v>12</v>
      </c>
      <c r="I110" s="5">
        <v>87310</v>
      </c>
      <c r="J110" s="10"/>
      <c r="L110" s="5" t="str">
        <v>ORD1661</v>
      </c>
      <c r="M110" s="5" t="str">
        <v>Mouse</v>
      </c>
      <c r="N110" s="5" t="str">
        <v>Accessories</v>
      </c>
      <c r="O110" s="5" t="str">
        <v>North</v>
      </c>
      <c r="P110" s="5" t="str">
        <v>Jan-2025</v>
      </c>
      <c r="Q110" s="5">
        <v>63128</v>
      </c>
      <c r="R110" s="5">
        <v>5</v>
      </c>
      <c r="S110" s="5">
        <v>43596</v>
      </c>
    </row>
    <row r="111" spans="2:19" x14ac:dyDescent="0.3">
      <c r="B111" s="5" t="str">
        <v>ORD1003</v>
      </c>
      <c r="C111" s="5" t="str">
        <v>Laptop</v>
      </c>
      <c r="D111" s="5" t="str">
        <v>Electronics</v>
      </c>
      <c r="E111" s="5" t="str">
        <v>East</v>
      </c>
      <c r="F111" s="5" t="str">
        <v>Jan-2025</v>
      </c>
      <c r="G111" s="5">
        <v>135324</v>
      </c>
      <c r="H111" s="5">
        <v>3</v>
      </c>
      <c r="I111" s="5">
        <v>97279</v>
      </c>
      <c r="J111" s="10"/>
      <c r="L111" s="5" t="str">
        <v>ORD1662</v>
      </c>
      <c r="M111" s="5" t="str">
        <v>Printer</v>
      </c>
      <c r="N111" s="5" t="str">
        <v>Peripherals</v>
      </c>
      <c r="O111" s="5" t="str">
        <v>North</v>
      </c>
      <c r="P111" s="5" t="str">
        <v>Jun-2025</v>
      </c>
      <c r="Q111" s="5">
        <v>119360</v>
      </c>
      <c r="R111" s="5">
        <v>8</v>
      </c>
      <c r="S111" s="5">
        <v>86073</v>
      </c>
    </row>
    <row r="112" spans="2:19" x14ac:dyDescent="0.3">
      <c r="B112" s="5" t="str">
        <v>ORD1587</v>
      </c>
      <c r="C112" s="5" t="str">
        <v>Laptop</v>
      </c>
      <c r="D112" s="5" t="str">
        <v>Electronics</v>
      </c>
      <c r="E112" s="5" t="str">
        <v>South</v>
      </c>
      <c r="F112" s="5" t="str">
        <v>Mar-2025</v>
      </c>
      <c r="G112" s="5">
        <v>135306</v>
      </c>
      <c r="H112" s="5">
        <v>5</v>
      </c>
      <c r="I112" s="5">
        <v>94028</v>
      </c>
      <c r="J112" s="10"/>
      <c r="L112" s="5" t="str">
        <v>ORD1671</v>
      </c>
      <c r="M112" s="5" t="str">
        <v>Mouse</v>
      </c>
      <c r="N112" s="5" t="str">
        <v>Accessories</v>
      </c>
      <c r="O112" s="5" t="str">
        <v>North</v>
      </c>
      <c r="P112" s="5" t="str">
        <v>Oct-2025</v>
      </c>
      <c r="Q112" s="5">
        <v>86731</v>
      </c>
      <c r="R112" s="5">
        <v>8</v>
      </c>
      <c r="S112" s="5">
        <v>58665</v>
      </c>
    </row>
    <row r="113" spans="2:19" x14ac:dyDescent="0.3">
      <c r="B113" s="5" t="str">
        <v>ORD1796</v>
      </c>
      <c r="C113" s="5" t="str">
        <v>Headphones</v>
      </c>
      <c r="D113" s="5" t="str">
        <v>Accessories</v>
      </c>
      <c r="E113" s="5" t="str">
        <v>North</v>
      </c>
      <c r="F113" s="5" t="str">
        <v>Feb-2025</v>
      </c>
      <c r="G113" s="5">
        <v>135210</v>
      </c>
      <c r="H113" s="5">
        <v>4</v>
      </c>
      <c r="I113" s="5">
        <v>99867</v>
      </c>
      <c r="J113" s="10"/>
      <c r="L113" s="5" t="str">
        <v>ORD1676</v>
      </c>
      <c r="M113" s="5" t="str">
        <v>Mouse</v>
      </c>
      <c r="N113" s="5" t="str">
        <v>Accessories</v>
      </c>
      <c r="O113" s="5" t="str">
        <v>North</v>
      </c>
      <c r="P113" s="5" t="str">
        <v>Feb-2025</v>
      </c>
      <c r="Q113" s="5">
        <v>83796</v>
      </c>
      <c r="R113" s="5">
        <v>1</v>
      </c>
      <c r="S113" s="5">
        <v>55351</v>
      </c>
    </row>
    <row r="114" spans="2:19" x14ac:dyDescent="0.3">
      <c r="B114" s="5" t="str">
        <v>ORD1537</v>
      </c>
      <c r="C114" s="5" t="str">
        <v>Laptop</v>
      </c>
      <c r="D114" s="5" t="str">
        <v>Electronics</v>
      </c>
      <c r="E114" s="5" t="str">
        <v>South</v>
      </c>
      <c r="F114" s="5" t="str">
        <v>Apr-2025</v>
      </c>
      <c r="G114" s="5">
        <v>135014</v>
      </c>
      <c r="H114" s="5">
        <v>5</v>
      </c>
      <c r="I114" s="5">
        <v>99592</v>
      </c>
      <c r="J114" s="10"/>
      <c r="L114" s="5" t="str">
        <v>ORD1688</v>
      </c>
      <c r="M114" s="5" t="str">
        <v>Mouse</v>
      </c>
      <c r="N114" s="5" t="str">
        <v>Accessories</v>
      </c>
      <c r="O114" s="5" t="str">
        <v>North</v>
      </c>
      <c r="P114" s="5" t="str">
        <v>Dec-2025</v>
      </c>
      <c r="Q114" s="5">
        <v>133136</v>
      </c>
      <c r="R114" s="5">
        <v>14</v>
      </c>
      <c r="S114" s="5">
        <v>84531</v>
      </c>
    </row>
    <row r="115" spans="2:19" x14ac:dyDescent="0.3">
      <c r="B115" s="5" t="str">
        <v>ORD1759</v>
      </c>
      <c r="C115" s="5" t="str">
        <v>Monitor</v>
      </c>
      <c r="D115" s="5" t="str">
        <v>Peripherals</v>
      </c>
      <c r="E115" s="5" t="str">
        <v>North</v>
      </c>
      <c r="F115" s="5" t="str">
        <v>Mar-2025</v>
      </c>
      <c r="G115" s="5">
        <v>134933</v>
      </c>
      <c r="H115" s="5">
        <v>14</v>
      </c>
      <c r="I115" s="5">
        <v>99388</v>
      </c>
      <c r="J115" s="10"/>
      <c r="L115" s="5" t="str">
        <v>ORD1689</v>
      </c>
      <c r="M115" s="5" t="str">
        <v>Laptop</v>
      </c>
      <c r="N115" s="5" t="str">
        <v>Electronics</v>
      </c>
      <c r="O115" s="5" t="str">
        <v>North</v>
      </c>
      <c r="P115" s="5" t="str">
        <v>Apr-2025</v>
      </c>
      <c r="Q115" s="5">
        <v>146692</v>
      </c>
      <c r="R115" s="5">
        <v>14</v>
      </c>
      <c r="S115" s="5">
        <v>91317</v>
      </c>
    </row>
    <row r="116" spans="2:19" x14ac:dyDescent="0.3">
      <c r="B116" s="5" t="str">
        <v>ORD1594</v>
      </c>
      <c r="C116" s="5" t="str">
        <v>Headphones</v>
      </c>
      <c r="D116" s="5" t="str">
        <v>Accessories</v>
      </c>
      <c r="E116" s="5" t="str">
        <v>West</v>
      </c>
      <c r="F116" s="5" t="str">
        <v>Nov-2025</v>
      </c>
      <c r="G116" s="5">
        <v>134901</v>
      </c>
      <c r="H116" s="5">
        <v>7</v>
      </c>
      <c r="I116" s="5">
        <v>85562</v>
      </c>
      <c r="J116" s="10"/>
      <c r="L116" s="5" t="str">
        <v>ORD1692</v>
      </c>
      <c r="M116" s="5" t="str">
        <v>Monitor</v>
      </c>
      <c r="N116" s="5" t="str">
        <v>Peripherals</v>
      </c>
      <c r="O116" s="5" t="str">
        <v>North</v>
      </c>
      <c r="P116" s="5" t="str">
        <v>Oct-2025</v>
      </c>
      <c r="Q116" s="5">
        <v>98725</v>
      </c>
      <c r="R116" s="5">
        <v>14</v>
      </c>
      <c r="S116" s="5">
        <v>62692</v>
      </c>
    </row>
    <row r="117" spans="2:19" x14ac:dyDescent="0.3">
      <c r="B117" s="5" t="str">
        <v>ORD1459</v>
      </c>
      <c r="C117" s="5" t="str">
        <v>Monitor</v>
      </c>
      <c r="D117" s="5" t="str">
        <v>Peripherals</v>
      </c>
      <c r="E117" s="5" t="str">
        <v>North</v>
      </c>
      <c r="F117" s="5" t="str">
        <v>Mar-2025</v>
      </c>
      <c r="G117" s="5">
        <v>134887</v>
      </c>
      <c r="H117" s="5">
        <v>14</v>
      </c>
      <c r="I117" s="5">
        <v>84830</v>
      </c>
      <c r="J117" s="10"/>
      <c r="L117" s="5" t="str">
        <v>ORD1694</v>
      </c>
      <c r="M117" s="5" t="str">
        <v>Tablet</v>
      </c>
      <c r="N117" s="5" t="str">
        <v>Electronics</v>
      </c>
      <c r="O117" s="5" t="str">
        <v>North</v>
      </c>
      <c r="P117" s="5" t="str">
        <v>Oct-2025</v>
      </c>
      <c r="Q117" s="5">
        <v>111670</v>
      </c>
      <c r="R117" s="5">
        <v>11</v>
      </c>
      <c r="S117" s="5">
        <v>67789</v>
      </c>
    </row>
    <row r="118" spans="2:19" x14ac:dyDescent="0.3">
      <c r="B118" s="5" t="str">
        <v>ORD1915</v>
      </c>
      <c r="C118" s="5" t="str">
        <v>Keyboard</v>
      </c>
      <c r="D118" s="5" t="str">
        <v>Peripherals</v>
      </c>
      <c r="E118" s="5" t="str">
        <v>East</v>
      </c>
      <c r="F118" s="5" t="str">
        <v>Feb-2025</v>
      </c>
      <c r="G118" s="5">
        <v>134786</v>
      </c>
      <c r="H118" s="5">
        <v>4</v>
      </c>
      <c r="I118" s="5">
        <v>98984</v>
      </c>
      <c r="J118" s="10"/>
      <c r="L118" s="5" t="str">
        <v>ORD1697</v>
      </c>
      <c r="M118" s="5" t="str">
        <v>Headphones</v>
      </c>
      <c r="N118" s="5" t="str">
        <v>Accessories</v>
      </c>
      <c r="O118" s="5" t="str">
        <v>North</v>
      </c>
      <c r="P118" s="5" t="str">
        <v>Nov-2025</v>
      </c>
      <c r="Q118" s="5">
        <v>117490</v>
      </c>
      <c r="R118" s="5">
        <v>9</v>
      </c>
      <c r="S118" s="5">
        <v>81495</v>
      </c>
    </row>
    <row r="119" spans="2:19" x14ac:dyDescent="0.3">
      <c r="B119" s="5" t="str">
        <v>ORD1994</v>
      </c>
      <c r="C119" s="5" t="str">
        <v>Phone</v>
      </c>
      <c r="D119" s="5" t="str">
        <v>Electronics</v>
      </c>
      <c r="E119" s="5" t="str">
        <v>North</v>
      </c>
      <c r="F119" s="5" t="str">
        <v>Apr-2025</v>
      </c>
      <c r="G119" s="5">
        <v>134754</v>
      </c>
      <c r="H119" s="5">
        <v>7</v>
      </c>
      <c r="I119" s="5">
        <v>91083</v>
      </c>
      <c r="J119" s="10"/>
      <c r="L119" s="5" t="str">
        <v>ORD1699</v>
      </c>
      <c r="M119" s="5" t="str">
        <v>Phone</v>
      </c>
      <c r="N119" s="5" t="str">
        <v>Electronics</v>
      </c>
      <c r="O119" s="5" t="str">
        <v>North</v>
      </c>
      <c r="P119" s="5" t="str">
        <v>Nov-2025</v>
      </c>
      <c r="Q119" s="5">
        <v>125448</v>
      </c>
      <c r="R119" s="5">
        <v>9</v>
      </c>
      <c r="S119" s="5">
        <v>90962</v>
      </c>
    </row>
    <row r="120" spans="2:19" x14ac:dyDescent="0.3">
      <c r="B120" s="5" t="str">
        <v>ORD1448</v>
      </c>
      <c r="C120" s="5" t="str">
        <v>Headphones</v>
      </c>
      <c r="D120" s="5" t="str">
        <v>Accessories</v>
      </c>
      <c r="E120" s="5" t="str">
        <v>South</v>
      </c>
      <c r="F120" s="5" t="str">
        <v>Nov-2025</v>
      </c>
      <c r="G120" s="5">
        <v>134530</v>
      </c>
      <c r="H120" s="5">
        <v>7</v>
      </c>
      <c r="I120" s="5">
        <v>87301</v>
      </c>
      <c r="J120" s="10"/>
      <c r="L120" s="5" t="str">
        <v>ORD1706</v>
      </c>
      <c r="M120" s="5" t="str">
        <v>Tablet</v>
      </c>
      <c r="N120" s="5" t="str">
        <v>Electronics</v>
      </c>
      <c r="O120" s="5" t="str">
        <v>North</v>
      </c>
      <c r="P120" s="5" t="str">
        <v>Aug-2025</v>
      </c>
      <c r="Q120" s="5">
        <v>89439</v>
      </c>
      <c r="R120" s="5">
        <v>5</v>
      </c>
      <c r="S120" s="5">
        <v>60440</v>
      </c>
    </row>
    <row r="121" spans="2:19" x14ac:dyDescent="0.3">
      <c r="B121" s="5" t="str">
        <v>ORD1736</v>
      </c>
      <c r="C121" s="5" t="str">
        <v>Monitor</v>
      </c>
      <c r="D121" s="5" t="str">
        <v>Peripherals</v>
      </c>
      <c r="E121" s="5" t="str">
        <v>West</v>
      </c>
      <c r="F121" s="5" t="str">
        <v>May-2025</v>
      </c>
      <c r="G121" s="5">
        <v>134204</v>
      </c>
      <c r="H121" s="5">
        <v>2</v>
      </c>
      <c r="I121" s="5">
        <v>91430</v>
      </c>
      <c r="J121" s="10"/>
      <c r="L121" s="5" t="str">
        <v>ORD1714</v>
      </c>
      <c r="M121" s="5" t="str">
        <v>Phone</v>
      </c>
      <c r="N121" s="5" t="str">
        <v>Electronics</v>
      </c>
      <c r="O121" s="5" t="str">
        <v>North</v>
      </c>
      <c r="P121" s="5" t="str">
        <v>Jul-2025</v>
      </c>
      <c r="Q121" s="5">
        <v>52219</v>
      </c>
      <c r="R121" s="5">
        <v>6</v>
      </c>
      <c r="S121" s="5">
        <v>34401</v>
      </c>
    </row>
    <row r="122" spans="2:19" x14ac:dyDescent="0.3">
      <c r="B122" s="5" t="str">
        <v>ORD1053</v>
      </c>
      <c r="C122" s="5" t="str">
        <v>Tablet</v>
      </c>
      <c r="D122" s="5" t="str">
        <v>Electronics</v>
      </c>
      <c r="E122" s="5" t="str">
        <v>South</v>
      </c>
      <c r="F122" s="5" t="str">
        <v>Jan-2025</v>
      </c>
      <c r="G122" s="5">
        <v>134187</v>
      </c>
      <c r="H122" s="5">
        <v>10</v>
      </c>
      <c r="I122" s="5">
        <v>86430</v>
      </c>
      <c r="J122" s="10"/>
      <c r="L122" s="5" t="str">
        <v>ORD1717</v>
      </c>
      <c r="M122" s="5" t="str">
        <v>Phone</v>
      </c>
      <c r="N122" s="5" t="str">
        <v>Electronics</v>
      </c>
      <c r="O122" s="5" t="str">
        <v>North</v>
      </c>
      <c r="P122" s="5" t="str">
        <v>Oct-2025</v>
      </c>
      <c r="Q122" s="5">
        <v>122841</v>
      </c>
      <c r="R122" s="5">
        <v>1</v>
      </c>
      <c r="S122" s="5">
        <v>78423</v>
      </c>
    </row>
    <row r="123" spans="2:19" x14ac:dyDescent="0.3">
      <c r="B123" s="5" t="str">
        <v>ORD1772</v>
      </c>
      <c r="C123" s="5" t="str">
        <v>Phone</v>
      </c>
      <c r="D123" s="5" t="str">
        <v>Electronics</v>
      </c>
      <c r="E123" s="5" t="str">
        <v>East</v>
      </c>
      <c r="F123" s="5" t="str">
        <v>Jun-2025</v>
      </c>
      <c r="G123" s="5">
        <v>134183</v>
      </c>
      <c r="H123" s="5">
        <v>12</v>
      </c>
      <c r="I123" s="5">
        <v>84513</v>
      </c>
      <c r="J123" s="10"/>
      <c r="L123" s="5" t="str">
        <v>ORD1719</v>
      </c>
      <c r="M123" s="5" t="str">
        <v>Phone</v>
      </c>
      <c r="N123" s="5" t="str">
        <v>Electronics</v>
      </c>
      <c r="O123" s="5" t="str">
        <v>North</v>
      </c>
      <c r="P123" s="5" t="str">
        <v>Apr-2025</v>
      </c>
      <c r="Q123" s="5">
        <v>94251</v>
      </c>
      <c r="R123" s="5">
        <v>2</v>
      </c>
      <c r="S123" s="5">
        <v>62522</v>
      </c>
    </row>
    <row r="124" spans="2:19" x14ac:dyDescent="0.3">
      <c r="B124" s="5" t="str">
        <v>ORD1235</v>
      </c>
      <c r="C124" s="5" t="str">
        <v>Printer</v>
      </c>
      <c r="D124" s="5" t="str">
        <v>Peripherals</v>
      </c>
      <c r="E124" s="5" t="str">
        <v>West</v>
      </c>
      <c r="F124" s="5" t="str">
        <v>Dec-2025</v>
      </c>
      <c r="G124" s="5">
        <v>134139</v>
      </c>
      <c r="H124" s="5">
        <v>5</v>
      </c>
      <c r="I124" s="5">
        <v>93012</v>
      </c>
      <c r="J124" s="10"/>
      <c r="L124" s="5" t="str">
        <v>ORD1720</v>
      </c>
      <c r="M124" s="5" t="str">
        <v>Tablet</v>
      </c>
      <c r="N124" s="5" t="str">
        <v>Electronics</v>
      </c>
      <c r="O124" s="5" t="str">
        <v>North</v>
      </c>
      <c r="P124" s="5" t="str">
        <v>Feb-2025</v>
      </c>
      <c r="Q124" s="5">
        <v>56820</v>
      </c>
      <c r="R124" s="5">
        <v>9</v>
      </c>
      <c r="S124" s="5">
        <v>37556</v>
      </c>
    </row>
    <row r="125" spans="2:19" x14ac:dyDescent="0.3">
      <c r="B125" s="5" t="str">
        <v>ORD1901</v>
      </c>
      <c r="C125" s="5" t="str">
        <v>Tablet</v>
      </c>
      <c r="D125" s="5" t="str">
        <v>Electronics</v>
      </c>
      <c r="E125" s="5" t="str">
        <v>North</v>
      </c>
      <c r="F125" s="5" t="str">
        <v>May-2025</v>
      </c>
      <c r="G125" s="5">
        <v>134000</v>
      </c>
      <c r="H125" s="5">
        <v>14</v>
      </c>
      <c r="I125" s="5">
        <v>81819</v>
      </c>
      <c r="J125" s="10"/>
      <c r="L125" s="5" t="str">
        <v>ORD1721</v>
      </c>
      <c r="M125" s="5" t="str">
        <v>Keyboard</v>
      </c>
      <c r="N125" s="5" t="str">
        <v>Peripherals</v>
      </c>
      <c r="O125" s="5" t="str">
        <v>North</v>
      </c>
      <c r="P125" s="5" t="str">
        <v>Nov-2025</v>
      </c>
      <c r="Q125" s="5">
        <v>52495</v>
      </c>
      <c r="R125" s="5">
        <v>6</v>
      </c>
      <c r="S125" s="5">
        <v>35835</v>
      </c>
    </row>
    <row r="126" spans="2:19" x14ac:dyDescent="0.3">
      <c r="B126" s="5" t="str">
        <v>ORD1158</v>
      </c>
      <c r="C126" s="5" t="str">
        <v>Headphones</v>
      </c>
      <c r="D126" s="5" t="str">
        <v>Accessories</v>
      </c>
      <c r="E126" s="5" t="str">
        <v>North</v>
      </c>
      <c r="F126" s="5" t="str">
        <v>Nov-2025</v>
      </c>
      <c r="G126" s="5">
        <v>133931</v>
      </c>
      <c r="H126" s="5">
        <v>7</v>
      </c>
      <c r="I126" s="5">
        <v>91410</v>
      </c>
      <c r="J126" s="10"/>
      <c r="L126" s="5" t="str">
        <v>ORD1723</v>
      </c>
      <c r="M126" s="5" t="str">
        <v>Headphones</v>
      </c>
      <c r="N126" s="5" t="str">
        <v>Accessories</v>
      </c>
      <c r="O126" s="5" t="str">
        <v>North</v>
      </c>
      <c r="P126" s="5" t="str">
        <v>Feb-2025</v>
      </c>
      <c r="Q126" s="5">
        <v>65308</v>
      </c>
      <c r="R126" s="5">
        <v>4</v>
      </c>
      <c r="S126" s="5">
        <v>46015</v>
      </c>
    </row>
    <row r="127" spans="2:19" x14ac:dyDescent="0.3">
      <c r="B127" s="5" t="str">
        <v>ORD1360</v>
      </c>
      <c r="C127" s="5" t="str">
        <v>Laptop</v>
      </c>
      <c r="D127" s="5" t="str">
        <v>Electronics</v>
      </c>
      <c r="E127" s="5" t="str">
        <v>North</v>
      </c>
      <c r="F127" s="5" t="str">
        <v>Nov-2025</v>
      </c>
      <c r="G127" s="5">
        <v>133891</v>
      </c>
      <c r="H127" s="5">
        <v>13</v>
      </c>
      <c r="I127" s="5">
        <v>99552</v>
      </c>
      <c r="J127" s="10"/>
      <c r="L127" s="5" t="str">
        <v>ORD1728</v>
      </c>
      <c r="M127" s="5" t="str">
        <v>Laptop</v>
      </c>
      <c r="N127" s="5" t="str">
        <v>Electronics</v>
      </c>
      <c r="O127" s="5" t="str">
        <v>North</v>
      </c>
      <c r="P127" s="5" t="str">
        <v>Sep-2025</v>
      </c>
      <c r="Q127" s="5">
        <v>62343</v>
      </c>
      <c r="R127" s="5">
        <v>1</v>
      </c>
      <c r="S127" s="5">
        <v>44981</v>
      </c>
    </row>
    <row r="128" spans="2:19" x14ac:dyDescent="0.3">
      <c r="B128" s="5" t="str">
        <v>ORD1155</v>
      </c>
      <c r="C128" s="5" t="str">
        <v>Laptop</v>
      </c>
      <c r="D128" s="5" t="str">
        <v>Electronics</v>
      </c>
      <c r="E128" s="5" t="str">
        <v>West</v>
      </c>
      <c r="F128" s="5" t="str">
        <v>Oct-2025</v>
      </c>
      <c r="G128" s="5">
        <v>133656</v>
      </c>
      <c r="H128" s="5">
        <v>2</v>
      </c>
      <c r="I128" s="5">
        <v>85477</v>
      </c>
      <c r="J128" s="10"/>
      <c r="L128" s="5" t="str">
        <v>ORD1735</v>
      </c>
      <c r="M128" s="5" t="str">
        <v>Keyboard</v>
      </c>
      <c r="N128" s="5" t="str">
        <v>Peripherals</v>
      </c>
      <c r="O128" s="5" t="str">
        <v>North</v>
      </c>
      <c r="P128" s="5" t="str">
        <v>Oct-2025</v>
      </c>
      <c r="Q128" s="5">
        <v>113252</v>
      </c>
      <c r="R128" s="5">
        <v>14</v>
      </c>
      <c r="S128" s="5">
        <v>83568</v>
      </c>
    </row>
    <row r="129" spans="2:19" x14ac:dyDescent="0.3">
      <c r="B129" s="5" t="str">
        <v>ORD1921</v>
      </c>
      <c r="C129" s="5" t="str">
        <v>Laptop</v>
      </c>
      <c r="D129" s="5" t="str">
        <v>Electronics</v>
      </c>
      <c r="E129" s="5" t="str">
        <v>East</v>
      </c>
      <c r="F129" s="5" t="str">
        <v>Jan-2025</v>
      </c>
      <c r="G129" s="5">
        <v>133432</v>
      </c>
      <c r="H129" s="5">
        <v>6</v>
      </c>
      <c r="I129" s="5">
        <v>80075</v>
      </c>
      <c r="J129" s="10"/>
      <c r="L129" s="5" t="str">
        <v>ORD1742</v>
      </c>
      <c r="M129" s="5" t="str">
        <v>Printer</v>
      </c>
      <c r="N129" s="5" t="str">
        <v>Peripherals</v>
      </c>
      <c r="O129" s="5" t="str">
        <v>North</v>
      </c>
      <c r="P129" s="5" t="str">
        <v>Aug-2025</v>
      </c>
      <c r="Q129" s="5">
        <v>60530</v>
      </c>
      <c r="R129" s="5">
        <v>2</v>
      </c>
      <c r="S129" s="5">
        <v>42801</v>
      </c>
    </row>
    <row r="130" spans="2:19" x14ac:dyDescent="0.3">
      <c r="B130" s="5" t="str">
        <v>ORD1316</v>
      </c>
      <c r="C130" s="5" t="str">
        <v>Mouse</v>
      </c>
      <c r="D130" s="5" t="str">
        <v>Accessories</v>
      </c>
      <c r="E130" s="5" t="str">
        <v>East</v>
      </c>
      <c r="F130" s="5" t="str">
        <v>Jun-2025</v>
      </c>
      <c r="G130" s="5">
        <v>133306</v>
      </c>
      <c r="H130" s="5">
        <v>12</v>
      </c>
      <c r="I130" s="5">
        <v>98066</v>
      </c>
      <c r="J130" s="10"/>
      <c r="L130" s="5" t="str">
        <v>ORD1748</v>
      </c>
      <c r="M130" s="5" t="str">
        <v>Printer</v>
      </c>
      <c r="N130" s="5" t="str">
        <v>Peripherals</v>
      </c>
      <c r="O130" s="5" t="str">
        <v>North</v>
      </c>
      <c r="P130" s="5" t="str">
        <v>Dec-2025</v>
      </c>
      <c r="Q130" s="5">
        <v>57346</v>
      </c>
      <c r="R130" s="5">
        <v>12</v>
      </c>
      <c r="S130" s="5">
        <v>36484</v>
      </c>
    </row>
    <row r="131" spans="2:19" x14ac:dyDescent="0.3">
      <c r="B131" s="5" t="str">
        <v>ORD1134</v>
      </c>
      <c r="C131" s="5" t="str">
        <v>Tablet</v>
      </c>
      <c r="D131" s="5" t="str">
        <v>Electronics</v>
      </c>
      <c r="E131" s="5" t="str">
        <v>North</v>
      </c>
      <c r="F131" s="5" t="str">
        <v>May-2025</v>
      </c>
      <c r="G131" s="5">
        <v>133271</v>
      </c>
      <c r="H131" s="5">
        <v>2</v>
      </c>
      <c r="I131" s="5">
        <v>98196</v>
      </c>
      <c r="J131" s="10"/>
      <c r="L131" s="5" t="str">
        <v>ORD1749</v>
      </c>
      <c r="M131" s="5" t="str">
        <v>Mouse</v>
      </c>
      <c r="N131" s="5" t="str">
        <v>Accessories</v>
      </c>
      <c r="O131" s="5" t="str">
        <v>North</v>
      </c>
      <c r="P131" s="5" t="str">
        <v>Jun-2025</v>
      </c>
      <c r="Q131" s="5">
        <v>82372</v>
      </c>
      <c r="R131" s="5">
        <v>5</v>
      </c>
      <c r="S131" s="5">
        <v>52539</v>
      </c>
    </row>
    <row r="132" spans="2:19" x14ac:dyDescent="0.3">
      <c r="B132" s="5" t="str">
        <v>ORD1688</v>
      </c>
      <c r="C132" s="5" t="str">
        <v>Mouse</v>
      </c>
      <c r="D132" s="5" t="str">
        <v>Accessories</v>
      </c>
      <c r="E132" s="5" t="str">
        <v>North</v>
      </c>
      <c r="F132" s="5" t="str">
        <v>Dec-2025</v>
      </c>
      <c r="G132" s="5">
        <v>133136</v>
      </c>
      <c r="H132" s="5">
        <v>14</v>
      </c>
      <c r="I132" s="5">
        <v>84531</v>
      </c>
      <c r="J132" s="10"/>
      <c r="L132" s="5" t="str">
        <v>ORD1754</v>
      </c>
      <c r="M132" s="5" t="str">
        <v>Phone</v>
      </c>
      <c r="N132" s="5" t="str">
        <v>Electronics</v>
      </c>
      <c r="O132" s="5" t="str">
        <v>North</v>
      </c>
      <c r="P132" s="5" t="str">
        <v>Jan-2025</v>
      </c>
      <c r="Q132" s="5">
        <v>144736</v>
      </c>
      <c r="R132" s="5">
        <v>10</v>
      </c>
      <c r="S132" s="5">
        <v>104652</v>
      </c>
    </row>
    <row r="133" spans="2:19" x14ac:dyDescent="0.3">
      <c r="B133" s="5" t="str">
        <v>ORD1175</v>
      </c>
      <c r="C133" s="5" t="str">
        <v>Laptop</v>
      </c>
      <c r="D133" s="5" t="str">
        <v>Electronics</v>
      </c>
      <c r="E133" s="5" t="str">
        <v>North</v>
      </c>
      <c r="F133" s="5" t="str">
        <v>Dec-2025</v>
      </c>
      <c r="G133" s="5">
        <v>133029</v>
      </c>
      <c r="H133" s="5">
        <v>14</v>
      </c>
      <c r="I133" s="5">
        <v>80290</v>
      </c>
      <c r="J133" s="10"/>
      <c r="L133" s="5" t="str">
        <v>ORD1758</v>
      </c>
      <c r="M133" s="5" t="str">
        <v>Keyboard</v>
      </c>
      <c r="N133" s="5" t="str">
        <v>Peripherals</v>
      </c>
      <c r="O133" s="5" t="str">
        <v>North</v>
      </c>
      <c r="P133" s="5" t="str">
        <v>Jan-2025</v>
      </c>
      <c r="Q133" s="5">
        <v>90937</v>
      </c>
      <c r="R133" s="5">
        <v>9</v>
      </c>
      <c r="S133" s="5">
        <v>64876</v>
      </c>
    </row>
    <row r="134" spans="2:19" x14ac:dyDescent="0.3">
      <c r="B134" s="5" t="str">
        <v>ORD1833</v>
      </c>
      <c r="C134" s="5" t="str">
        <v>Monitor</v>
      </c>
      <c r="D134" s="5" t="str">
        <v>Peripherals</v>
      </c>
      <c r="E134" s="5" t="str">
        <v>West</v>
      </c>
      <c r="F134" s="5" t="str">
        <v>Feb-2025</v>
      </c>
      <c r="G134" s="5">
        <v>132905</v>
      </c>
      <c r="H134" s="5">
        <v>10</v>
      </c>
      <c r="I134" s="5">
        <v>91755</v>
      </c>
      <c r="J134" s="10"/>
      <c r="L134" s="5" t="str">
        <v>ORD1759</v>
      </c>
      <c r="M134" s="5" t="str">
        <v>Monitor</v>
      </c>
      <c r="N134" s="5" t="str">
        <v>Peripherals</v>
      </c>
      <c r="O134" s="5" t="str">
        <v>North</v>
      </c>
      <c r="P134" s="5" t="str">
        <v>Mar-2025</v>
      </c>
      <c r="Q134" s="5">
        <v>134933</v>
      </c>
      <c r="R134" s="5">
        <v>14</v>
      </c>
      <c r="S134" s="5">
        <v>99388</v>
      </c>
    </row>
    <row r="135" spans="2:19" x14ac:dyDescent="0.3">
      <c r="B135" s="5" t="str">
        <v>ORD1560</v>
      </c>
      <c r="C135" s="5" t="str">
        <v>Phone</v>
      </c>
      <c r="D135" s="5" t="str">
        <v>Electronics</v>
      </c>
      <c r="E135" s="5" t="str">
        <v>South</v>
      </c>
      <c r="F135" s="5" t="str">
        <v>Apr-2025</v>
      </c>
      <c r="G135" s="5">
        <v>132737</v>
      </c>
      <c r="H135" s="5">
        <v>10</v>
      </c>
      <c r="I135" s="5">
        <v>83654</v>
      </c>
      <c r="J135" s="10"/>
      <c r="L135" s="5" t="str">
        <v>ORD1768</v>
      </c>
      <c r="M135" s="5" t="str">
        <v>Laptop</v>
      </c>
      <c r="N135" s="5" t="str">
        <v>Electronics</v>
      </c>
      <c r="O135" s="5" t="str">
        <v>North</v>
      </c>
      <c r="P135" s="5" t="str">
        <v>Feb-2025</v>
      </c>
      <c r="Q135" s="5">
        <v>94700</v>
      </c>
      <c r="R135" s="5">
        <v>10</v>
      </c>
      <c r="S135" s="5">
        <v>61088</v>
      </c>
    </row>
    <row r="136" spans="2:19" x14ac:dyDescent="0.3">
      <c r="B136" s="5" t="str">
        <v>ORD1835</v>
      </c>
      <c r="C136" s="5" t="str">
        <v>Keyboard</v>
      </c>
      <c r="D136" s="5" t="str">
        <v>Peripherals</v>
      </c>
      <c r="E136" s="5" t="str">
        <v>West</v>
      </c>
      <c r="F136" s="5" t="str">
        <v>May-2025</v>
      </c>
      <c r="G136" s="5">
        <v>132710</v>
      </c>
      <c r="H136" s="5">
        <v>8</v>
      </c>
      <c r="I136" s="5">
        <v>84553</v>
      </c>
      <c r="J136" s="10"/>
      <c r="L136" s="5" t="str">
        <v>ORD1774</v>
      </c>
      <c r="M136" s="5" t="str">
        <v>Keyboard</v>
      </c>
      <c r="N136" s="5" t="str">
        <v>Peripherals</v>
      </c>
      <c r="O136" s="5" t="str">
        <v>North</v>
      </c>
      <c r="P136" s="5" t="str">
        <v>Dec-2025</v>
      </c>
      <c r="Q136" s="5">
        <v>140063</v>
      </c>
      <c r="R136" s="5">
        <v>8</v>
      </c>
      <c r="S136" s="5">
        <v>88865</v>
      </c>
    </row>
    <row r="137" spans="2:19" x14ac:dyDescent="0.3">
      <c r="B137" s="5" t="str">
        <v>ORD1069</v>
      </c>
      <c r="C137" s="5" t="str">
        <v>Mouse</v>
      </c>
      <c r="D137" s="5" t="str">
        <v>Accessories</v>
      </c>
      <c r="E137" s="5" t="str">
        <v>South</v>
      </c>
      <c r="F137" s="5" t="str">
        <v>Oct-2025</v>
      </c>
      <c r="G137" s="5">
        <v>132620</v>
      </c>
      <c r="H137" s="5">
        <v>12</v>
      </c>
      <c r="I137" s="5">
        <v>95104</v>
      </c>
      <c r="J137" s="10"/>
      <c r="L137" s="5" t="str">
        <v>ORD1780</v>
      </c>
      <c r="M137" s="5" t="str">
        <v>Headphones</v>
      </c>
      <c r="N137" s="5" t="str">
        <v>Accessories</v>
      </c>
      <c r="O137" s="5" t="str">
        <v>North</v>
      </c>
      <c r="P137" s="5" t="str">
        <v>Jun-2025</v>
      </c>
      <c r="Q137" s="5">
        <v>102340</v>
      </c>
      <c r="R137" s="5">
        <v>15</v>
      </c>
      <c r="S137" s="5">
        <v>74629</v>
      </c>
    </row>
    <row r="138" spans="2:19" x14ac:dyDescent="0.3">
      <c r="B138" s="5" t="str">
        <v>ORD1864</v>
      </c>
      <c r="C138" s="5" t="str">
        <v>Headphones</v>
      </c>
      <c r="D138" s="5" t="str">
        <v>Accessories</v>
      </c>
      <c r="E138" s="5" t="str">
        <v>East</v>
      </c>
      <c r="F138" s="5" t="str">
        <v>Sep-2025</v>
      </c>
      <c r="G138" s="5">
        <v>132573</v>
      </c>
      <c r="H138" s="5">
        <v>11</v>
      </c>
      <c r="I138" s="5">
        <v>88052</v>
      </c>
      <c r="J138" s="10"/>
      <c r="L138" s="5" t="str">
        <v>ORD1783</v>
      </c>
      <c r="M138" s="5" t="str">
        <v>Tablet</v>
      </c>
      <c r="N138" s="5" t="str">
        <v>Electronics</v>
      </c>
      <c r="O138" s="5" t="str">
        <v>North</v>
      </c>
      <c r="P138" s="5" t="str">
        <v>Feb-2025</v>
      </c>
      <c r="Q138" s="5">
        <v>109826</v>
      </c>
      <c r="R138" s="5">
        <v>10</v>
      </c>
      <c r="S138" s="5">
        <v>67440</v>
      </c>
    </row>
    <row r="139" spans="2:19" x14ac:dyDescent="0.3">
      <c r="B139" s="5" t="str">
        <v>ORD1264</v>
      </c>
      <c r="C139" s="5" t="str">
        <v>Laptop</v>
      </c>
      <c r="D139" s="5" t="str">
        <v>Electronics</v>
      </c>
      <c r="E139" s="5" t="str">
        <v>East</v>
      </c>
      <c r="F139" s="5" t="str">
        <v>Nov-2025</v>
      </c>
      <c r="G139" s="5">
        <v>132479</v>
      </c>
      <c r="H139" s="5">
        <v>12</v>
      </c>
      <c r="I139" s="5">
        <v>86391</v>
      </c>
      <c r="J139" s="10"/>
      <c r="L139" s="5" t="str">
        <v>ORD1785</v>
      </c>
      <c r="M139" s="5" t="str">
        <v>Tablet</v>
      </c>
      <c r="N139" s="5" t="str">
        <v>Electronics</v>
      </c>
      <c r="O139" s="5" t="str">
        <v>North</v>
      </c>
      <c r="P139" s="5" t="str">
        <v>Jan-2025</v>
      </c>
      <c r="Q139" s="5">
        <v>112572</v>
      </c>
      <c r="R139" s="5">
        <v>4</v>
      </c>
      <c r="S139" s="5">
        <v>80448</v>
      </c>
    </row>
    <row r="140" spans="2:19" x14ac:dyDescent="0.3">
      <c r="B140" s="5" t="str">
        <v>ORD1868</v>
      </c>
      <c r="C140" s="5" t="str">
        <v>Printer</v>
      </c>
      <c r="D140" s="5" t="str">
        <v>Peripherals</v>
      </c>
      <c r="E140" s="5" t="str">
        <v>South</v>
      </c>
      <c r="F140" s="5" t="str">
        <v>Oct-2025</v>
      </c>
      <c r="G140" s="5">
        <v>131822</v>
      </c>
      <c r="H140" s="5">
        <v>8</v>
      </c>
      <c r="I140" s="5">
        <v>93366</v>
      </c>
      <c r="J140" s="10"/>
      <c r="L140" s="5" t="str">
        <v>ORD1787</v>
      </c>
      <c r="M140" s="5" t="str">
        <v>Laptop</v>
      </c>
      <c r="N140" s="5" t="str">
        <v>Electronics</v>
      </c>
      <c r="O140" s="5" t="str">
        <v>North</v>
      </c>
      <c r="P140" s="5" t="str">
        <v>Aug-2025</v>
      </c>
      <c r="Q140" s="5">
        <v>139628</v>
      </c>
      <c r="R140" s="5">
        <v>6</v>
      </c>
      <c r="S140" s="5">
        <v>87589</v>
      </c>
    </row>
    <row r="141" spans="2:19" x14ac:dyDescent="0.3">
      <c r="B141" s="5" t="str">
        <v>ORD1071</v>
      </c>
      <c r="C141" s="5" t="str">
        <v>Printer</v>
      </c>
      <c r="D141" s="5" t="str">
        <v>Peripherals</v>
      </c>
      <c r="E141" s="5" t="str">
        <v>South</v>
      </c>
      <c r="F141" s="5" t="str">
        <v>Jul-2025</v>
      </c>
      <c r="G141" s="5">
        <v>131803</v>
      </c>
      <c r="H141" s="5">
        <v>7</v>
      </c>
      <c r="I141" s="5">
        <v>82081</v>
      </c>
      <c r="J141" s="10"/>
      <c r="L141" s="5" t="str">
        <v>ORD1795</v>
      </c>
      <c r="M141" s="5" t="str">
        <v>Tablet</v>
      </c>
      <c r="N141" s="5" t="str">
        <v>Electronics</v>
      </c>
      <c r="O141" s="5" t="str">
        <v>North</v>
      </c>
      <c r="P141" s="5" t="str">
        <v>Feb-2025</v>
      </c>
      <c r="Q141" s="5">
        <v>83210</v>
      </c>
      <c r="R141" s="5">
        <v>15</v>
      </c>
      <c r="S141" s="5">
        <v>61165</v>
      </c>
    </row>
    <row r="142" spans="2:19" x14ac:dyDescent="0.3">
      <c r="B142" s="5" t="str">
        <v>ORD1079</v>
      </c>
      <c r="C142" s="5" t="str">
        <v>Tablet</v>
      </c>
      <c r="D142" s="5" t="str">
        <v>Electronics</v>
      </c>
      <c r="E142" s="5" t="str">
        <v>North</v>
      </c>
      <c r="F142" s="5" t="str">
        <v>Sep-2025</v>
      </c>
      <c r="G142" s="5">
        <v>131739</v>
      </c>
      <c r="H142" s="5">
        <v>14</v>
      </c>
      <c r="I142" s="5">
        <v>92497</v>
      </c>
      <c r="J142" s="10"/>
      <c r="L142" s="5" t="str">
        <v>ORD1796</v>
      </c>
      <c r="M142" s="5" t="str">
        <v>Headphones</v>
      </c>
      <c r="N142" s="5" t="str">
        <v>Accessories</v>
      </c>
      <c r="O142" s="5" t="str">
        <v>North</v>
      </c>
      <c r="P142" s="5" t="str">
        <v>Feb-2025</v>
      </c>
      <c r="Q142" s="5">
        <v>135210</v>
      </c>
      <c r="R142" s="5">
        <v>4</v>
      </c>
      <c r="S142" s="5">
        <v>99867</v>
      </c>
    </row>
    <row r="143" spans="2:19" x14ac:dyDescent="0.3">
      <c r="B143" s="5" t="str">
        <v>ORD1584</v>
      </c>
      <c r="C143" s="5" t="str">
        <v>Tablet</v>
      </c>
      <c r="D143" s="5" t="str">
        <v>Electronics</v>
      </c>
      <c r="E143" s="5" t="str">
        <v>North</v>
      </c>
      <c r="F143" s="5" t="str">
        <v>Mar-2025</v>
      </c>
      <c r="G143" s="5">
        <v>131443</v>
      </c>
      <c r="H143" s="5">
        <v>15</v>
      </c>
      <c r="I143" s="5">
        <v>94840</v>
      </c>
      <c r="J143" s="10"/>
      <c r="L143" s="5" t="str">
        <v>ORD1803</v>
      </c>
      <c r="M143" s="5" t="str">
        <v>Laptop</v>
      </c>
      <c r="N143" s="5" t="str">
        <v>Electronics</v>
      </c>
      <c r="O143" s="5" t="str">
        <v>North</v>
      </c>
      <c r="P143" s="5" t="str">
        <v>Nov-2025</v>
      </c>
      <c r="Q143" s="5">
        <v>98330</v>
      </c>
      <c r="R143" s="5">
        <v>13</v>
      </c>
      <c r="S143" s="5">
        <v>62034</v>
      </c>
    </row>
    <row r="144" spans="2:19" x14ac:dyDescent="0.3">
      <c r="B144" s="5" t="str">
        <v>ORD1038</v>
      </c>
      <c r="C144" s="5" t="str">
        <v>Mouse</v>
      </c>
      <c r="D144" s="5" t="str">
        <v>Accessories</v>
      </c>
      <c r="E144" s="5" t="str">
        <v>North</v>
      </c>
      <c r="F144" s="5" t="str">
        <v>Mar-2025</v>
      </c>
      <c r="G144" s="5">
        <v>131259</v>
      </c>
      <c r="H144" s="5">
        <v>4</v>
      </c>
      <c r="I144" s="5">
        <v>89416</v>
      </c>
      <c r="J144" s="10"/>
      <c r="L144" s="5" t="str">
        <v>ORD1810</v>
      </c>
      <c r="M144" s="5" t="str">
        <v>Printer</v>
      </c>
      <c r="N144" s="5" t="str">
        <v>Peripherals</v>
      </c>
      <c r="O144" s="5" t="str">
        <v>North</v>
      </c>
      <c r="P144" s="5" t="str">
        <v>Jul-2025</v>
      </c>
      <c r="Q144" s="5">
        <v>98912</v>
      </c>
      <c r="R144" s="5">
        <v>4</v>
      </c>
      <c r="S144" s="5">
        <v>66082</v>
      </c>
    </row>
    <row r="145" spans="2:19" x14ac:dyDescent="0.3">
      <c r="B145" s="5" t="str">
        <v>ORD1639</v>
      </c>
      <c r="C145" s="5" t="str">
        <v>Keyboard</v>
      </c>
      <c r="D145" s="5" t="str">
        <v>Peripherals</v>
      </c>
      <c r="E145" s="5" t="str">
        <v>West</v>
      </c>
      <c r="F145" s="5" t="str">
        <v>Nov-2025</v>
      </c>
      <c r="G145" s="5">
        <v>131110</v>
      </c>
      <c r="H145" s="5">
        <v>10</v>
      </c>
      <c r="I145" s="5">
        <v>89084</v>
      </c>
      <c r="J145" s="10"/>
      <c r="L145" s="5" t="str">
        <v>ORD1813</v>
      </c>
      <c r="M145" s="5" t="str">
        <v>Printer</v>
      </c>
      <c r="N145" s="5" t="str">
        <v>Peripherals</v>
      </c>
      <c r="O145" s="5" t="str">
        <v>North</v>
      </c>
      <c r="P145" s="5" t="str">
        <v>Apr-2025</v>
      </c>
      <c r="Q145" s="5">
        <v>125700</v>
      </c>
      <c r="R145" s="5">
        <v>1</v>
      </c>
      <c r="S145" s="5">
        <v>85210</v>
      </c>
    </row>
    <row r="146" spans="2:19" x14ac:dyDescent="0.3">
      <c r="B146" s="5" t="str">
        <v>ORD1063</v>
      </c>
      <c r="C146" s="5" t="str">
        <v>Headphones</v>
      </c>
      <c r="D146" s="5" t="str">
        <v>Accessories</v>
      </c>
      <c r="E146" s="5" t="str">
        <v>North</v>
      </c>
      <c r="F146" s="5" t="str">
        <v>Sep-2025</v>
      </c>
      <c r="G146" s="5">
        <v>130698</v>
      </c>
      <c r="H146" s="5">
        <v>8</v>
      </c>
      <c r="I146" s="5">
        <v>92773</v>
      </c>
      <c r="J146" s="10"/>
      <c r="L146" s="5" t="str">
        <v>ORD1818</v>
      </c>
      <c r="M146" s="5" t="str">
        <v>Phone</v>
      </c>
      <c r="N146" s="5" t="str">
        <v>Electronics</v>
      </c>
      <c r="O146" s="5" t="str">
        <v>North</v>
      </c>
      <c r="P146" s="5" t="str">
        <v>Feb-2025</v>
      </c>
      <c r="Q146" s="5">
        <v>97700</v>
      </c>
      <c r="R146" s="5">
        <v>2</v>
      </c>
      <c r="S146" s="5">
        <v>72059</v>
      </c>
    </row>
    <row r="147" spans="2:19" x14ac:dyDescent="0.3">
      <c r="B147" s="5" t="str">
        <v>ORD1365</v>
      </c>
      <c r="C147" s="5" t="str">
        <v>Printer</v>
      </c>
      <c r="D147" s="5" t="str">
        <v>Peripherals</v>
      </c>
      <c r="E147" s="5" t="str">
        <v>East</v>
      </c>
      <c r="F147" s="5" t="str">
        <v>Apr-2025</v>
      </c>
      <c r="G147" s="5">
        <v>130570</v>
      </c>
      <c r="H147" s="5">
        <v>9</v>
      </c>
      <c r="I147" s="5">
        <v>83359</v>
      </c>
      <c r="J147" s="10"/>
      <c r="L147" s="5" t="str">
        <v>ORD1823</v>
      </c>
      <c r="M147" s="5" t="str">
        <v>Keyboard</v>
      </c>
      <c r="N147" s="5" t="str">
        <v>Peripherals</v>
      </c>
      <c r="O147" s="5" t="str">
        <v>North</v>
      </c>
      <c r="P147" s="5" t="str">
        <v>Apr-2025</v>
      </c>
      <c r="Q147" s="5">
        <v>120023</v>
      </c>
      <c r="R147" s="5">
        <v>6</v>
      </c>
      <c r="S147" s="5">
        <v>87801</v>
      </c>
    </row>
    <row r="148" spans="2:19" x14ac:dyDescent="0.3">
      <c r="B148" s="5" t="str">
        <v>ORD1177</v>
      </c>
      <c r="C148" s="5" t="str">
        <v>Laptop</v>
      </c>
      <c r="D148" s="5" t="str">
        <v>Electronics</v>
      </c>
      <c r="E148" s="5" t="str">
        <v>South</v>
      </c>
      <c r="F148" s="5" t="str">
        <v>Apr-2025</v>
      </c>
      <c r="G148" s="5">
        <v>130419</v>
      </c>
      <c r="H148" s="5">
        <v>1</v>
      </c>
      <c r="I148" s="5">
        <v>81558</v>
      </c>
      <c r="J148" s="10"/>
      <c r="L148" s="5" t="str">
        <v>ORD1831</v>
      </c>
      <c r="M148" s="5" t="str">
        <v>Tablet</v>
      </c>
      <c r="N148" s="5" t="str">
        <v>Electronics</v>
      </c>
      <c r="O148" s="5" t="str">
        <v>North</v>
      </c>
      <c r="P148" s="5" t="str">
        <v>Jul-2025</v>
      </c>
      <c r="Q148" s="5">
        <v>85341</v>
      </c>
      <c r="R148" s="5">
        <v>4</v>
      </c>
      <c r="S148" s="5">
        <v>56016</v>
      </c>
    </row>
    <row r="149" spans="2:19" x14ac:dyDescent="0.3">
      <c r="B149" s="5" t="str">
        <v>ORD1489</v>
      </c>
      <c r="C149" s="5" t="str">
        <v>Printer</v>
      </c>
      <c r="D149" s="5" t="str">
        <v>Peripherals</v>
      </c>
      <c r="E149" s="5" t="str">
        <v>West</v>
      </c>
      <c r="F149" s="5" t="str">
        <v>May-2025</v>
      </c>
      <c r="G149" s="5">
        <v>130306</v>
      </c>
      <c r="H149" s="5">
        <v>8</v>
      </c>
      <c r="I149" s="5">
        <v>80262</v>
      </c>
      <c r="J149" s="10"/>
      <c r="L149" s="5" t="str">
        <v>ORD1838</v>
      </c>
      <c r="M149" s="5" t="str">
        <v>Phone</v>
      </c>
      <c r="N149" s="5" t="str">
        <v>Electronics</v>
      </c>
      <c r="O149" s="5" t="str">
        <v>North</v>
      </c>
      <c r="P149" s="5" t="str">
        <v>Oct-2025</v>
      </c>
      <c r="Q149" s="5">
        <v>54455</v>
      </c>
      <c r="R149" s="5">
        <v>3</v>
      </c>
      <c r="S149" s="5">
        <v>36788</v>
      </c>
    </row>
    <row r="150" spans="2:19" x14ac:dyDescent="0.3">
      <c r="B150" s="5" t="str">
        <v>ORD1875</v>
      </c>
      <c r="C150" s="5" t="str">
        <v>Printer</v>
      </c>
      <c r="D150" s="5" t="str">
        <v>Peripherals</v>
      </c>
      <c r="E150" s="5" t="str">
        <v>West</v>
      </c>
      <c r="F150" s="5" t="str">
        <v>Mar-2025</v>
      </c>
      <c r="G150" s="5">
        <v>129969</v>
      </c>
      <c r="H150" s="5">
        <v>8</v>
      </c>
      <c r="I150" s="5">
        <v>81309</v>
      </c>
      <c r="J150" s="10"/>
      <c r="L150" s="5" t="str">
        <v>ORD1844</v>
      </c>
      <c r="M150" s="5" t="str">
        <v>Tablet</v>
      </c>
      <c r="N150" s="5" t="str">
        <v>Electronics</v>
      </c>
      <c r="O150" s="5" t="str">
        <v>North</v>
      </c>
      <c r="P150" s="5" t="str">
        <v>Aug-2025</v>
      </c>
      <c r="Q150" s="5">
        <v>76349</v>
      </c>
      <c r="R150" s="5">
        <v>13</v>
      </c>
      <c r="S150" s="5">
        <v>48449</v>
      </c>
    </row>
    <row r="151" spans="2:19" x14ac:dyDescent="0.3">
      <c r="B151" s="5" t="str">
        <v>ORD1400</v>
      </c>
      <c r="C151" s="5" t="str">
        <v>Mouse</v>
      </c>
      <c r="D151" s="5" t="str">
        <v>Accessories</v>
      </c>
      <c r="E151" s="5" t="str">
        <v>West</v>
      </c>
      <c r="F151" s="5" t="str">
        <v>Jan-2025</v>
      </c>
      <c r="G151" s="5">
        <v>129947</v>
      </c>
      <c r="H151" s="5">
        <v>11</v>
      </c>
      <c r="I151" s="5">
        <v>87330</v>
      </c>
      <c r="J151" s="10"/>
      <c r="L151" s="5" t="str">
        <v>ORD1847</v>
      </c>
      <c r="M151" s="5" t="str">
        <v>Printer</v>
      </c>
      <c r="N151" s="5" t="str">
        <v>Peripherals</v>
      </c>
      <c r="O151" s="5" t="str">
        <v>North</v>
      </c>
      <c r="P151" s="5" t="str">
        <v>Feb-2025</v>
      </c>
      <c r="Q151" s="5">
        <v>139778</v>
      </c>
      <c r="R151" s="5">
        <v>13</v>
      </c>
      <c r="S151" s="5">
        <v>91116</v>
      </c>
    </row>
    <row r="152" spans="2:19" x14ac:dyDescent="0.3">
      <c r="B152" s="5" t="str">
        <v>ORD1277</v>
      </c>
      <c r="C152" s="5" t="str">
        <v>Laptop</v>
      </c>
      <c r="D152" s="5" t="str">
        <v>Electronics</v>
      </c>
      <c r="E152" s="5" t="str">
        <v>West</v>
      </c>
      <c r="F152" s="5" t="str">
        <v>Oct-2025</v>
      </c>
      <c r="G152" s="5">
        <v>129885</v>
      </c>
      <c r="H152" s="5">
        <v>4</v>
      </c>
      <c r="I152" s="5">
        <v>86511</v>
      </c>
      <c r="J152" s="10"/>
      <c r="L152" s="5" t="str">
        <v>ORD1849</v>
      </c>
      <c r="M152" s="5" t="str">
        <v>Tablet</v>
      </c>
      <c r="N152" s="5" t="str">
        <v>Electronics</v>
      </c>
      <c r="O152" s="5" t="str">
        <v>North</v>
      </c>
      <c r="P152" s="5" t="str">
        <v>Nov-2025</v>
      </c>
      <c r="Q152" s="5">
        <v>82394</v>
      </c>
      <c r="R152" s="5">
        <v>1</v>
      </c>
      <c r="S152" s="5">
        <v>53008</v>
      </c>
    </row>
    <row r="153" spans="2:19" x14ac:dyDescent="0.3">
      <c r="B153" s="5" t="str">
        <v>ORD1099</v>
      </c>
      <c r="C153" s="5" t="str">
        <v>Laptop</v>
      </c>
      <c r="D153" s="5" t="str">
        <v>Electronics</v>
      </c>
      <c r="E153" s="5" t="str">
        <v>West</v>
      </c>
      <c r="F153" s="5" t="str">
        <v>Sep-2025</v>
      </c>
      <c r="G153" s="5">
        <v>129763</v>
      </c>
      <c r="H153" s="5">
        <v>2</v>
      </c>
      <c r="I153" s="5">
        <v>91305</v>
      </c>
      <c r="J153" s="10"/>
      <c r="L153" s="5" t="str">
        <v>ORD1851</v>
      </c>
      <c r="M153" s="5" t="str">
        <v>Headphones</v>
      </c>
      <c r="N153" s="5" t="str">
        <v>Accessories</v>
      </c>
      <c r="O153" s="5" t="str">
        <v>North</v>
      </c>
      <c r="P153" s="5" t="str">
        <v>Feb-2025</v>
      </c>
      <c r="Q153" s="5">
        <v>72807</v>
      </c>
      <c r="R153" s="5">
        <v>5</v>
      </c>
      <c r="S153" s="5">
        <v>45664</v>
      </c>
    </row>
    <row r="154" spans="2:19" x14ac:dyDescent="0.3">
      <c r="B154" s="5" t="str">
        <v>ORD1017</v>
      </c>
      <c r="C154" s="5" t="str">
        <v>Printer</v>
      </c>
      <c r="D154" s="5" t="str">
        <v>Peripherals</v>
      </c>
      <c r="E154" s="5" t="str">
        <v>North</v>
      </c>
      <c r="F154" s="5" t="str">
        <v>Jul-2025</v>
      </c>
      <c r="G154" s="5">
        <v>129754</v>
      </c>
      <c r="H154" s="5">
        <v>2</v>
      </c>
      <c r="I154" s="5">
        <v>95053</v>
      </c>
      <c r="J154" s="10"/>
      <c r="L154" s="5" t="str">
        <v>ORD1854</v>
      </c>
      <c r="M154" s="5" t="str">
        <v>Keyboard</v>
      </c>
      <c r="N154" s="5" t="str">
        <v>Peripherals</v>
      </c>
      <c r="O154" s="5" t="str">
        <v>North</v>
      </c>
      <c r="P154" s="5" t="str">
        <v>Feb-2025</v>
      </c>
      <c r="Q154" s="5">
        <v>87288</v>
      </c>
      <c r="R154" s="5">
        <v>13</v>
      </c>
      <c r="S154" s="5">
        <v>55090</v>
      </c>
    </row>
    <row r="155" spans="2:19" x14ac:dyDescent="0.3">
      <c r="B155" s="5" t="str">
        <v>ORD1147</v>
      </c>
      <c r="C155" s="5" t="str">
        <v>Monitor</v>
      </c>
      <c r="D155" s="5" t="str">
        <v>Peripherals</v>
      </c>
      <c r="E155" s="5" t="str">
        <v>North</v>
      </c>
      <c r="F155" s="5" t="str">
        <v>Oct-2025</v>
      </c>
      <c r="G155" s="5">
        <v>129552</v>
      </c>
      <c r="H155" s="5">
        <v>9</v>
      </c>
      <c r="I155" s="5">
        <v>92077</v>
      </c>
      <c r="J155" s="10"/>
      <c r="L155" s="5" t="str">
        <v>ORD1857</v>
      </c>
      <c r="M155" s="5" t="str">
        <v>Headphones</v>
      </c>
      <c r="N155" s="5" t="str">
        <v>Accessories</v>
      </c>
      <c r="O155" s="5" t="str">
        <v>North</v>
      </c>
      <c r="P155" s="5" t="str">
        <v>Nov-2025</v>
      </c>
      <c r="Q155" s="5">
        <v>61923</v>
      </c>
      <c r="R155" s="5">
        <v>2</v>
      </c>
      <c r="S155" s="5">
        <v>41727</v>
      </c>
    </row>
    <row r="156" spans="2:19" x14ac:dyDescent="0.3">
      <c r="B156" s="5" t="str">
        <v>ORD1726</v>
      </c>
      <c r="C156" s="5" t="str">
        <v>Laptop</v>
      </c>
      <c r="D156" s="5" t="str">
        <v>Electronics</v>
      </c>
      <c r="E156" s="5" t="str">
        <v>South</v>
      </c>
      <c r="F156" s="5" t="str">
        <v>Dec-2025</v>
      </c>
      <c r="G156" s="5">
        <v>129467</v>
      </c>
      <c r="H156" s="5">
        <v>7</v>
      </c>
      <c r="I156" s="5">
        <v>94898</v>
      </c>
      <c r="J156" s="10"/>
      <c r="L156" s="5" t="str">
        <v>ORD1863</v>
      </c>
      <c r="M156" s="5" t="str">
        <v>Laptop</v>
      </c>
      <c r="N156" s="5" t="str">
        <v>Electronics</v>
      </c>
      <c r="O156" s="5" t="str">
        <v>North</v>
      </c>
      <c r="P156" s="5" t="str">
        <v>Feb-2025</v>
      </c>
      <c r="Q156" s="5">
        <v>84199</v>
      </c>
      <c r="R156" s="5">
        <v>9</v>
      </c>
      <c r="S156" s="5">
        <v>52527</v>
      </c>
    </row>
    <row r="157" spans="2:19" x14ac:dyDescent="0.3">
      <c r="B157" s="5" t="str">
        <v>ORD1434</v>
      </c>
      <c r="C157" s="5" t="str">
        <v>Printer</v>
      </c>
      <c r="D157" s="5" t="str">
        <v>Peripherals</v>
      </c>
      <c r="E157" s="5" t="str">
        <v>East</v>
      </c>
      <c r="F157" s="5" t="str">
        <v>Jan-2025</v>
      </c>
      <c r="G157" s="5">
        <v>129361</v>
      </c>
      <c r="H157" s="5">
        <v>14</v>
      </c>
      <c r="I157" s="5">
        <v>83667</v>
      </c>
      <c r="J157" s="10"/>
      <c r="L157" s="5" t="str">
        <v>ORD1865</v>
      </c>
      <c r="M157" s="5" t="str">
        <v>Phone</v>
      </c>
      <c r="N157" s="5" t="str">
        <v>Electronics</v>
      </c>
      <c r="O157" s="5" t="str">
        <v>North</v>
      </c>
      <c r="P157" s="5" t="str">
        <v>Apr-2025</v>
      </c>
      <c r="Q157" s="5">
        <v>60700</v>
      </c>
      <c r="R157" s="5">
        <v>5</v>
      </c>
      <c r="S157" s="5">
        <v>38890</v>
      </c>
    </row>
    <row r="158" spans="2:19" x14ac:dyDescent="0.3">
      <c r="B158" s="5" t="str">
        <v>ORD1996</v>
      </c>
      <c r="C158" s="5" t="str">
        <v>Tablet</v>
      </c>
      <c r="D158" s="5" t="str">
        <v>Electronics</v>
      </c>
      <c r="E158" s="5" t="str">
        <v>West</v>
      </c>
      <c r="F158" s="5" t="str">
        <v>Mar-2025</v>
      </c>
      <c r="G158" s="5">
        <v>129201</v>
      </c>
      <c r="H158" s="5">
        <v>15</v>
      </c>
      <c r="I158" s="5">
        <v>96621</v>
      </c>
      <c r="J158" s="10"/>
      <c r="L158" s="5" t="str">
        <v>ORD1867</v>
      </c>
      <c r="M158" s="5" t="str">
        <v>Laptop</v>
      </c>
      <c r="N158" s="5" t="str">
        <v>Electronics</v>
      </c>
      <c r="O158" s="5" t="str">
        <v>North</v>
      </c>
      <c r="P158" s="5" t="str">
        <v>Feb-2025</v>
      </c>
      <c r="Q158" s="5">
        <v>87280</v>
      </c>
      <c r="R158" s="5">
        <v>10</v>
      </c>
      <c r="S158" s="5">
        <v>59652</v>
      </c>
    </row>
    <row r="159" spans="2:19" x14ac:dyDescent="0.3">
      <c r="B159" s="5" t="str">
        <v>ORD1108</v>
      </c>
      <c r="C159" s="5" t="str">
        <v>Laptop</v>
      </c>
      <c r="D159" s="5" t="str">
        <v>Electronics</v>
      </c>
      <c r="E159" s="5" t="str">
        <v>North</v>
      </c>
      <c r="F159" s="5" t="str">
        <v>Feb-2025</v>
      </c>
      <c r="G159" s="5">
        <v>129091</v>
      </c>
      <c r="H159" s="5">
        <v>5</v>
      </c>
      <c r="I159" s="5">
        <v>81371</v>
      </c>
      <c r="J159" s="10"/>
      <c r="L159" s="5" t="str">
        <v>ORD1880</v>
      </c>
      <c r="M159" s="5" t="str">
        <v>Phone</v>
      </c>
      <c r="N159" s="5" t="str">
        <v>Electronics</v>
      </c>
      <c r="O159" s="5" t="str">
        <v>North</v>
      </c>
      <c r="P159" s="5" t="str">
        <v>Apr-2025</v>
      </c>
      <c r="Q159" s="5">
        <v>74647</v>
      </c>
      <c r="R159" s="5">
        <v>1</v>
      </c>
      <c r="S159" s="5">
        <v>47076</v>
      </c>
    </row>
    <row r="160" spans="2:19" x14ac:dyDescent="0.3">
      <c r="B160" s="5" t="str">
        <v>ORD1272</v>
      </c>
      <c r="C160" s="5" t="str">
        <v>Printer</v>
      </c>
      <c r="D160" s="5" t="str">
        <v>Peripherals</v>
      </c>
      <c r="E160" s="5" t="str">
        <v>West</v>
      </c>
      <c r="F160" s="5" t="str">
        <v>Mar-2025</v>
      </c>
      <c r="G160" s="5">
        <v>128811</v>
      </c>
      <c r="H160" s="5">
        <v>7</v>
      </c>
      <c r="I160" s="5">
        <v>80161</v>
      </c>
      <c r="J160" s="10"/>
      <c r="L160" s="5" t="str">
        <v>ORD1881</v>
      </c>
      <c r="M160" s="5" t="str">
        <v>Printer</v>
      </c>
      <c r="N160" s="5" t="str">
        <v>Peripherals</v>
      </c>
      <c r="O160" s="5" t="str">
        <v>North</v>
      </c>
      <c r="P160" s="5" t="str">
        <v>Jan-2025</v>
      </c>
      <c r="Q160" s="5">
        <v>60266</v>
      </c>
      <c r="R160" s="5">
        <v>6</v>
      </c>
      <c r="S160" s="5">
        <v>43055</v>
      </c>
    </row>
    <row r="161" spans="2:19" x14ac:dyDescent="0.3">
      <c r="B161" s="5" t="str">
        <v>ORD1010</v>
      </c>
      <c r="C161" s="5" t="str">
        <v>Mouse</v>
      </c>
      <c r="D161" s="5" t="str">
        <v>Accessories</v>
      </c>
      <c r="E161" s="5" t="str">
        <v>South</v>
      </c>
      <c r="F161" s="5" t="str">
        <v>Apr-2025</v>
      </c>
      <c r="G161" s="5">
        <v>128807</v>
      </c>
      <c r="H161" s="5">
        <v>7</v>
      </c>
      <c r="I161" s="5">
        <v>91546</v>
      </c>
      <c r="J161" s="10"/>
      <c r="L161" s="5" t="str">
        <v>ORD1886</v>
      </c>
      <c r="M161" s="5" t="str">
        <v>Phone</v>
      </c>
      <c r="N161" s="5" t="str">
        <v>Electronics</v>
      </c>
      <c r="O161" s="5" t="str">
        <v>North</v>
      </c>
      <c r="P161" s="5" t="str">
        <v>Apr-2025</v>
      </c>
      <c r="Q161" s="5">
        <v>65971</v>
      </c>
      <c r="R161" s="5">
        <v>9</v>
      </c>
      <c r="S161" s="5">
        <v>43460</v>
      </c>
    </row>
    <row r="162" spans="2:19" x14ac:dyDescent="0.3">
      <c r="B162" s="5" t="str">
        <v>ORD1013</v>
      </c>
      <c r="C162" s="5" t="str">
        <v>Printer</v>
      </c>
      <c r="D162" s="5" t="str">
        <v>Peripherals</v>
      </c>
      <c r="E162" s="5" t="str">
        <v>North</v>
      </c>
      <c r="F162" s="5" t="str">
        <v>Nov-2025</v>
      </c>
      <c r="G162" s="5">
        <v>128605</v>
      </c>
      <c r="H162" s="5">
        <v>14</v>
      </c>
      <c r="I162" s="5">
        <v>90511</v>
      </c>
      <c r="J162" s="10"/>
      <c r="L162" s="5" t="str">
        <v>ORD1899</v>
      </c>
      <c r="M162" s="5" t="str">
        <v>Headphones</v>
      </c>
      <c r="N162" s="5" t="str">
        <v>Accessories</v>
      </c>
      <c r="O162" s="5" t="str">
        <v>North</v>
      </c>
      <c r="P162" s="5" t="str">
        <v>Jan-2025</v>
      </c>
      <c r="Q162" s="5">
        <v>123265</v>
      </c>
      <c r="R162" s="5">
        <v>8</v>
      </c>
      <c r="S162" s="5">
        <v>90908</v>
      </c>
    </row>
    <row r="163" spans="2:19" x14ac:dyDescent="0.3">
      <c r="B163" s="5" t="str">
        <v>ORD1475</v>
      </c>
      <c r="C163" s="5" t="str">
        <v>Phone</v>
      </c>
      <c r="D163" s="5" t="str">
        <v>Electronics</v>
      </c>
      <c r="E163" s="5" t="str">
        <v>South</v>
      </c>
      <c r="F163" s="5" t="str">
        <v>Apr-2025</v>
      </c>
      <c r="G163" s="5">
        <v>128554</v>
      </c>
      <c r="H163" s="5">
        <v>1</v>
      </c>
      <c r="I163" s="5">
        <v>77316</v>
      </c>
      <c r="J163" s="10"/>
      <c r="L163" s="5" t="str">
        <v>ORD1901</v>
      </c>
      <c r="M163" s="5" t="str">
        <v>Tablet</v>
      </c>
      <c r="N163" s="5" t="str">
        <v>Electronics</v>
      </c>
      <c r="O163" s="5" t="str">
        <v>North</v>
      </c>
      <c r="P163" s="5" t="str">
        <v>May-2025</v>
      </c>
      <c r="Q163" s="5">
        <v>134000</v>
      </c>
      <c r="R163" s="5">
        <v>14</v>
      </c>
      <c r="S163" s="5">
        <v>81819</v>
      </c>
    </row>
    <row r="164" spans="2:19" x14ac:dyDescent="0.3">
      <c r="B164" s="5" t="str">
        <v>ORD1297</v>
      </c>
      <c r="C164" s="5" t="str">
        <v>Tablet</v>
      </c>
      <c r="D164" s="5" t="str">
        <v>Electronics</v>
      </c>
      <c r="E164" s="5" t="str">
        <v>East</v>
      </c>
      <c r="F164" s="5" t="str">
        <v>Sep-2025</v>
      </c>
      <c r="G164" s="5">
        <v>128540</v>
      </c>
      <c r="H164" s="5">
        <v>15</v>
      </c>
      <c r="I164" s="5">
        <v>90944</v>
      </c>
      <c r="J164" s="10"/>
      <c r="L164" s="5" t="str">
        <v>ORD1907</v>
      </c>
      <c r="M164" s="5" t="str">
        <v>Keyboard</v>
      </c>
      <c r="N164" s="5" t="str">
        <v>Peripherals</v>
      </c>
      <c r="O164" s="5" t="str">
        <v>North</v>
      </c>
      <c r="P164" s="5" t="str">
        <v>Sep-2025</v>
      </c>
      <c r="Q164" s="5">
        <v>63545</v>
      </c>
      <c r="R164" s="5">
        <v>9</v>
      </c>
      <c r="S164" s="5">
        <v>41615</v>
      </c>
    </row>
    <row r="165" spans="2:19" x14ac:dyDescent="0.3">
      <c r="B165" s="5" t="str">
        <v>ORD1910</v>
      </c>
      <c r="C165" s="5" t="str">
        <v>Mouse</v>
      </c>
      <c r="D165" s="5" t="str">
        <v>Accessories</v>
      </c>
      <c r="E165" s="5" t="str">
        <v>East</v>
      </c>
      <c r="F165" s="5" t="str">
        <v>Nov-2025</v>
      </c>
      <c r="G165" s="5">
        <v>128488</v>
      </c>
      <c r="H165" s="5">
        <v>7</v>
      </c>
      <c r="I165" s="5">
        <v>89732</v>
      </c>
      <c r="J165" s="10"/>
      <c r="L165" s="5" t="str">
        <v>ORD1909</v>
      </c>
      <c r="M165" s="5" t="str">
        <v>Laptop</v>
      </c>
      <c r="N165" s="5" t="str">
        <v>Electronics</v>
      </c>
      <c r="O165" s="5" t="str">
        <v>North</v>
      </c>
      <c r="P165" s="5" t="str">
        <v>Jul-2025</v>
      </c>
      <c r="Q165" s="5">
        <v>67422</v>
      </c>
      <c r="R165" s="5">
        <v>9</v>
      </c>
      <c r="S165" s="5">
        <v>42302</v>
      </c>
    </row>
    <row r="166" spans="2:19" x14ac:dyDescent="0.3">
      <c r="B166" s="5" t="str">
        <v>ORD1417</v>
      </c>
      <c r="C166" s="5" t="str">
        <v>Printer</v>
      </c>
      <c r="D166" s="5" t="str">
        <v>Peripherals</v>
      </c>
      <c r="E166" s="5" t="str">
        <v>North</v>
      </c>
      <c r="F166" s="5" t="str">
        <v>May-2025</v>
      </c>
      <c r="G166" s="5">
        <v>128484</v>
      </c>
      <c r="H166" s="5">
        <v>6</v>
      </c>
      <c r="I166" s="5">
        <v>90571</v>
      </c>
      <c r="J166" s="10"/>
      <c r="L166" s="5" t="str">
        <v>ORD1914</v>
      </c>
      <c r="M166" s="5" t="str">
        <v>Keyboard</v>
      </c>
      <c r="N166" s="5" t="str">
        <v>Peripherals</v>
      </c>
      <c r="O166" s="5" t="str">
        <v>North</v>
      </c>
      <c r="P166" s="5" t="str">
        <v>Jan-2025</v>
      </c>
      <c r="Q166" s="5">
        <v>100554</v>
      </c>
      <c r="R166" s="5">
        <v>1</v>
      </c>
      <c r="S166" s="5">
        <v>64781</v>
      </c>
    </row>
    <row r="167" spans="2:19" x14ac:dyDescent="0.3">
      <c r="B167" s="5" t="str">
        <v>ORD1817</v>
      </c>
      <c r="C167" s="5" t="str">
        <v>Printer</v>
      </c>
      <c r="D167" s="5" t="str">
        <v>Peripherals</v>
      </c>
      <c r="E167" s="5" t="str">
        <v>East</v>
      </c>
      <c r="F167" s="5" t="str">
        <v>Nov-2025</v>
      </c>
      <c r="G167" s="5">
        <v>128365</v>
      </c>
      <c r="H167" s="5">
        <v>10</v>
      </c>
      <c r="I167" s="5">
        <v>81099</v>
      </c>
      <c r="J167" s="10"/>
      <c r="L167" s="5" t="str">
        <v>ORD1920</v>
      </c>
      <c r="M167" s="5" t="str">
        <v>Tablet</v>
      </c>
      <c r="N167" s="5" t="str">
        <v>Electronics</v>
      </c>
      <c r="O167" s="5" t="str">
        <v>North</v>
      </c>
      <c r="P167" s="5" t="str">
        <v>Jul-2025</v>
      </c>
      <c r="Q167" s="5">
        <v>54376</v>
      </c>
      <c r="R167" s="5">
        <v>13</v>
      </c>
      <c r="S167" s="5">
        <v>40014</v>
      </c>
    </row>
    <row r="168" spans="2:19" x14ac:dyDescent="0.3">
      <c r="B168" s="5" t="str">
        <v>ORD1961</v>
      </c>
      <c r="C168" s="5" t="str">
        <v>Mouse</v>
      </c>
      <c r="D168" s="5" t="str">
        <v>Accessories</v>
      </c>
      <c r="E168" s="5" t="str">
        <v>South</v>
      </c>
      <c r="F168" s="5" t="str">
        <v>May-2025</v>
      </c>
      <c r="G168" s="5">
        <v>128354</v>
      </c>
      <c r="H168" s="5">
        <v>15</v>
      </c>
      <c r="I168" s="5">
        <v>78698</v>
      </c>
      <c r="J168" s="10"/>
      <c r="L168" s="5" t="str">
        <v>ORD1937</v>
      </c>
      <c r="M168" s="5" t="str">
        <v>Laptop</v>
      </c>
      <c r="N168" s="5" t="str">
        <v>Electronics</v>
      </c>
      <c r="O168" s="5" t="str">
        <v>North</v>
      </c>
      <c r="P168" s="5" t="str">
        <v>Dec-2025</v>
      </c>
      <c r="Q168" s="5">
        <v>143954</v>
      </c>
      <c r="R168" s="5">
        <v>13</v>
      </c>
      <c r="S168" s="5">
        <v>93742</v>
      </c>
    </row>
    <row r="169" spans="2:19" x14ac:dyDescent="0.3">
      <c r="B169" s="5" t="str">
        <v>ORD1544</v>
      </c>
      <c r="C169" s="5" t="str">
        <v>Printer</v>
      </c>
      <c r="D169" s="5" t="str">
        <v>Peripherals</v>
      </c>
      <c r="E169" s="5" t="str">
        <v>West</v>
      </c>
      <c r="F169" s="5" t="str">
        <v>Dec-2025</v>
      </c>
      <c r="G169" s="5">
        <v>128068</v>
      </c>
      <c r="H169" s="5">
        <v>10</v>
      </c>
      <c r="I169" s="5">
        <v>92824</v>
      </c>
      <c r="J169" s="10"/>
      <c r="L169" s="5" t="str">
        <v>ORD1940</v>
      </c>
      <c r="M169" s="5" t="str">
        <v>Phone</v>
      </c>
      <c r="N169" s="5" t="str">
        <v>Electronics</v>
      </c>
      <c r="O169" s="5" t="str">
        <v>North</v>
      </c>
      <c r="P169" s="5" t="str">
        <v>Mar-2025</v>
      </c>
      <c r="Q169" s="5">
        <v>56354</v>
      </c>
      <c r="R169" s="5">
        <v>2</v>
      </c>
      <c r="S169" s="5">
        <v>35475</v>
      </c>
    </row>
    <row r="170" spans="2:19" x14ac:dyDescent="0.3">
      <c r="B170" s="5" t="str">
        <v>ORD1257</v>
      </c>
      <c r="C170" s="5" t="str">
        <v>Headphones</v>
      </c>
      <c r="D170" s="5" t="str">
        <v>Accessories</v>
      </c>
      <c r="E170" s="5" t="str">
        <v>North</v>
      </c>
      <c r="F170" s="5" t="str">
        <v>Jul-2025</v>
      </c>
      <c r="G170" s="5">
        <v>128041</v>
      </c>
      <c r="H170" s="5">
        <v>12</v>
      </c>
      <c r="I170" s="5">
        <v>78769</v>
      </c>
      <c r="J170" s="10"/>
      <c r="L170" s="5" t="str">
        <v>ORD1943</v>
      </c>
      <c r="M170" s="5" t="str">
        <v>Laptop</v>
      </c>
      <c r="N170" s="5" t="str">
        <v>Electronics</v>
      </c>
      <c r="O170" s="5" t="str">
        <v>North</v>
      </c>
      <c r="P170" s="5" t="str">
        <v>Apr-2025</v>
      </c>
      <c r="Q170" s="5">
        <v>124735</v>
      </c>
      <c r="R170" s="5">
        <v>5</v>
      </c>
      <c r="S170" s="5">
        <v>86851</v>
      </c>
    </row>
    <row r="171" spans="2:19" x14ac:dyDescent="0.3">
      <c r="B171" s="5" t="str">
        <v>ORD1884</v>
      </c>
      <c r="C171" s="5" t="str">
        <v>Phone</v>
      </c>
      <c r="D171" s="5" t="str">
        <v>Electronics</v>
      </c>
      <c r="E171" s="5" t="str">
        <v>East</v>
      </c>
      <c r="F171" s="5" t="str">
        <v>Aug-2025</v>
      </c>
      <c r="G171" s="5">
        <v>127940</v>
      </c>
      <c r="H171" s="5">
        <v>10</v>
      </c>
      <c r="I171" s="5">
        <v>77470</v>
      </c>
      <c r="J171" s="10"/>
      <c r="L171" s="5" t="str">
        <v>ORD1946</v>
      </c>
      <c r="M171" s="5" t="str">
        <v>Headphones</v>
      </c>
      <c r="N171" s="5" t="str">
        <v>Accessories</v>
      </c>
      <c r="O171" s="5" t="str">
        <v>North</v>
      </c>
      <c r="P171" s="5" t="str">
        <v>Jun-2025</v>
      </c>
      <c r="Q171" s="5">
        <v>61414</v>
      </c>
      <c r="R171" s="5">
        <v>5</v>
      </c>
      <c r="S171" s="5">
        <v>42926</v>
      </c>
    </row>
    <row r="172" spans="2:19" x14ac:dyDescent="0.3">
      <c r="B172" s="5" t="str">
        <v>ORD1691</v>
      </c>
      <c r="C172" s="5" t="str">
        <v>Monitor</v>
      </c>
      <c r="D172" s="5" t="str">
        <v>Peripherals</v>
      </c>
      <c r="E172" s="5" t="str">
        <v>East</v>
      </c>
      <c r="F172" s="5" t="str">
        <v>Oct-2025</v>
      </c>
      <c r="G172" s="5">
        <v>127901</v>
      </c>
      <c r="H172" s="5">
        <v>11</v>
      </c>
      <c r="I172" s="5">
        <v>84399</v>
      </c>
      <c r="J172" s="10"/>
      <c r="L172" s="5" t="str">
        <v>ORD1950</v>
      </c>
      <c r="M172" s="5" t="str">
        <v>Printer</v>
      </c>
      <c r="N172" s="5" t="str">
        <v>Peripherals</v>
      </c>
      <c r="O172" s="5" t="str">
        <v>North</v>
      </c>
      <c r="P172" s="5" t="str">
        <v>Oct-2025</v>
      </c>
      <c r="Q172" s="5">
        <v>123288</v>
      </c>
      <c r="R172" s="5">
        <v>10</v>
      </c>
      <c r="S172" s="5">
        <v>87549</v>
      </c>
    </row>
    <row r="173" spans="2:19" x14ac:dyDescent="0.3">
      <c r="B173" s="5" t="str">
        <v>ORD1585</v>
      </c>
      <c r="C173" s="5" t="str">
        <v>Tablet</v>
      </c>
      <c r="D173" s="5" t="str">
        <v>Electronics</v>
      </c>
      <c r="E173" s="5" t="str">
        <v>North</v>
      </c>
      <c r="F173" s="5" t="str">
        <v>Nov-2025</v>
      </c>
      <c r="G173" s="5">
        <v>127887</v>
      </c>
      <c r="H173" s="5">
        <v>7</v>
      </c>
      <c r="I173" s="5">
        <v>82380</v>
      </c>
      <c r="J173" s="10"/>
      <c r="L173" s="5" t="str">
        <v>ORD1963</v>
      </c>
      <c r="M173" s="5" t="str">
        <v>Tablet</v>
      </c>
      <c r="N173" s="5" t="str">
        <v>Electronics</v>
      </c>
      <c r="O173" s="5" t="str">
        <v>North</v>
      </c>
      <c r="P173" s="5" t="str">
        <v>Sep-2025</v>
      </c>
      <c r="Q173" s="5">
        <v>64280</v>
      </c>
      <c r="R173" s="5">
        <v>3</v>
      </c>
      <c r="S173" s="5">
        <v>46825</v>
      </c>
    </row>
    <row r="174" spans="2:19" x14ac:dyDescent="0.3">
      <c r="B174" s="5" t="str">
        <v>ORD1073</v>
      </c>
      <c r="C174" s="5" t="str">
        <v>Printer</v>
      </c>
      <c r="D174" s="5" t="str">
        <v>Peripherals</v>
      </c>
      <c r="E174" s="5" t="str">
        <v>East</v>
      </c>
      <c r="F174" s="5" t="str">
        <v>Sep-2025</v>
      </c>
      <c r="G174" s="5">
        <v>127675</v>
      </c>
      <c r="H174" s="5">
        <v>9</v>
      </c>
      <c r="I174" s="5">
        <v>78348</v>
      </c>
      <c r="J174" s="10"/>
      <c r="L174" s="5" t="str">
        <v>ORD1965</v>
      </c>
      <c r="M174" s="5" t="str">
        <v>Headphones</v>
      </c>
      <c r="N174" s="5" t="str">
        <v>Accessories</v>
      </c>
      <c r="O174" s="5" t="str">
        <v>North</v>
      </c>
      <c r="P174" s="5" t="str">
        <v>Dec-2025</v>
      </c>
      <c r="Q174" s="5">
        <v>65904</v>
      </c>
      <c r="R174" s="5">
        <v>2</v>
      </c>
      <c r="S174" s="5">
        <v>45954</v>
      </c>
    </row>
    <row r="175" spans="2:19" x14ac:dyDescent="0.3">
      <c r="B175" s="5" t="str">
        <v>ORD1775</v>
      </c>
      <c r="C175" s="5" t="str">
        <v>Tablet</v>
      </c>
      <c r="D175" s="5" t="str">
        <v>Electronics</v>
      </c>
      <c r="E175" s="5" t="str">
        <v>West</v>
      </c>
      <c r="F175" s="5" t="str">
        <v>Mar-2025</v>
      </c>
      <c r="G175" s="5">
        <v>127497</v>
      </c>
      <c r="H175" s="5">
        <v>14</v>
      </c>
      <c r="I175" s="5">
        <v>85069</v>
      </c>
      <c r="J175" s="10"/>
      <c r="L175" s="5" t="str">
        <v>ORD1966</v>
      </c>
      <c r="M175" s="5" t="str">
        <v>Laptop</v>
      </c>
      <c r="N175" s="5" t="str">
        <v>Electronics</v>
      </c>
      <c r="O175" s="5" t="str">
        <v>North</v>
      </c>
      <c r="P175" s="5" t="str">
        <v>Jul-2025</v>
      </c>
      <c r="Q175" s="5">
        <v>60465</v>
      </c>
      <c r="R175" s="5">
        <v>13</v>
      </c>
      <c r="S175" s="5">
        <v>36928</v>
      </c>
    </row>
    <row r="176" spans="2:19" x14ac:dyDescent="0.3">
      <c r="B176" s="5" t="str">
        <v>ORD1109</v>
      </c>
      <c r="C176" s="5" t="str">
        <v>Monitor</v>
      </c>
      <c r="D176" s="5" t="str">
        <v>Peripherals</v>
      </c>
      <c r="E176" s="5" t="str">
        <v>East</v>
      </c>
      <c r="F176" s="5" t="str">
        <v>Apr-2025</v>
      </c>
      <c r="G176" s="5">
        <v>127409</v>
      </c>
      <c r="H176" s="5">
        <v>9</v>
      </c>
      <c r="I176" s="5">
        <v>91520</v>
      </c>
      <c r="J176" s="10"/>
      <c r="L176" s="5" t="str">
        <v>ORD1974</v>
      </c>
      <c r="M176" s="5" t="str">
        <v>Printer</v>
      </c>
      <c r="N176" s="5" t="str">
        <v>Peripherals</v>
      </c>
      <c r="O176" s="5" t="str">
        <v>North</v>
      </c>
      <c r="P176" s="5" t="str">
        <v>Aug-2025</v>
      </c>
      <c r="Q176" s="5">
        <v>56412</v>
      </c>
      <c r="R176" s="5">
        <v>5</v>
      </c>
      <c r="S176" s="5">
        <v>37150</v>
      </c>
    </row>
    <row r="177" spans="2:19" x14ac:dyDescent="0.3">
      <c r="B177" s="5" t="str">
        <v>ORD1554</v>
      </c>
      <c r="C177" s="5" t="str">
        <v>Mouse</v>
      </c>
      <c r="D177" s="5" t="str">
        <v>Accessories</v>
      </c>
      <c r="E177" s="5" t="str">
        <v>North</v>
      </c>
      <c r="F177" s="5" t="str">
        <v>Dec-2025</v>
      </c>
      <c r="G177" s="5">
        <v>127321</v>
      </c>
      <c r="H177" s="5">
        <v>1</v>
      </c>
      <c r="I177" s="5">
        <v>94386</v>
      </c>
      <c r="J177" s="10"/>
      <c r="L177" s="5" t="str">
        <v>ORD1978</v>
      </c>
      <c r="M177" s="5" t="str">
        <v>Headphones</v>
      </c>
      <c r="N177" s="5" t="str">
        <v>Accessories</v>
      </c>
      <c r="O177" s="5" t="str">
        <v>North</v>
      </c>
      <c r="P177" s="5" t="str">
        <v>Aug-2025</v>
      </c>
      <c r="Q177" s="5">
        <v>113136</v>
      </c>
      <c r="R177" s="5">
        <v>11</v>
      </c>
      <c r="S177" s="5">
        <v>69190</v>
      </c>
    </row>
    <row r="178" spans="2:19" x14ac:dyDescent="0.3">
      <c r="B178" s="5" t="str">
        <v>ORD1341</v>
      </c>
      <c r="C178" s="5" t="str">
        <v>Keyboard</v>
      </c>
      <c r="D178" s="5" t="str">
        <v>Peripherals</v>
      </c>
      <c r="E178" s="5" t="str">
        <v>West</v>
      </c>
      <c r="F178" s="5" t="str">
        <v>Oct-2025</v>
      </c>
      <c r="G178" s="5">
        <v>127026</v>
      </c>
      <c r="H178" s="5">
        <v>3</v>
      </c>
      <c r="I178" s="5">
        <v>82521</v>
      </c>
      <c r="J178" s="10"/>
      <c r="L178" s="5" t="str">
        <v>ORD1982</v>
      </c>
      <c r="M178" s="5" t="str">
        <v>Phone</v>
      </c>
      <c r="N178" s="5" t="str">
        <v>Electronics</v>
      </c>
      <c r="O178" s="5" t="str">
        <v>North</v>
      </c>
      <c r="P178" s="5" t="str">
        <v>Jan-2025</v>
      </c>
      <c r="Q178" s="5">
        <v>138220</v>
      </c>
      <c r="R178" s="5">
        <v>5</v>
      </c>
      <c r="S178" s="5">
        <v>102195</v>
      </c>
    </row>
    <row r="179" spans="2:19" x14ac:dyDescent="0.3">
      <c r="B179" s="5" t="str">
        <v>ORD1082</v>
      </c>
      <c r="C179" s="5" t="str">
        <v>Monitor</v>
      </c>
      <c r="D179" s="5" t="str">
        <v>Peripherals</v>
      </c>
      <c r="E179" s="5" t="str">
        <v>East</v>
      </c>
      <c r="F179" s="5" t="str">
        <v>Apr-2025</v>
      </c>
      <c r="G179" s="5">
        <v>126942</v>
      </c>
      <c r="H179" s="5">
        <v>15</v>
      </c>
      <c r="I179" s="5">
        <v>80866</v>
      </c>
      <c r="J179" s="10"/>
      <c r="L179" s="5" t="str">
        <v>ORD1984</v>
      </c>
      <c r="M179" s="5" t="str">
        <v>Tablet</v>
      </c>
      <c r="N179" s="5" t="str">
        <v>Electronics</v>
      </c>
      <c r="O179" s="5" t="str">
        <v>North</v>
      </c>
      <c r="P179" s="5" t="str">
        <v>Jun-2025</v>
      </c>
      <c r="Q179" s="5">
        <v>94690</v>
      </c>
      <c r="R179" s="5">
        <v>12</v>
      </c>
      <c r="S179" s="5">
        <v>67646</v>
      </c>
    </row>
    <row r="180" spans="2:19" x14ac:dyDescent="0.3">
      <c r="B180" s="5" t="str">
        <v>ORD1836</v>
      </c>
      <c r="C180" s="5" t="str">
        <v>Printer</v>
      </c>
      <c r="D180" s="5" t="str">
        <v>Peripherals</v>
      </c>
      <c r="E180" s="5" t="str">
        <v>East</v>
      </c>
      <c r="F180" s="5" t="str">
        <v>Apr-2025</v>
      </c>
      <c r="G180" s="5">
        <v>126916</v>
      </c>
      <c r="H180" s="5">
        <v>14</v>
      </c>
      <c r="I180" s="5">
        <v>85528</v>
      </c>
      <c r="J180" s="10"/>
      <c r="L180" s="5" t="str">
        <v>ORD1986</v>
      </c>
      <c r="M180" s="5" t="str">
        <v>Mouse</v>
      </c>
      <c r="N180" s="5" t="str">
        <v>Accessories</v>
      </c>
      <c r="O180" s="5" t="str">
        <v>North</v>
      </c>
      <c r="P180" s="5" t="str">
        <v>Jan-2025</v>
      </c>
      <c r="Q180" s="5">
        <v>74961</v>
      </c>
      <c r="R180" s="5">
        <v>14</v>
      </c>
      <c r="S180" s="5">
        <v>49459</v>
      </c>
    </row>
    <row r="181" spans="2:19" x14ac:dyDescent="0.3">
      <c r="B181" s="5" t="str">
        <v>ORD1990</v>
      </c>
      <c r="C181" s="5" t="str">
        <v>Mouse</v>
      </c>
      <c r="D181" s="5" t="str">
        <v>Accessories</v>
      </c>
      <c r="E181" s="5" t="str">
        <v>East</v>
      </c>
      <c r="F181" s="5" t="str">
        <v>May-2025</v>
      </c>
      <c r="G181" s="5">
        <v>126853</v>
      </c>
      <c r="H181" s="5">
        <v>13</v>
      </c>
      <c r="I181" s="5">
        <v>82106</v>
      </c>
      <c r="J181" s="10"/>
      <c r="L181" s="5" t="str">
        <v>ORD1993</v>
      </c>
      <c r="M181" s="5" t="str">
        <v>Laptop</v>
      </c>
      <c r="N181" s="5" t="str">
        <v>Electronics</v>
      </c>
      <c r="O181" s="5" t="str">
        <v>North</v>
      </c>
      <c r="P181" s="5" t="str">
        <v>Jun-2025</v>
      </c>
      <c r="Q181" s="5">
        <v>53321</v>
      </c>
      <c r="R181" s="5">
        <v>3</v>
      </c>
      <c r="S181" s="5">
        <v>32658</v>
      </c>
    </row>
    <row r="182" spans="2:19" x14ac:dyDescent="0.3">
      <c r="B182" s="5" t="str">
        <v>ORD1380</v>
      </c>
      <c r="C182" s="5" t="str">
        <v>Tablet</v>
      </c>
      <c r="D182" s="5" t="str">
        <v>Electronics</v>
      </c>
      <c r="E182" s="5" t="str">
        <v>North</v>
      </c>
      <c r="F182" s="5" t="str">
        <v>Feb-2025</v>
      </c>
      <c r="G182" s="5">
        <v>126821</v>
      </c>
      <c r="H182" s="5">
        <v>2</v>
      </c>
      <c r="I182" s="5">
        <v>87809</v>
      </c>
      <c r="J182" s="10"/>
      <c r="L182" s="5" t="str">
        <v>ORD1994</v>
      </c>
      <c r="M182" s="5" t="str">
        <v>Phone</v>
      </c>
      <c r="N182" s="5" t="str">
        <v>Electronics</v>
      </c>
      <c r="O182" s="5" t="str">
        <v>North</v>
      </c>
      <c r="P182" s="5" t="str">
        <v>Apr-2025</v>
      </c>
      <c r="Q182" s="5">
        <v>134754</v>
      </c>
      <c r="R182" s="5">
        <v>7</v>
      </c>
      <c r="S182" s="5">
        <v>91083</v>
      </c>
    </row>
    <row r="183" spans="2:19" x14ac:dyDescent="0.3">
      <c r="B183" s="5" t="str">
        <v>ORD1436</v>
      </c>
      <c r="C183" s="5" t="str">
        <v>Mouse</v>
      </c>
      <c r="D183" s="5" t="str">
        <v>Accessories</v>
      </c>
      <c r="E183" s="5" t="str">
        <v>West</v>
      </c>
      <c r="F183" s="5" t="str">
        <v>May-2025</v>
      </c>
      <c r="G183" s="5">
        <v>126790</v>
      </c>
      <c r="H183" s="5">
        <v>5</v>
      </c>
      <c r="I183" s="5">
        <v>85066</v>
      </c>
      <c r="J183" s="10"/>
    </row>
    <row r="184" spans="2:19" x14ac:dyDescent="0.3">
      <c r="B184" s="5" t="str">
        <v>ORD1751</v>
      </c>
      <c r="C184" s="5" t="str">
        <v>Headphones</v>
      </c>
      <c r="D184" s="5" t="str">
        <v>Accessories</v>
      </c>
      <c r="E184" s="5" t="str">
        <v>South</v>
      </c>
      <c r="F184" s="5" t="str">
        <v>Feb-2025</v>
      </c>
      <c r="G184" s="5">
        <v>126664</v>
      </c>
      <c r="H184" s="5">
        <v>7</v>
      </c>
      <c r="I184" s="5">
        <v>93823</v>
      </c>
      <c r="J184" s="10"/>
    </row>
    <row r="185" spans="2:19" x14ac:dyDescent="0.3">
      <c r="B185" s="5" t="str">
        <v>ORD1268</v>
      </c>
      <c r="C185" s="5" t="str">
        <v>Mouse</v>
      </c>
      <c r="D185" s="5" t="str">
        <v>Accessories</v>
      </c>
      <c r="E185" s="5" t="str">
        <v>East</v>
      </c>
      <c r="F185" s="5" t="str">
        <v>Sep-2025</v>
      </c>
      <c r="G185" s="5">
        <v>126454</v>
      </c>
      <c r="H185" s="5">
        <v>8</v>
      </c>
      <c r="I185" s="5">
        <v>90218</v>
      </c>
      <c r="J185" s="10"/>
    </row>
    <row r="186" spans="2:19" x14ac:dyDescent="0.3">
      <c r="B186" s="5" t="str">
        <v>ORD1813</v>
      </c>
      <c r="C186" s="5" t="str">
        <v>Printer</v>
      </c>
      <c r="D186" s="5" t="str">
        <v>Peripherals</v>
      </c>
      <c r="E186" s="5" t="str">
        <v>North</v>
      </c>
      <c r="F186" s="5" t="str">
        <v>Apr-2025</v>
      </c>
      <c r="G186" s="5">
        <v>125700</v>
      </c>
      <c r="H186" s="5">
        <v>1</v>
      </c>
      <c r="I186" s="5">
        <v>85210</v>
      </c>
      <c r="J186" s="10"/>
    </row>
    <row r="187" spans="2:19" x14ac:dyDescent="0.3">
      <c r="B187" s="5" t="str">
        <v>ORD1025</v>
      </c>
      <c r="C187" s="5" t="str">
        <v>Phone</v>
      </c>
      <c r="D187" s="5" t="str">
        <v>Electronics</v>
      </c>
      <c r="E187" s="5" t="str">
        <v>West</v>
      </c>
      <c r="F187" s="5" t="str">
        <v>May-2025</v>
      </c>
      <c r="G187" s="5">
        <v>125651</v>
      </c>
      <c r="H187" s="5">
        <v>15</v>
      </c>
      <c r="I187" s="5">
        <v>84594</v>
      </c>
      <c r="J187" s="10"/>
    </row>
    <row r="188" spans="2:19" x14ac:dyDescent="0.3">
      <c r="B188" s="5" t="str">
        <v>ORD1500</v>
      </c>
      <c r="C188" s="5" t="str">
        <v>Tablet</v>
      </c>
      <c r="D188" s="5" t="str">
        <v>Electronics</v>
      </c>
      <c r="E188" s="5" t="str">
        <v>West</v>
      </c>
      <c r="F188" s="5" t="str">
        <v>Apr-2025</v>
      </c>
      <c r="G188" s="5">
        <v>125616</v>
      </c>
      <c r="H188" s="5">
        <v>13</v>
      </c>
      <c r="I188" s="5">
        <v>81011</v>
      </c>
      <c r="J188" s="10"/>
    </row>
    <row r="189" spans="2:19" x14ac:dyDescent="0.3">
      <c r="B189" s="5" t="str">
        <v>ORD1766</v>
      </c>
      <c r="C189" s="5" t="str">
        <v>Monitor</v>
      </c>
      <c r="D189" s="5" t="str">
        <v>Peripherals</v>
      </c>
      <c r="E189" s="5" t="str">
        <v>West</v>
      </c>
      <c r="F189" s="5" t="str">
        <v>Apr-2025</v>
      </c>
      <c r="G189" s="5">
        <v>125473</v>
      </c>
      <c r="H189" s="5">
        <v>13</v>
      </c>
      <c r="I189" s="5">
        <v>93454</v>
      </c>
      <c r="J189" s="10"/>
    </row>
    <row r="190" spans="2:19" x14ac:dyDescent="0.3">
      <c r="B190" s="5" t="str">
        <v>ORD1699</v>
      </c>
      <c r="C190" s="5" t="str">
        <v>Phone</v>
      </c>
      <c r="D190" s="5" t="str">
        <v>Electronics</v>
      </c>
      <c r="E190" s="5" t="str">
        <v>North</v>
      </c>
      <c r="F190" s="5" t="str">
        <v>Nov-2025</v>
      </c>
      <c r="G190" s="5">
        <v>125448</v>
      </c>
      <c r="H190" s="5">
        <v>9</v>
      </c>
      <c r="I190" s="5">
        <v>90962</v>
      </c>
      <c r="J190" s="10"/>
    </row>
    <row r="191" spans="2:19" x14ac:dyDescent="0.3">
      <c r="B191" s="5" t="str">
        <v>ORD1325</v>
      </c>
      <c r="C191" s="5" t="str">
        <v>Headphones</v>
      </c>
      <c r="D191" s="5" t="str">
        <v>Accessories</v>
      </c>
      <c r="E191" s="5" t="str">
        <v>North</v>
      </c>
      <c r="F191" s="5" t="str">
        <v>May-2025</v>
      </c>
      <c r="G191" s="5">
        <v>125335</v>
      </c>
      <c r="H191" s="5">
        <v>9</v>
      </c>
      <c r="I191" s="5">
        <v>86588</v>
      </c>
      <c r="J191" s="10"/>
    </row>
    <row r="192" spans="2:19" x14ac:dyDescent="0.3">
      <c r="B192" s="5" t="str">
        <v>ORD1472</v>
      </c>
      <c r="C192" s="5" t="str">
        <v>Mouse</v>
      </c>
      <c r="D192" s="5" t="str">
        <v>Accessories</v>
      </c>
      <c r="E192" s="5" t="str">
        <v>West</v>
      </c>
      <c r="F192" s="5" t="str">
        <v>Jun-2025</v>
      </c>
      <c r="G192" s="5">
        <v>125225</v>
      </c>
      <c r="H192" s="5">
        <v>6</v>
      </c>
      <c r="I192" s="5">
        <v>77081</v>
      </c>
      <c r="J192" s="10"/>
    </row>
    <row r="193" spans="2:10" x14ac:dyDescent="0.3">
      <c r="B193" s="5" t="str">
        <v>ORD1504</v>
      </c>
      <c r="C193" s="5" t="str">
        <v>Monitor</v>
      </c>
      <c r="D193" s="5" t="str">
        <v>Peripherals</v>
      </c>
      <c r="E193" s="5" t="str">
        <v>North</v>
      </c>
      <c r="F193" s="5" t="str">
        <v>Apr-2025</v>
      </c>
      <c r="G193" s="5">
        <v>125185</v>
      </c>
      <c r="H193" s="5">
        <v>4</v>
      </c>
      <c r="I193" s="5">
        <v>76400</v>
      </c>
      <c r="J193" s="10"/>
    </row>
    <row r="194" spans="2:10" x14ac:dyDescent="0.3">
      <c r="B194" s="5" t="str">
        <v>ORD1739</v>
      </c>
      <c r="C194" s="5" t="str">
        <v>Tablet</v>
      </c>
      <c r="D194" s="5" t="str">
        <v>Electronics</v>
      </c>
      <c r="E194" s="5" t="str">
        <v>West</v>
      </c>
      <c r="F194" s="5" t="str">
        <v>Feb-2025</v>
      </c>
      <c r="G194" s="5">
        <v>125185</v>
      </c>
      <c r="H194" s="5">
        <v>8</v>
      </c>
      <c r="I194" s="5">
        <v>77927</v>
      </c>
      <c r="J194" s="10"/>
    </row>
    <row r="195" spans="2:10" x14ac:dyDescent="0.3">
      <c r="B195" s="5" t="str">
        <v>ORD1349</v>
      </c>
      <c r="C195" s="5" t="str">
        <v>Laptop</v>
      </c>
      <c r="D195" s="5" t="str">
        <v>Electronics</v>
      </c>
      <c r="E195" s="5" t="str">
        <v>North</v>
      </c>
      <c r="F195" s="5" t="str">
        <v>May-2025</v>
      </c>
      <c r="G195" s="5">
        <v>124922</v>
      </c>
      <c r="H195" s="5">
        <v>6</v>
      </c>
      <c r="I195" s="5">
        <v>78456</v>
      </c>
      <c r="J195" s="10"/>
    </row>
    <row r="196" spans="2:10" x14ac:dyDescent="0.3">
      <c r="B196" s="5" t="str">
        <v>ORD1415</v>
      </c>
      <c r="C196" s="5" t="str">
        <v>Keyboard</v>
      </c>
      <c r="D196" s="5" t="str">
        <v>Peripherals</v>
      </c>
      <c r="E196" s="5" t="str">
        <v>West</v>
      </c>
      <c r="F196" s="5" t="str">
        <v>Jan-2025</v>
      </c>
      <c r="G196" s="5">
        <v>124875</v>
      </c>
      <c r="H196" s="5">
        <v>4</v>
      </c>
      <c r="I196" s="5">
        <v>78724</v>
      </c>
      <c r="J196" s="10"/>
    </row>
    <row r="197" spans="2:10" x14ac:dyDescent="0.3">
      <c r="B197" s="5" t="str">
        <v>ORD1093</v>
      </c>
      <c r="C197" s="5" t="str">
        <v>Printer</v>
      </c>
      <c r="D197" s="5" t="str">
        <v>Peripherals</v>
      </c>
      <c r="E197" s="5" t="str">
        <v>North</v>
      </c>
      <c r="F197" s="5" t="str">
        <v>Jul-2025</v>
      </c>
      <c r="G197" s="5">
        <v>124800</v>
      </c>
      <c r="H197" s="5">
        <v>7</v>
      </c>
      <c r="I197" s="5">
        <v>82445</v>
      </c>
      <c r="J197" s="10"/>
    </row>
    <row r="198" spans="2:10" x14ac:dyDescent="0.3">
      <c r="B198" s="5" t="str">
        <v>ORD1376</v>
      </c>
      <c r="C198" s="5" t="str">
        <v>Headphones</v>
      </c>
      <c r="D198" s="5" t="str">
        <v>Accessories</v>
      </c>
      <c r="E198" s="5" t="str">
        <v>South</v>
      </c>
      <c r="F198" s="5" t="str">
        <v>Nov-2025</v>
      </c>
      <c r="G198" s="5">
        <v>124743</v>
      </c>
      <c r="H198" s="5">
        <v>8</v>
      </c>
      <c r="I198" s="5">
        <v>89739</v>
      </c>
      <c r="J198" s="10"/>
    </row>
    <row r="199" spans="2:10" x14ac:dyDescent="0.3">
      <c r="B199" s="5" t="str">
        <v>ORD1943</v>
      </c>
      <c r="C199" s="5" t="str">
        <v>Laptop</v>
      </c>
      <c r="D199" s="5" t="str">
        <v>Electronics</v>
      </c>
      <c r="E199" s="5" t="str">
        <v>North</v>
      </c>
      <c r="F199" s="5" t="str">
        <v>Apr-2025</v>
      </c>
      <c r="G199" s="5">
        <v>124735</v>
      </c>
      <c r="H199" s="5">
        <v>5</v>
      </c>
      <c r="I199" s="5">
        <v>86851</v>
      </c>
      <c r="J199" s="10"/>
    </row>
    <row r="200" spans="2:10" x14ac:dyDescent="0.3">
      <c r="B200" s="5" t="str">
        <v>ORD1814</v>
      </c>
      <c r="C200" s="5" t="str">
        <v>Headphones</v>
      </c>
      <c r="D200" s="5" t="str">
        <v>Accessories</v>
      </c>
      <c r="E200" s="5" t="str">
        <v>West</v>
      </c>
      <c r="F200" s="5" t="str">
        <v>Apr-2025</v>
      </c>
      <c r="G200" s="5">
        <v>124587</v>
      </c>
      <c r="H200" s="5">
        <v>2</v>
      </c>
      <c r="I200" s="5">
        <v>75900</v>
      </c>
      <c r="J200" s="10"/>
    </row>
    <row r="201" spans="2:10" x14ac:dyDescent="0.3">
      <c r="B201" s="5" t="str">
        <v>ORD1859</v>
      </c>
      <c r="C201" s="5" t="str">
        <v>Monitor</v>
      </c>
      <c r="D201" s="5" t="str">
        <v>Peripherals</v>
      </c>
      <c r="E201" s="5" t="str">
        <v>East</v>
      </c>
      <c r="F201" s="5" t="str">
        <v>Mar-2025</v>
      </c>
      <c r="G201" s="5">
        <v>124474</v>
      </c>
      <c r="H201" s="5">
        <v>11</v>
      </c>
      <c r="I201" s="5">
        <v>91153</v>
      </c>
      <c r="J201" s="10"/>
    </row>
    <row r="202" spans="2:10" x14ac:dyDescent="0.3">
      <c r="B202" s="5" t="str">
        <v>ORD1288</v>
      </c>
      <c r="C202" s="5" t="str">
        <v>Tablet</v>
      </c>
      <c r="D202" s="5" t="str">
        <v>Electronics</v>
      </c>
      <c r="E202" s="5" t="str">
        <v>South</v>
      </c>
      <c r="F202" s="5" t="str">
        <v>Dec-2025</v>
      </c>
      <c r="G202" s="5">
        <v>124407</v>
      </c>
      <c r="H202" s="5">
        <v>7</v>
      </c>
      <c r="I202" s="5">
        <v>81809</v>
      </c>
      <c r="J202" s="10"/>
    </row>
    <row r="203" spans="2:10" x14ac:dyDescent="0.3">
      <c r="B203" s="5" t="str">
        <v>ORD1926</v>
      </c>
      <c r="C203" s="5" t="str">
        <v>Monitor</v>
      </c>
      <c r="D203" s="5" t="str">
        <v>Peripherals</v>
      </c>
      <c r="E203" s="5" t="str">
        <v>West</v>
      </c>
      <c r="F203" s="5" t="str">
        <v>May-2025</v>
      </c>
      <c r="G203" s="5">
        <v>124314</v>
      </c>
      <c r="H203" s="5">
        <v>3</v>
      </c>
      <c r="I203" s="5">
        <v>88241</v>
      </c>
      <c r="J203" s="10"/>
    </row>
    <row r="204" spans="2:10" x14ac:dyDescent="0.3">
      <c r="B204" s="5" t="str">
        <v>ORD1445</v>
      </c>
      <c r="C204" s="5" t="str">
        <v>Monitor</v>
      </c>
      <c r="D204" s="5" t="str">
        <v>Peripherals</v>
      </c>
      <c r="E204" s="5" t="str">
        <v>West</v>
      </c>
      <c r="F204" s="5" t="str">
        <v>Nov-2025</v>
      </c>
      <c r="G204" s="5">
        <v>124167</v>
      </c>
      <c r="H204" s="5">
        <v>13</v>
      </c>
      <c r="I204" s="5">
        <v>85690</v>
      </c>
      <c r="J204" s="10"/>
    </row>
    <row r="205" spans="2:10" x14ac:dyDescent="0.3">
      <c r="B205" s="5" t="str">
        <v>ORD1763</v>
      </c>
      <c r="C205" s="5" t="str">
        <v>Keyboard</v>
      </c>
      <c r="D205" s="5" t="str">
        <v>Peripherals</v>
      </c>
      <c r="E205" s="5" t="str">
        <v>East</v>
      </c>
      <c r="F205" s="5" t="str">
        <v>Mar-2025</v>
      </c>
      <c r="G205" s="5">
        <v>124002</v>
      </c>
      <c r="H205" s="5">
        <v>3</v>
      </c>
      <c r="I205" s="5">
        <v>92712</v>
      </c>
      <c r="J205" s="10"/>
    </row>
    <row r="206" spans="2:10" x14ac:dyDescent="0.3">
      <c r="B206" s="5" t="str">
        <v>ORD1424</v>
      </c>
      <c r="C206" s="5" t="str">
        <v>Printer</v>
      </c>
      <c r="D206" s="5" t="str">
        <v>Peripherals</v>
      </c>
      <c r="E206" s="5" t="str">
        <v>North</v>
      </c>
      <c r="F206" s="5" t="str">
        <v>Mar-2025</v>
      </c>
      <c r="G206" s="5">
        <v>123941</v>
      </c>
      <c r="H206" s="5">
        <v>15</v>
      </c>
      <c r="I206" s="5">
        <v>84755</v>
      </c>
      <c r="J206" s="10"/>
    </row>
    <row r="207" spans="2:10" x14ac:dyDescent="0.3">
      <c r="B207" s="5" t="str">
        <v>ORD1628</v>
      </c>
      <c r="C207" s="5" t="str">
        <v>Keyboard</v>
      </c>
      <c r="D207" s="5" t="str">
        <v>Peripherals</v>
      </c>
      <c r="E207" s="5" t="str">
        <v>West</v>
      </c>
      <c r="F207" s="5" t="str">
        <v>Nov-2025</v>
      </c>
      <c r="G207" s="5">
        <v>123935</v>
      </c>
      <c r="H207" s="5">
        <v>13</v>
      </c>
      <c r="I207" s="5">
        <v>85504</v>
      </c>
      <c r="J207" s="10"/>
    </row>
    <row r="208" spans="2:10" x14ac:dyDescent="0.3">
      <c r="B208" s="5" t="str">
        <v>ORD1090</v>
      </c>
      <c r="C208" s="5" t="str">
        <v>Tablet</v>
      </c>
      <c r="D208" s="5" t="str">
        <v>Electronics</v>
      </c>
      <c r="E208" s="5" t="str">
        <v>South</v>
      </c>
      <c r="F208" s="5" t="str">
        <v>May-2025</v>
      </c>
      <c r="G208" s="5">
        <v>123759</v>
      </c>
      <c r="H208" s="5">
        <v>12</v>
      </c>
      <c r="I208" s="5">
        <v>76815</v>
      </c>
      <c r="J208" s="10"/>
    </row>
    <row r="209" spans="2:10" x14ac:dyDescent="0.3">
      <c r="B209" s="5" t="str">
        <v>ORD1792</v>
      </c>
      <c r="C209" s="5" t="str">
        <v>Keyboard</v>
      </c>
      <c r="D209" s="5" t="str">
        <v>Peripherals</v>
      </c>
      <c r="E209" s="5" t="str">
        <v>South</v>
      </c>
      <c r="F209" s="5" t="str">
        <v>Jan-2025</v>
      </c>
      <c r="G209" s="5">
        <v>123376</v>
      </c>
      <c r="H209" s="5">
        <v>13</v>
      </c>
      <c r="I209" s="5">
        <v>85805</v>
      </c>
      <c r="J209" s="10"/>
    </row>
    <row r="210" spans="2:10" x14ac:dyDescent="0.3">
      <c r="B210" s="5" t="str">
        <v>ORD1636</v>
      </c>
      <c r="C210" s="5" t="str">
        <v>Printer</v>
      </c>
      <c r="D210" s="5" t="str">
        <v>Peripherals</v>
      </c>
      <c r="E210" s="5" t="str">
        <v>East</v>
      </c>
      <c r="F210" s="5" t="str">
        <v>Feb-2025</v>
      </c>
      <c r="G210" s="5">
        <v>123292</v>
      </c>
      <c r="H210" s="5">
        <v>11</v>
      </c>
      <c r="I210" s="5">
        <v>91965</v>
      </c>
      <c r="J210" s="10"/>
    </row>
    <row r="211" spans="2:10" x14ac:dyDescent="0.3">
      <c r="B211" s="5" t="str">
        <v>ORD1950</v>
      </c>
      <c r="C211" s="5" t="str">
        <v>Printer</v>
      </c>
      <c r="D211" s="5" t="str">
        <v>Peripherals</v>
      </c>
      <c r="E211" s="5" t="str">
        <v>North</v>
      </c>
      <c r="F211" s="5" t="str">
        <v>Oct-2025</v>
      </c>
      <c r="G211" s="5">
        <v>123288</v>
      </c>
      <c r="H211" s="5">
        <v>10</v>
      </c>
      <c r="I211" s="5">
        <v>87549</v>
      </c>
      <c r="J211" s="10"/>
    </row>
    <row r="212" spans="2:10" x14ac:dyDescent="0.3">
      <c r="B212" s="5" t="str">
        <v>ORD1899</v>
      </c>
      <c r="C212" s="5" t="str">
        <v>Headphones</v>
      </c>
      <c r="D212" s="5" t="str">
        <v>Accessories</v>
      </c>
      <c r="E212" s="5" t="str">
        <v>North</v>
      </c>
      <c r="F212" s="5" t="str">
        <v>Jan-2025</v>
      </c>
      <c r="G212" s="5">
        <v>123265</v>
      </c>
      <c r="H212" s="5">
        <v>8</v>
      </c>
      <c r="I212" s="5">
        <v>90908</v>
      </c>
      <c r="J212" s="10"/>
    </row>
    <row r="213" spans="2:10" x14ac:dyDescent="0.3">
      <c r="B213" s="5" t="str">
        <v>ORD1146</v>
      </c>
      <c r="C213" s="5" t="str">
        <v>Monitor</v>
      </c>
      <c r="D213" s="5" t="str">
        <v>Peripherals</v>
      </c>
      <c r="E213" s="5" t="str">
        <v>South</v>
      </c>
      <c r="F213" s="5" t="str">
        <v>Aug-2025</v>
      </c>
      <c r="G213" s="5">
        <v>123111</v>
      </c>
      <c r="H213" s="5">
        <v>14</v>
      </c>
      <c r="I213" s="5">
        <v>81267</v>
      </c>
      <c r="J213" s="10"/>
    </row>
    <row r="214" spans="2:10" x14ac:dyDescent="0.3">
      <c r="B214" s="5" t="str">
        <v>ORD1062</v>
      </c>
      <c r="C214" s="5" t="str">
        <v>Headphones</v>
      </c>
      <c r="D214" s="5" t="str">
        <v>Accessories</v>
      </c>
      <c r="E214" s="5" t="str">
        <v>East</v>
      </c>
      <c r="F214" s="5" t="str">
        <v>Nov-2025</v>
      </c>
      <c r="G214" s="5">
        <v>122985</v>
      </c>
      <c r="H214" s="5">
        <v>12</v>
      </c>
      <c r="I214" s="5">
        <v>85938</v>
      </c>
      <c r="J214" s="10"/>
    </row>
    <row r="215" spans="2:10" x14ac:dyDescent="0.3">
      <c r="B215" s="5" t="str">
        <v>ORD1717</v>
      </c>
      <c r="C215" s="5" t="str">
        <v>Phone</v>
      </c>
      <c r="D215" s="5" t="str">
        <v>Electronics</v>
      </c>
      <c r="E215" s="5" t="str">
        <v>North</v>
      </c>
      <c r="F215" s="5" t="str">
        <v>Oct-2025</v>
      </c>
      <c r="G215" s="5">
        <v>122841</v>
      </c>
      <c r="H215" s="5">
        <v>1</v>
      </c>
      <c r="I215" s="5">
        <v>78423</v>
      </c>
      <c r="J215" s="10"/>
    </row>
    <row r="216" spans="2:10" x14ac:dyDescent="0.3">
      <c r="B216" s="5" t="str">
        <v>ORD1514</v>
      </c>
      <c r="C216" s="5" t="str">
        <v>Keyboard</v>
      </c>
      <c r="D216" s="5" t="str">
        <v>Peripherals</v>
      </c>
      <c r="E216" s="5" t="str">
        <v>North</v>
      </c>
      <c r="F216" s="5" t="str">
        <v>Sep-2025</v>
      </c>
      <c r="G216" s="5">
        <v>122493</v>
      </c>
      <c r="H216" s="5">
        <v>10</v>
      </c>
      <c r="I216" s="5">
        <v>90880</v>
      </c>
      <c r="J216" s="10"/>
    </row>
    <row r="217" spans="2:10" x14ac:dyDescent="0.3">
      <c r="B217" s="5" t="str">
        <v>ORD1260</v>
      </c>
      <c r="C217" s="5" t="str">
        <v>Printer</v>
      </c>
      <c r="D217" s="5" t="str">
        <v>Peripherals</v>
      </c>
      <c r="E217" s="5" t="str">
        <v>South</v>
      </c>
      <c r="F217" s="5" t="str">
        <v>Mar-2025</v>
      </c>
      <c r="G217" s="5">
        <v>122427</v>
      </c>
      <c r="H217" s="5">
        <v>5</v>
      </c>
      <c r="I217" s="5">
        <v>76147</v>
      </c>
      <c r="J217" s="10"/>
    </row>
    <row r="218" spans="2:10" x14ac:dyDescent="0.3">
      <c r="B218" s="5" t="str">
        <v>ORD1971</v>
      </c>
      <c r="C218" s="5" t="str">
        <v>Tablet</v>
      </c>
      <c r="D218" s="5" t="str">
        <v>Electronics</v>
      </c>
      <c r="E218" s="5" t="str">
        <v>West</v>
      </c>
      <c r="F218" s="5" t="str">
        <v>Oct-2025</v>
      </c>
      <c r="G218" s="5">
        <v>122318</v>
      </c>
      <c r="H218" s="5">
        <v>13</v>
      </c>
      <c r="I218" s="5">
        <v>89007</v>
      </c>
      <c r="J218" s="10"/>
    </row>
    <row r="219" spans="2:10" x14ac:dyDescent="0.3">
      <c r="B219" s="5" t="str">
        <v>ORD1387</v>
      </c>
      <c r="C219" s="5" t="str">
        <v>Tablet</v>
      </c>
      <c r="D219" s="5" t="str">
        <v>Electronics</v>
      </c>
      <c r="E219" s="5" t="str">
        <v>North</v>
      </c>
      <c r="F219" s="5" t="str">
        <v>Oct-2025</v>
      </c>
      <c r="G219" s="5">
        <v>122286</v>
      </c>
      <c r="H219" s="5">
        <v>5</v>
      </c>
      <c r="I219" s="5">
        <v>88185</v>
      </c>
      <c r="J219" s="10"/>
    </row>
    <row r="220" spans="2:10" x14ac:dyDescent="0.3">
      <c r="B220" s="5" t="str">
        <v>ORD1044</v>
      </c>
      <c r="C220" s="5" t="str">
        <v>Tablet</v>
      </c>
      <c r="D220" s="5" t="str">
        <v>Electronics</v>
      </c>
      <c r="E220" s="5" t="str">
        <v>East</v>
      </c>
      <c r="F220" s="5" t="str">
        <v>Sep-2025</v>
      </c>
      <c r="G220" s="5">
        <v>122167</v>
      </c>
      <c r="H220" s="5">
        <v>5</v>
      </c>
      <c r="I220" s="5">
        <v>78842</v>
      </c>
      <c r="J220" s="10"/>
    </row>
    <row r="221" spans="2:10" x14ac:dyDescent="0.3">
      <c r="B221" s="5" t="str">
        <v>ORD1199</v>
      </c>
      <c r="C221" s="5" t="str">
        <v>Headphones</v>
      </c>
      <c r="D221" s="5" t="str">
        <v>Accessories</v>
      </c>
      <c r="E221" s="5" t="str">
        <v>South</v>
      </c>
      <c r="F221" s="5" t="str">
        <v>Feb-2025</v>
      </c>
      <c r="G221" s="5">
        <v>122139</v>
      </c>
      <c r="H221" s="5">
        <v>12</v>
      </c>
      <c r="I221" s="5">
        <v>75601</v>
      </c>
      <c r="J221" s="10"/>
    </row>
    <row r="222" spans="2:10" x14ac:dyDescent="0.3">
      <c r="B222" s="5" t="str">
        <v>ORD1761</v>
      </c>
      <c r="C222" s="5" t="str">
        <v>Phone</v>
      </c>
      <c r="D222" s="5" t="str">
        <v>Electronics</v>
      </c>
      <c r="E222" s="5" t="str">
        <v>West</v>
      </c>
      <c r="F222" s="5" t="str">
        <v>Jan-2025</v>
      </c>
      <c r="G222" s="5">
        <v>121832</v>
      </c>
      <c r="H222" s="5">
        <v>10</v>
      </c>
      <c r="I222" s="5">
        <v>77895</v>
      </c>
      <c r="J222" s="10"/>
    </row>
    <row r="223" spans="2:10" x14ac:dyDescent="0.3">
      <c r="B223" s="5" t="str">
        <v>ORD1670</v>
      </c>
      <c r="C223" s="5" t="str">
        <v>Headphones</v>
      </c>
      <c r="D223" s="5" t="str">
        <v>Accessories</v>
      </c>
      <c r="E223" s="5" t="str">
        <v>East</v>
      </c>
      <c r="F223" s="5" t="str">
        <v>Oct-2025</v>
      </c>
      <c r="G223" s="5">
        <v>121603</v>
      </c>
      <c r="H223" s="5">
        <v>4</v>
      </c>
      <c r="I223" s="5">
        <v>83725</v>
      </c>
      <c r="J223" s="10"/>
    </row>
    <row r="224" spans="2:10" x14ac:dyDescent="0.3">
      <c r="B224" s="5" t="str">
        <v>ORD1008</v>
      </c>
      <c r="C224" s="5" t="str">
        <v>Phone</v>
      </c>
      <c r="D224" s="5" t="str">
        <v>Electronics</v>
      </c>
      <c r="E224" s="5" t="str">
        <v>North</v>
      </c>
      <c r="F224" s="5" t="str">
        <v>May-2025</v>
      </c>
      <c r="G224" s="5">
        <v>121590</v>
      </c>
      <c r="H224" s="5">
        <v>11</v>
      </c>
      <c r="I224" s="5">
        <v>87122</v>
      </c>
      <c r="J224" s="10"/>
    </row>
    <row r="225" spans="2:10" x14ac:dyDescent="0.3">
      <c r="B225" s="5" t="str">
        <v>ORD1870</v>
      </c>
      <c r="C225" s="5" t="str">
        <v>Mouse</v>
      </c>
      <c r="D225" s="5" t="str">
        <v>Accessories</v>
      </c>
      <c r="E225" s="5" t="str">
        <v>West</v>
      </c>
      <c r="F225" s="5" t="str">
        <v>Jan-2025</v>
      </c>
      <c r="G225" s="5">
        <v>121502</v>
      </c>
      <c r="H225" s="5">
        <v>3</v>
      </c>
      <c r="I225" s="5">
        <v>86455</v>
      </c>
      <c r="J225" s="10"/>
    </row>
    <row r="226" spans="2:10" x14ac:dyDescent="0.3">
      <c r="B226" s="5" t="str">
        <v>ORD1595</v>
      </c>
      <c r="C226" s="5" t="str">
        <v>Laptop</v>
      </c>
      <c r="D226" s="5" t="str">
        <v>Electronics</v>
      </c>
      <c r="E226" s="5" t="str">
        <v>North</v>
      </c>
      <c r="F226" s="5" t="str">
        <v>Jul-2025</v>
      </c>
      <c r="G226" s="5">
        <v>121242</v>
      </c>
      <c r="H226" s="5">
        <v>15</v>
      </c>
      <c r="I226" s="5">
        <v>75849</v>
      </c>
      <c r="J226" s="10"/>
    </row>
    <row r="227" spans="2:10" x14ac:dyDescent="0.3">
      <c r="B227" s="5" t="str">
        <v>ORD1852</v>
      </c>
      <c r="C227" s="5" t="str">
        <v>Printer</v>
      </c>
      <c r="D227" s="5" t="str">
        <v>Peripherals</v>
      </c>
      <c r="E227" s="5" t="str">
        <v>South</v>
      </c>
      <c r="F227" s="5" t="str">
        <v>Aug-2025</v>
      </c>
      <c r="G227" s="5">
        <v>120911</v>
      </c>
      <c r="H227" s="5">
        <v>15</v>
      </c>
      <c r="I227" s="5">
        <v>82636</v>
      </c>
      <c r="J227" s="10"/>
    </row>
    <row r="228" spans="2:10" x14ac:dyDescent="0.3">
      <c r="B228" s="5" t="str">
        <v>ORD1242</v>
      </c>
      <c r="C228" s="5" t="str">
        <v>Monitor</v>
      </c>
      <c r="D228" s="5" t="str">
        <v>Peripherals</v>
      </c>
      <c r="E228" s="5" t="str">
        <v>East</v>
      </c>
      <c r="F228" s="5" t="str">
        <v>Mar-2025</v>
      </c>
      <c r="G228" s="5">
        <v>120865</v>
      </c>
      <c r="H228" s="5">
        <v>5</v>
      </c>
      <c r="I228" s="5">
        <v>80222</v>
      </c>
      <c r="J228" s="10"/>
    </row>
    <row r="229" spans="2:10" x14ac:dyDescent="0.3">
      <c r="B229" s="5" t="str">
        <v>ORD1631</v>
      </c>
      <c r="C229" s="5" t="str">
        <v>Keyboard</v>
      </c>
      <c r="D229" s="5" t="str">
        <v>Peripherals</v>
      </c>
      <c r="E229" s="5" t="str">
        <v>South</v>
      </c>
      <c r="F229" s="5" t="str">
        <v>Apr-2025</v>
      </c>
      <c r="G229" s="5">
        <v>120842</v>
      </c>
      <c r="H229" s="5">
        <v>11</v>
      </c>
      <c r="I229" s="5">
        <v>73555</v>
      </c>
      <c r="J229" s="10"/>
    </row>
    <row r="230" spans="2:10" x14ac:dyDescent="0.3">
      <c r="B230" s="5" t="str">
        <v>ORD1335</v>
      </c>
      <c r="C230" s="5" t="str">
        <v>Monitor</v>
      </c>
      <c r="D230" s="5" t="str">
        <v>Peripherals</v>
      </c>
      <c r="E230" s="5" t="str">
        <v>West</v>
      </c>
      <c r="F230" s="5" t="str">
        <v>Dec-2025</v>
      </c>
      <c r="G230" s="5">
        <v>120669</v>
      </c>
      <c r="H230" s="5">
        <v>6</v>
      </c>
      <c r="I230" s="5">
        <v>73122</v>
      </c>
      <c r="J230" s="10"/>
    </row>
    <row r="231" spans="2:10" x14ac:dyDescent="0.3">
      <c r="B231" s="5" t="str">
        <v>ORD1047</v>
      </c>
      <c r="C231" s="5" t="str">
        <v>Mouse</v>
      </c>
      <c r="D231" s="5" t="str">
        <v>Accessories</v>
      </c>
      <c r="E231" s="5" t="str">
        <v>West</v>
      </c>
      <c r="F231" s="5" t="str">
        <v>Feb-2025</v>
      </c>
      <c r="G231" s="5">
        <v>120426</v>
      </c>
      <c r="H231" s="5">
        <v>13</v>
      </c>
      <c r="I231" s="5">
        <v>87823</v>
      </c>
      <c r="J231" s="10"/>
    </row>
    <row r="232" spans="2:10" x14ac:dyDescent="0.3">
      <c r="B232" s="5" t="str">
        <v>ORD1512</v>
      </c>
      <c r="C232" s="5" t="str">
        <v>Headphones</v>
      </c>
      <c r="D232" s="5" t="str">
        <v>Accessories</v>
      </c>
      <c r="E232" s="5" t="str">
        <v>West</v>
      </c>
      <c r="F232" s="5" t="str">
        <v>May-2025</v>
      </c>
      <c r="G232" s="5">
        <v>120060</v>
      </c>
      <c r="H232" s="5">
        <v>6</v>
      </c>
      <c r="I232" s="5">
        <v>88656</v>
      </c>
      <c r="J232" s="10"/>
    </row>
    <row r="233" spans="2:10" x14ac:dyDescent="0.3">
      <c r="B233" s="5" t="str">
        <v>ORD1253</v>
      </c>
      <c r="C233" s="5" t="str">
        <v>Laptop</v>
      </c>
      <c r="D233" s="5" t="str">
        <v>Electronics</v>
      </c>
      <c r="E233" s="5" t="str">
        <v>West</v>
      </c>
      <c r="F233" s="5" t="str">
        <v>Jun-2025</v>
      </c>
      <c r="G233" s="5">
        <v>120028</v>
      </c>
      <c r="H233" s="5">
        <v>14</v>
      </c>
      <c r="I233" s="5">
        <v>87146</v>
      </c>
      <c r="J233" s="10"/>
    </row>
    <row r="234" spans="2:10" x14ac:dyDescent="0.3">
      <c r="B234" s="5" t="str">
        <v>ORD1823</v>
      </c>
      <c r="C234" s="5" t="str">
        <v>Keyboard</v>
      </c>
      <c r="D234" s="5" t="str">
        <v>Peripherals</v>
      </c>
      <c r="E234" s="5" t="str">
        <v>North</v>
      </c>
      <c r="F234" s="5" t="str">
        <v>Apr-2025</v>
      </c>
      <c r="G234" s="5">
        <v>120023</v>
      </c>
      <c r="H234" s="5">
        <v>6</v>
      </c>
      <c r="I234" s="5">
        <v>87801</v>
      </c>
      <c r="J234" s="10"/>
    </row>
    <row r="235" spans="2:10" x14ac:dyDescent="0.3">
      <c r="B235" s="5" t="str">
        <v>ORD1878</v>
      </c>
      <c r="C235" s="5" t="str">
        <v>Printer</v>
      </c>
      <c r="D235" s="5" t="str">
        <v>Peripherals</v>
      </c>
      <c r="E235" s="5" t="str">
        <v>West</v>
      </c>
      <c r="F235" s="5" t="str">
        <v>Mar-2025</v>
      </c>
      <c r="G235" s="5">
        <v>119811</v>
      </c>
      <c r="H235" s="5">
        <v>14</v>
      </c>
      <c r="I235" s="5">
        <v>79127</v>
      </c>
      <c r="J235" s="10"/>
    </row>
    <row r="236" spans="2:10" x14ac:dyDescent="0.3">
      <c r="B236" s="5" t="str">
        <v>ORD1351</v>
      </c>
      <c r="C236" s="5" t="str">
        <v>Mouse</v>
      </c>
      <c r="D236" s="5" t="str">
        <v>Accessories</v>
      </c>
      <c r="E236" s="5" t="str">
        <v>West</v>
      </c>
      <c r="F236" s="5" t="str">
        <v>Sep-2025</v>
      </c>
      <c r="G236" s="5">
        <v>119686</v>
      </c>
      <c r="H236" s="5">
        <v>8</v>
      </c>
      <c r="I236" s="5">
        <v>82028</v>
      </c>
      <c r="J236" s="10"/>
    </row>
    <row r="237" spans="2:10" x14ac:dyDescent="0.3">
      <c r="B237" s="5" t="str">
        <v>ORD1217</v>
      </c>
      <c r="C237" s="5" t="str">
        <v>Monitor</v>
      </c>
      <c r="D237" s="5" t="str">
        <v>Peripherals</v>
      </c>
      <c r="E237" s="5" t="str">
        <v>North</v>
      </c>
      <c r="F237" s="5" t="str">
        <v>May-2025</v>
      </c>
      <c r="G237" s="5">
        <v>119387</v>
      </c>
      <c r="H237" s="5">
        <v>2</v>
      </c>
      <c r="I237" s="5">
        <v>83740</v>
      </c>
      <c r="J237" s="10"/>
    </row>
    <row r="238" spans="2:10" x14ac:dyDescent="0.3">
      <c r="B238" s="5" t="str">
        <v>ORD1662</v>
      </c>
      <c r="C238" s="5" t="str">
        <v>Printer</v>
      </c>
      <c r="D238" s="5" t="str">
        <v>Peripherals</v>
      </c>
      <c r="E238" s="5" t="str">
        <v>North</v>
      </c>
      <c r="F238" s="5" t="str">
        <v>Jun-2025</v>
      </c>
      <c r="G238" s="5">
        <v>119360</v>
      </c>
      <c r="H238" s="5">
        <v>8</v>
      </c>
      <c r="I238" s="5">
        <v>86073</v>
      </c>
      <c r="J238" s="10"/>
    </row>
    <row r="239" spans="2:10" x14ac:dyDescent="0.3">
      <c r="B239" s="5" t="str">
        <v>ORD1080</v>
      </c>
      <c r="C239" s="5" t="str">
        <v>Laptop</v>
      </c>
      <c r="D239" s="5" t="str">
        <v>Electronics</v>
      </c>
      <c r="E239" s="5" t="str">
        <v>North</v>
      </c>
      <c r="F239" s="5" t="str">
        <v>Dec-2025</v>
      </c>
      <c r="G239" s="5">
        <v>119213</v>
      </c>
      <c r="H239" s="5">
        <v>11</v>
      </c>
      <c r="I239" s="5">
        <v>78436</v>
      </c>
      <c r="J239" s="10"/>
    </row>
    <row r="240" spans="2:10" x14ac:dyDescent="0.3">
      <c r="B240" s="5" t="str">
        <v>ORD1303</v>
      </c>
      <c r="C240" s="5" t="str">
        <v>Headphones</v>
      </c>
      <c r="D240" s="5" t="str">
        <v>Accessories</v>
      </c>
      <c r="E240" s="5" t="str">
        <v>North</v>
      </c>
      <c r="F240" s="5" t="str">
        <v>Jul-2025</v>
      </c>
      <c r="G240" s="5">
        <v>118676</v>
      </c>
      <c r="H240" s="5">
        <v>13</v>
      </c>
      <c r="I240" s="5">
        <v>75920</v>
      </c>
      <c r="J240" s="10"/>
    </row>
    <row r="241" spans="2:10" x14ac:dyDescent="0.3">
      <c r="B241" s="5" t="str">
        <v>ORD1328</v>
      </c>
      <c r="C241" s="5" t="str">
        <v>Tablet</v>
      </c>
      <c r="D241" s="5" t="str">
        <v>Electronics</v>
      </c>
      <c r="E241" s="5" t="str">
        <v>West</v>
      </c>
      <c r="F241" s="5" t="str">
        <v>Sep-2025</v>
      </c>
      <c r="G241" s="5">
        <v>118378</v>
      </c>
      <c r="H241" s="5">
        <v>9</v>
      </c>
      <c r="I241" s="5">
        <v>83920</v>
      </c>
      <c r="J241" s="10"/>
    </row>
    <row r="242" spans="2:10" x14ac:dyDescent="0.3">
      <c r="B242" s="5" t="str">
        <v>ORD1809</v>
      </c>
      <c r="C242" s="5" t="str">
        <v>Tablet</v>
      </c>
      <c r="D242" s="5" t="str">
        <v>Electronics</v>
      </c>
      <c r="E242" s="5" t="str">
        <v>East</v>
      </c>
      <c r="F242" s="5" t="str">
        <v>Nov-2025</v>
      </c>
      <c r="G242" s="5">
        <v>118322</v>
      </c>
      <c r="H242" s="5">
        <v>6</v>
      </c>
      <c r="I242" s="5">
        <v>79823</v>
      </c>
      <c r="J242" s="10"/>
    </row>
    <row r="243" spans="2:10" x14ac:dyDescent="0.3">
      <c r="B243" s="5" t="str">
        <v>ORD1102</v>
      </c>
      <c r="C243" s="5" t="str">
        <v>Mouse</v>
      </c>
      <c r="D243" s="5" t="str">
        <v>Accessories</v>
      </c>
      <c r="E243" s="5" t="str">
        <v>West</v>
      </c>
      <c r="F243" s="5" t="str">
        <v>Jan-2025</v>
      </c>
      <c r="G243" s="5">
        <v>118114</v>
      </c>
      <c r="H243" s="5">
        <v>11</v>
      </c>
      <c r="I243" s="5">
        <v>87695</v>
      </c>
      <c r="J243" s="10"/>
    </row>
    <row r="244" spans="2:10" x14ac:dyDescent="0.3">
      <c r="B244" s="5" t="str">
        <v>ORD1391</v>
      </c>
      <c r="C244" s="5" t="str">
        <v>Tablet</v>
      </c>
      <c r="D244" s="5" t="str">
        <v>Electronics</v>
      </c>
      <c r="E244" s="5" t="str">
        <v>West</v>
      </c>
      <c r="F244" s="5" t="str">
        <v>Mar-2025</v>
      </c>
      <c r="G244" s="5">
        <v>118089</v>
      </c>
      <c r="H244" s="5">
        <v>8</v>
      </c>
      <c r="I244" s="5">
        <v>74074</v>
      </c>
      <c r="J244" s="10"/>
    </row>
    <row r="245" spans="2:10" x14ac:dyDescent="0.3">
      <c r="B245" s="5" t="str">
        <v>ORD1620</v>
      </c>
      <c r="C245" s="5" t="str">
        <v>Keyboard</v>
      </c>
      <c r="D245" s="5" t="str">
        <v>Peripherals</v>
      </c>
      <c r="E245" s="5" t="str">
        <v>South</v>
      </c>
      <c r="F245" s="5" t="str">
        <v>May-2025</v>
      </c>
      <c r="G245" s="5">
        <v>118062</v>
      </c>
      <c r="H245" s="5">
        <v>4</v>
      </c>
      <c r="I245" s="5">
        <v>71147</v>
      </c>
      <c r="J245" s="10"/>
    </row>
    <row r="246" spans="2:10" x14ac:dyDescent="0.3">
      <c r="B246" s="5" t="str">
        <v>ORD1951</v>
      </c>
      <c r="C246" s="5" t="str">
        <v>Keyboard</v>
      </c>
      <c r="D246" s="5" t="str">
        <v>Peripherals</v>
      </c>
      <c r="E246" s="5" t="str">
        <v>West</v>
      </c>
      <c r="F246" s="5" t="str">
        <v>Oct-2025</v>
      </c>
      <c r="G246" s="5">
        <v>117632</v>
      </c>
      <c r="H246" s="5">
        <v>4</v>
      </c>
      <c r="I246" s="5">
        <v>87075</v>
      </c>
      <c r="J246" s="10"/>
    </row>
    <row r="247" spans="2:10" x14ac:dyDescent="0.3">
      <c r="B247" s="5" t="str">
        <v>ORD1862</v>
      </c>
      <c r="C247" s="5" t="str">
        <v>Monitor</v>
      </c>
      <c r="D247" s="5" t="str">
        <v>Peripherals</v>
      </c>
      <c r="E247" s="5" t="str">
        <v>East</v>
      </c>
      <c r="F247" s="5" t="str">
        <v>Apr-2025</v>
      </c>
      <c r="G247" s="5">
        <v>117586</v>
      </c>
      <c r="H247" s="5">
        <v>4</v>
      </c>
      <c r="I247" s="5">
        <v>84297</v>
      </c>
      <c r="J247" s="10"/>
    </row>
    <row r="248" spans="2:10" x14ac:dyDescent="0.3">
      <c r="B248" s="5" t="str">
        <v>ORD1769</v>
      </c>
      <c r="C248" s="5" t="str">
        <v>Printer</v>
      </c>
      <c r="D248" s="5" t="str">
        <v>Peripherals</v>
      </c>
      <c r="E248" s="5" t="str">
        <v>West</v>
      </c>
      <c r="F248" s="5" t="str">
        <v>Dec-2025</v>
      </c>
      <c r="G248" s="5">
        <v>117532</v>
      </c>
      <c r="H248" s="5">
        <v>11</v>
      </c>
      <c r="I248" s="5">
        <v>72751</v>
      </c>
      <c r="J248" s="10"/>
    </row>
    <row r="249" spans="2:10" x14ac:dyDescent="0.3">
      <c r="B249" s="5" t="str">
        <v>ORD1697</v>
      </c>
      <c r="C249" s="5" t="str">
        <v>Headphones</v>
      </c>
      <c r="D249" s="5" t="str">
        <v>Accessories</v>
      </c>
      <c r="E249" s="5" t="str">
        <v>North</v>
      </c>
      <c r="F249" s="5" t="str">
        <v>Nov-2025</v>
      </c>
      <c r="G249" s="5">
        <v>117490</v>
      </c>
      <c r="H249" s="5">
        <v>9</v>
      </c>
      <c r="I249" s="5">
        <v>81495</v>
      </c>
      <c r="J249" s="10"/>
    </row>
    <row r="250" spans="2:10" x14ac:dyDescent="0.3">
      <c r="B250" s="5" t="str">
        <v>ORD1026</v>
      </c>
      <c r="C250" s="5" t="str">
        <v>Mouse</v>
      </c>
      <c r="D250" s="5" t="str">
        <v>Accessories</v>
      </c>
      <c r="E250" s="5" t="str">
        <v>South</v>
      </c>
      <c r="F250" s="5" t="str">
        <v>Nov-2025</v>
      </c>
      <c r="G250" s="5">
        <v>117226</v>
      </c>
      <c r="H250" s="5">
        <v>14</v>
      </c>
      <c r="I250" s="5">
        <v>74749</v>
      </c>
      <c r="J250" s="10"/>
    </row>
    <row r="251" spans="2:10" x14ac:dyDescent="0.3">
      <c r="B251" s="5" t="str">
        <v>ORD1150</v>
      </c>
      <c r="C251" s="5" t="str">
        <v>Headphones</v>
      </c>
      <c r="D251" s="5" t="str">
        <v>Accessories</v>
      </c>
      <c r="E251" s="5" t="str">
        <v>North</v>
      </c>
      <c r="F251" s="5" t="str">
        <v>Sep-2025</v>
      </c>
      <c r="G251" s="5">
        <v>117209</v>
      </c>
      <c r="H251" s="5">
        <v>14</v>
      </c>
      <c r="I251" s="5">
        <v>70989</v>
      </c>
      <c r="J251" s="10"/>
    </row>
    <row r="252" spans="2:10" x14ac:dyDescent="0.3">
      <c r="B252" s="5" t="str">
        <v>ORD1460</v>
      </c>
      <c r="C252" s="5" t="str">
        <v>Keyboard</v>
      </c>
      <c r="D252" s="5" t="str">
        <v>Peripherals</v>
      </c>
      <c r="E252" s="5" t="str">
        <v>West</v>
      </c>
      <c r="F252" s="5" t="str">
        <v>Apr-2025</v>
      </c>
      <c r="G252" s="5">
        <v>117052</v>
      </c>
      <c r="H252" s="5">
        <v>9</v>
      </c>
      <c r="I252" s="5">
        <v>75376</v>
      </c>
      <c r="J252" s="10"/>
    </row>
    <row r="253" spans="2:10" x14ac:dyDescent="0.3">
      <c r="B253" s="5" t="str">
        <v>ORD1410</v>
      </c>
      <c r="C253" s="5" t="str">
        <v>Monitor</v>
      </c>
      <c r="D253" s="5" t="str">
        <v>Peripherals</v>
      </c>
      <c r="E253" s="5" t="str">
        <v>North</v>
      </c>
      <c r="F253" s="5" t="str">
        <v>Jun-2025</v>
      </c>
      <c r="G253" s="5">
        <v>116985</v>
      </c>
      <c r="H253" s="5">
        <v>3</v>
      </c>
      <c r="I253" s="5">
        <v>83325</v>
      </c>
      <c r="J253" s="10"/>
    </row>
    <row r="254" spans="2:10" x14ac:dyDescent="0.3">
      <c r="B254" s="5" t="str">
        <v>ORD1246</v>
      </c>
      <c r="C254" s="5" t="str">
        <v>Laptop</v>
      </c>
      <c r="D254" s="5" t="str">
        <v>Electronics</v>
      </c>
      <c r="E254" s="5" t="str">
        <v>East</v>
      </c>
      <c r="F254" s="5" t="str">
        <v>Aug-2025</v>
      </c>
      <c r="G254" s="5">
        <v>116900</v>
      </c>
      <c r="H254" s="5">
        <v>5</v>
      </c>
      <c r="I254" s="5">
        <v>82500</v>
      </c>
      <c r="J254" s="10"/>
    </row>
    <row r="255" spans="2:10" x14ac:dyDescent="0.3">
      <c r="B255" s="5" t="str">
        <v>ORD1088</v>
      </c>
      <c r="C255" s="5" t="str">
        <v>Laptop</v>
      </c>
      <c r="D255" s="5" t="str">
        <v>Electronics</v>
      </c>
      <c r="E255" s="5" t="str">
        <v>South</v>
      </c>
      <c r="F255" s="5" t="str">
        <v>Jul-2025</v>
      </c>
      <c r="G255" s="5">
        <v>116862</v>
      </c>
      <c r="H255" s="5">
        <v>2</v>
      </c>
      <c r="I255" s="5">
        <v>71792</v>
      </c>
      <c r="J255" s="10"/>
    </row>
    <row r="256" spans="2:10" x14ac:dyDescent="0.3">
      <c r="B256" s="5" t="str">
        <v>ORD1626</v>
      </c>
      <c r="C256" s="5" t="str">
        <v>Laptop</v>
      </c>
      <c r="D256" s="5" t="str">
        <v>Electronics</v>
      </c>
      <c r="E256" s="5" t="str">
        <v>West</v>
      </c>
      <c r="F256" s="5" t="str">
        <v>Aug-2025</v>
      </c>
      <c r="G256" s="5">
        <v>116698</v>
      </c>
      <c r="H256" s="5">
        <v>4</v>
      </c>
      <c r="I256" s="5">
        <v>85509</v>
      </c>
      <c r="J256" s="10"/>
    </row>
    <row r="257" spans="2:10" x14ac:dyDescent="0.3">
      <c r="B257" s="5" t="str">
        <v>ORD1282</v>
      </c>
      <c r="C257" s="5" t="str">
        <v>Headphones</v>
      </c>
      <c r="D257" s="5" t="str">
        <v>Accessories</v>
      </c>
      <c r="E257" s="5" t="str">
        <v>East</v>
      </c>
      <c r="F257" s="5" t="str">
        <v>Jun-2025</v>
      </c>
      <c r="G257" s="5">
        <v>116689</v>
      </c>
      <c r="H257" s="5">
        <v>10</v>
      </c>
      <c r="I257" s="5">
        <v>79568</v>
      </c>
      <c r="J257" s="10"/>
    </row>
    <row r="258" spans="2:10" x14ac:dyDescent="0.3">
      <c r="B258" s="5" t="str">
        <v>ORD1356</v>
      </c>
      <c r="C258" s="5" t="str">
        <v>Laptop</v>
      </c>
      <c r="D258" s="5" t="str">
        <v>Electronics</v>
      </c>
      <c r="E258" s="5" t="str">
        <v>North</v>
      </c>
      <c r="F258" s="5" t="str">
        <v>Sep-2025</v>
      </c>
      <c r="G258" s="5">
        <v>116462</v>
      </c>
      <c r="H258" s="5">
        <v>6</v>
      </c>
      <c r="I258" s="5">
        <v>78651</v>
      </c>
      <c r="J258" s="10"/>
    </row>
    <row r="259" spans="2:10" x14ac:dyDescent="0.3">
      <c r="B259" s="5" t="str">
        <v>ORD1145</v>
      </c>
      <c r="C259" s="5" t="str">
        <v>Monitor</v>
      </c>
      <c r="D259" s="5" t="str">
        <v>Peripherals</v>
      </c>
      <c r="E259" s="5" t="str">
        <v>South</v>
      </c>
      <c r="F259" s="5" t="str">
        <v>Aug-2025</v>
      </c>
      <c r="G259" s="5">
        <v>116356</v>
      </c>
      <c r="H259" s="5">
        <v>7</v>
      </c>
      <c r="I259" s="5">
        <v>75588</v>
      </c>
      <c r="J259" s="10"/>
    </row>
    <row r="260" spans="2:10" x14ac:dyDescent="0.3">
      <c r="B260" s="5" t="str">
        <v>ORD1254</v>
      </c>
      <c r="C260" s="5" t="str">
        <v>Headphones</v>
      </c>
      <c r="D260" s="5" t="str">
        <v>Accessories</v>
      </c>
      <c r="E260" s="5" t="str">
        <v>South</v>
      </c>
      <c r="F260" s="5" t="str">
        <v>Dec-2025</v>
      </c>
      <c r="G260" s="5">
        <v>116151</v>
      </c>
      <c r="H260" s="5">
        <v>12</v>
      </c>
      <c r="I260" s="5">
        <v>86693</v>
      </c>
      <c r="J260" s="10"/>
    </row>
    <row r="261" spans="2:10" x14ac:dyDescent="0.3">
      <c r="B261" s="5" t="str">
        <v>ORD1690</v>
      </c>
      <c r="C261" s="5" t="str">
        <v>Phone</v>
      </c>
      <c r="D261" s="5" t="str">
        <v>Electronics</v>
      </c>
      <c r="E261" s="5" t="str">
        <v>South</v>
      </c>
      <c r="F261" s="5" t="str">
        <v>Dec-2025</v>
      </c>
      <c r="G261" s="5">
        <v>115822</v>
      </c>
      <c r="H261" s="5">
        <v>5</v>
      </c>
      <c r="I261" s="5">
        <v>71555</v>
      </c>
      <c r="J261" s="10"/>
    </row>
    <row r="262" spans="2:10" x14ac:dyDescent="0.3">
      <c r="B262" s="5" t="str">
        <v>ORD1188</v>
      </c>
      <c r="C262" s="5" t="str">
        <v>Monitor</v>
      </c>
      <c r="D262" s="5" t="str">
        <v>Peripherals</v>
      </c>
      <c r="E262" s="5" t="str">
        <v>East</v>
      </c>
      <c r="F262" s="5" t="str">
        <v>Jun-2025</v>
      </c>
      <c r="G262" s="5">
        <v>115627</v>
      </c>
      <c r="H262" s="5">
        <v>3</v>
      </c>
      <c r="I262" s="5">
        <v>83655</v>
      </c>
      <c r="J262" s="10"/>
    </row>
    <row r="263" spans="2:10" x14ac:dyDescent="0.3">
      <c r="B263" s="5" t="str">
        <v>ORD1443</v>
      </c>
      <c r="C263" s="5" t="str">
        <v>Keyboard</v>
      </c>
      <c r="D263" s="5" t="str">
        <v>Peripherals</v>
      </c>
      <c r="E263" s="5" t="str">
        <v>East</v>
      </c>
      <c r="F263" s="5" t="str">
        <v>Mar-2025</v>
      </c>
      <c r="G263" s="5">
        <v>115346</v>
      </c>
      <c r="H263" s="5">
        <v>7</v>
      </c>
      <c r="I263" s="5">
        <v>78625</v>
      </c>
      <c r="J263" s="10"/>
    </row>
    <row r="264" spans="2:10" x14ac:dyDescent="0.3">
      <c r="B264" s="5" t="str">
        <v>ORD1467</v>
      </c>
      <c r="C264" s="5" t="str">
        <v>Monitor</v>
      </c>
      <c r="D264" s="5" t="str">
        <v>Peripherals</v>
      </c>
      <c r="E264" s="5" t="str">
        <v>East</v>
      </c>
      <c r="F264" s="5" t="str">
        <v>May-2025</v>
      </c>
      <c r="G264" s="5">
        <v>115296</v>
      </c>
      <c r="H264" s="5">
        <v>14</v>
      </c>
      <c r="I264" s="5">
        <v>77782</v>
      </c>
      <c r="J264" s="10"/>
    </row>
    <row r="265" spans="2:10" x14ac:dyDescent="0.3">
      <c r="B265" s="5" t="str">
        <v>ORD1928</v>
      </c>
      <c r="C265" s="5" t="str">
        <v>Keyboard</v>
      </c>
      <c r="D265" s="5" t="str">
        <v>Peripherals</v>
      </c>
      <c r="E265" s="5" t="str">
        <v>South</v>
      </c>
      <c r="F265" s="5" t="str">
        <v>Jul-2025</v>
      </c>
      <c r="G265" s="5">
        <v>115205</v>
      </c>
      <c r="H265" s="5">
        <v>8</v>
      </c>
      <c r="I265" s="5">
        <v>73022</v>
      </c>
      <c r="J265" s="10"/>
    </row>
    <row r="266" spans="2:10" x14ac:dyDescent="0.3">
      <c r="B266" s="5" t="str">
        <v>ORD1973</v>
      </c>
      <c r="C266" s="5" t="str">
        <v>Tablet</v>
      </c>
      <c r="D266" s="5" t="str">
        <v>Electronics</v>
      </c>
      <c r="E266" s="5" t="str">
        <v>West</v>
      </c>
      <c r="F266" s="5" t="str">
        <v>Aug-2025</v>
      </c>
      <c r="G266" s="5">
        <v>115171</v>
      </c>
      <c r="H266" s="5">
        <v>2</v>
      </c>
      <c r="I266" s="5">
        <v>70032</v>
      </c>
      <c r="J266" s="10"/>
    </row>
    <row r="267" spans="2:10" x14ac:dyDescent="0.3">
      <c r="B267" s="5" t="str">
        <v>ORD1121</v>
      </c>
      <c r="C267" s="5" t="str">
        <v>Phone</v>
      </c>
      <c r="D267" s="5" t="str">
        <v>Electronics</v>
      </c>
      <c r="E267" s="5" t="str">
        <v>East</v>
      </c>
      <c r="F267" s="5" t="str">
        <v>May-2025</v>
      </c>
      <c r="G267" s="5">
        <v>115098</v>
      </c>
      <c r="H267" s="5">
        <v>8</v>
      </c>
      <c r="I267" s="5">
        <v>74554</v>
      </c>
      <c r="J267" s="10"/>
    </row>
    <row r="268" spans="2:10" x14ac:dyDescent="0.3">
      <c r="B268" s="5" t="str">
        <v>ORD1046</v>
      </c>
      <c r="C268" s="5" t="str">
        <v>Laptop</v>
      </c>
      <c r="D268" s="5" t="str">
        <v>Electronics</v>
      </c>
      <c r="E268" s="5" t="str">
        <v>East</v>
      </c>
      <c r="F268" s="5" t="str">
        <v>Oct-2025</v>
      </c>
      <c r="G268" s="5">
        <v>114846</v>
      </c>
      <c r="H268" s="5">
        <v>7</v>
      </c>
      <c r="I268" s="5">
        <v>77887</v>
      </c>
      <c r="J268" s="10"/>
    </row>
    <row r="269" spans="2:10" x14ac:dyDescent="0.3">
      <c r="B269" s="5" t="str">
        <v>ORD1361</v>
      </c>
      <c r="C269" s="5" t="str">
        <v>Headphones</v>
      </c>
      <c r="D269" s="5" t="str">
        <v>Accessories</v>
      </c>
      <c r="E269" s="5" t="str">
        <v>South</v>
      </c>
      <c r="F269" s="5" t="str">
        <v>Aug-2025</v>
      </c>
      <c r="G269" s="5">
        <v>114833</v>
      </c>
      <c r="H269" s="5">
        <v>1</v>
      </c>
      <c r="I269" s="5">
        <v>72301</v>
      </c>
      <c r="J269" s="10"/>
    </row>
    <row r="270" spans="2:10" x14ac:dyDescent="0.3">
      <c r="B270" s="5" t="str">
        <v>ORD1609</v>
      </c>
      <c r="C270" s="5" t="str">
        <v>Phone</v>
      </c>
      <c r="D270" s="5" t="str">
        <v>Electronics</v>
      </c>
      <c r="E270" s="5" t="str">
        <v>South</v>
      </c>
      <c r="F270" s="5" t="str">
        <v>Nov-2025</v>
      </c>
      <c r="G270" s="5">
        <v>114753</v>
      </c>
      <c r="H270" s="5">
        <v>3</v>
      </c>
      <c r="I270" s="5">
        <v>75690</v>
      </c>
      <c r="J270" s="10"/>
    </row>
    <row r="271" spans="2:10" x14ac:dyDescent="0.3">
      <c r="B271" s="5" t="str">
        <v>ORD1586</v>
      </c>
      <c r="C271" s="5" t="str">
        <v>Printer</v>
      </c>
      <c r="D271" s="5" t="str">
        <v>Peripherals</v>
      </c>
      <c r="E271" s="5" t="str">
        <v>North</v>
      </c>
      <c r="F271" s="5" t="str">
        <v>Dec-2025</v>
      </c>
      <c r="G271" s="5">
        <v>114482</v>
      </c>
      <c r="H271" s="5">
        <v>13</v>
      </c>
      <c r="I271" s="5">
        <v>74287</v>
      </c>
      <c r="J271" s="10"/>
    </row>
    <row r="272" spans="2:10" x14ac:dyDescent="0.3">
      <c r="B272" s="5" t="str">
        <v>ORD1020</v>
      </c>
      <c r="C272" s="5" t="str">
        <v>Headphones</v>
      </c>
      <c r="D272" s="5" t="str">
        <v>Accessories</v>
      </c>
      <c r="E272" s="5" t="str">
        <v>West</v>
      </c>
      <c r="F272" s="5" t="str">
        <v>Oct-2025</v>
      </c>
      <c r="G272" s="5">
        <v>114397</v>
      </c>
      <c r="H272" s="5">
        <v>8</v>
      </c>
      <c r="I272" s="5">
        <v>77327</v>
      </c>
      <c r="J272" s="10"/>
    </row>
    <row r="273" spans="2:10" x14ac:dyDescent="0.3">
      <c r="B273" s="5" t="str">
        <v>ORD1292</v>
      </c>
      <c r="C273" s="5" t="str">
        <v>Monitor</v>
      </c>
      <c r="D273" s="5" t="str">
        <v>Peripherals</v>
      </c>
      <c r="E273" s="5" t="str">
        <v>West</v>
      </c>
      <c r="F273" s="5" t="str">
        <v>Jul-2025</v>
      </c>
      <c r="G273" s="5">
        <v>113988</v>
      </c>
      <c r="H273" s="5">
        <v>15</v>
      </c>
      <c r="I273" s="5">
        <v>83184</v>
      </c>
      <c r="J273" s="10"/>
    </row>
    <row r="274" spans="2:10" x14ac:dyDescent="0.3">
      <c r="B274" s="5" t="str">
        <v>ORD1021</v>
      </c>
      <c r="C274" s="5" t="str">
        <v>Phone</v>
      </c>
      <c r="D274" s="5" t="str">
        <v>Electronics</v>
      </c>
      <c r="E274" s="5" t="str">
        <v>West</v>
      </c>
      <c r="F274" s="5" t="str">
        <v>Oct-2025</v>
      </c>
      <c r="G274" s="5">
        <v>113793</v>
      </c>
      <c r="H274" s="5">
        <v>5</v>
      </c>
      <c r="I274" s="5">
        <v>77509</v>
      </c>
      <c r="J274" s="10"/>
    </row>
    <row r="275" spans="2:10" x14ac:dyDescent="0.3">
      <c r="B275" s="5" t="str">
        <v>ORD1735</v>
      </c>
      <c r="C275" s="5" t="str">
        <v>Keyboard</v>
      </c>
      <c r="D275" s="5" t="str">
        <v>Peripherals</v>
      </c>
      <c r="E275" s="5" t="str">
        <v>North</v>
      </c>
      <c r="F275" s="5" t="str">
        <v>Oct-2025</v>
      </c>
      <c r="G275" s="5">
        <v>113252</v>
      </c>
      <c r="H275" s="5">
        <v>14</v>
      </c>
      <c r="I275" s="5">
        <v>83568</v>
      </c>
      <c r="J275" s="10"/>
    </row>
    <row r="276" spans="2:10" x14ac:dyDescent="0.3">
      <c r="B276" s="5" t="str">
        <v>ORD1078</v>
      </c>
      <c r="C276" s="5" t="str">
        <v>Keyboard</v>
      </c>
      <c r="D276" s="5" t="str">
        <v>Peripherals</v>
      </c>
      <c r="E276" s="5" t="str">
        <v>West</v>
      </c>
      <c r="F276" s="5" t="str">
        <v>Apr-2025</v>
      </c>
      <c r="G276" s="5">
        <v>113187</v>
      </c>
      <c r="H276" s="5">
        <v>5</v>
      </c>
      <c r="I276" s="5">
        <v>80208</v>
      </c>
      <c r="J276" s="10"/>
    </row>
    <row r="277" spans="2:10" x14ac:dyDescent="0.3">
      <c r="B277" s="5" t="str">
        <v>ORD1978</v>
      </c>
      <c r="C277" s="5" t="str">
        <v>Headphones</v>
      </c>
      <c r="D277" s="5" t="str">
        <v>Accessories</v>
      </c>
      <c r="E277" s="5" t="str">
        <v>North</v>
      </c>
      <c r="F277" s="5" t="str">
        <v>Aug-2025</v>
      </c>
      <c r="G277" s="5">
        <v>113136</v>
      </c>
      <c r="H277" s="5">
        <v>11</v>
      </c>
      <c r="I277" s="5">
        <v>69190</v>
      </c>
      <c r="J277" s="10"/>
    </row>
    <row r="278" spans="2:10" x14ac:dyDescent="0.3">
      <c r="B278" s="5" t="str">
        <v>ORD1538</v>
      </c>
      <c r="C278" s="5" t="str">
        <v>Laptop</v>
      </c>
      <c r="D278" s="5" t="str">
        <v>Electronics</v>
      </c>
      <c r="E278" s="5" t="str">
        <v>East</v>
      </c>
      <c r="F278" s="5" t="str">
        <v>Dec-2025</v>
      </c>
      <c r="G278" s="5">
        <v>113099</v>
      </c>
      <c r="H278" s="5">
        <v>11</v>
      </c>
      <c r="I278" s="5">
        <v>83420</v>
      </c>
      <c r="J278" s="10"/>
    </row>
    <row r="279" spans="2:10" x14ac:dyDescent="0.3">
      <c r="B279" s="5" t="str">
        <v>ORD1722</v>
      </c>
      <c r="C279" s="5" t="str">
        <v>Tablet</v>
      </c>
      <c r="D279" s="5" t="str">
        <v>Electronics</v>
      </c>
      <c r="E279" s="5" t="str">
        <v>South</v>
      </c>
      <c r="F279" s="5" t="str">
        <v>Nov-2025</v>
      </c>
      <c r="G279" s="5">
        <v>113000</v>
      </c>
      <c r="H279" s="5">
        <v>6</v>
      </c>
      <c r="I279" s="5">
        <v>72394</v>
      </c>
      <c r="J279" s="10"/>
    </row>
    <row r="280" spans="2:10" x14ac:dyDescent="0.3">
      <c r="B280" s="5" t="str">
        <v>ORD1837</v>
      </c>
      <c r="C280" s="5" t="str">
        <v>Headphones</v>
      </c>
      <c r="D280" s="5" t="str">
        <v>Accessories</v>
      </c>
      <c r="E280" s="5" t="str">
        <v>West</v>
      </c>
      <c r="F280" s="5" t="str">
        <v>Jun-2025</v>
      </c>
      <c r="G280" s="5">
        <v>112806</v>
      </c>
      <c r="H280" s="5">
        <v>6</v>
      </c>
      <c r="I280" s="5">
        <v>81595</v>
      </c>
      <c r="J280" s="10"/>
    </row>
    <row r="281" spans="2:10" x14ac:dyDescent="0.3">
      <c r="B281" s="5" t="str">
        <v>ORD1541</v>
      </c>
      <c r="C281" s="5" t="str">
        <v>Mouse</v>
      </c>
      <c r="D281" s="5" t="str">
        <v>Accessories</v>
      </c>
      <c r="E281" s="5" t="str">
        <v>East</v>
      </c>
      <c r="F281" s="5" t="str">
        <v>Mar-2025</v>
      </c>
      <c r="G281" s="5">
        <v>112783</v>
      </c>
      <c r="H281" s="5">
        <v>12</v>
      </c>
      <c r="I281" s="5">
        <v>72568</v>
      </c>
      <c r="J281" s="10"/>
    </row>
    <row r="282" spans="2:10" x14ac:dyDescent="0.3">
      <c r="B282" s="5" t="str">
        <v>ORD1392</v>
      </c>
      <c r="C282" s="5" t="str">
        <v>Monitor</v>
      </c>
      <c r="D282" s="5" t="str">
        <v>Peripherals</v>
      </c>
      <c r="E282" s="5" t="str">
        <v>South</v>
      </c>
      <c r="F282" s="5" t="str">
        <v>Aug-2025</v>
      </c>
      <c r="G282" s="5">
        <v>112771</v>
      </c>
      <c r="H282" s="5">
        <v>4</v>
      </c>
      <c r="I282" s="5">
        <v>70427</v>
      </c>
      <c r="J282" s="10"/>
    </row>
    <row r="283" spans="2:10" x14ac:dyDescent="0.3">
      <c r="B283" s="5" t="str">
        <v>ORD1785</v>
      </c>
      <c r="C283" s="5" t="str">
        <v>Tablet</v>
      </c>
      <c r="D283" s="5" t="str">
        <v>Electronics</v>
      </c>
      <c r="E283" s="5" t="str">
        <v>North</v>
      </c>
      <c r="F283" s="5" t="str">
        <v>Jan-2025</v>
      </c>
      <c r="G283" s="5">
        <v>112572</v>
      </c>
      <c r="H283" s="5">
        <v>4</v>
      </c>
      <c r="I283" s="5">
        <v>80448</v>
      </c>
      <c r="J283" s="10"/>
    </row>
    <row r="284" spans="2:10" x14ac:dyDescent="0.3">
      <c r="B284" s="5" t="str">
        <v>ORD1474</v>
      </c>
      <c r="C284" s="5" t="str">
        <v>Mouse</v>
      </c>
      <c r="D284" s="5" t="str">
        <v>Accessories</v>
      </c>
      <c r="E284" s="5" t="str">
        <v>East</v>
      </c>
      <c r="F284" s="5" t="str">
        <v>Feb-2025</v>
      </c>
      <c r="G284" s="5">
        <v>112442</v>
      </c>
      <c r="H284" s="5">
        <v>15</v>
      </c>
      <c r="I284" s="5">
        <v>80117</v>
      </c>
      <c r="J284" s="10"/>
    </row>
    <row r="285" spans="2:10" x14ac:dyDescent="0.3">
      <c r="B285" s="5" t="str">
        <v>ORD1549</v>
      </c>
      <c r="C285" s="5" t="str">
        <v>Monitor</v>
      </c>
      <c r="D285" s="5" t="str">
        <v>Peripherals</v>
      </c>
      <c r="E285" s="5" t="str">
        <v>East</v>
      </c>
      <c r="F285" s="5" t="str">
        <v>Jul-2025</v>
      </c>
      <c r="G285" s="5">
        <v>112410</v>
      </c>
      <c r="H285" s="5">
        <v>9</v>
      </c>
      <c r="I285" s="5">
        <v>71805</v>
      </c>
      <c r="J285" s="10"/>
    </row>
    <row r="286" spans="2:10" x14ac:dyDescent="0.3">
      <c r="B286" s="5" t="str">
        <v>ORD1773</v>
      </c>
      <c r="C286" s="5" t="str">
        <v>Laptop</v>
      </c>
      <c r="D286" s="5" t="str">
        <v>Electronics</v>
      </c>
      <c r="E286" s="5" t="str">
        <v>East</v>
      </c>
      <c r="F286" s="5" t="str">
        <v>Jun-2025</v>
      </c>
      <c r="G286" s="5">
        <v>112253</v>
      </c>
      <c r="H286" s="5">
        <v>6</v>
      </c>
      <c r="I286" s="5">
        <v>76150</v>
      </c>
      <c r="J286" s="10"/>
    </row>
    <row r="287" spans="2:10" x14ac:dyDescent="0.3">
      <c r="B287" s="5" t="str">
        <v>ORD1289</v>
      </c>
      <c r="C287" s="5" t="str">
        <v>Tablet</v>
      </c>
      <c r="D287" s="5" t="str">
        <v>Electronics</v>
      </c>
      <c r="E287" s="5" t="str">
        <v>North</v>
      </c>
      <c r="F287" s="5" t="str">
        <v>Nov-2025</v>
      </c>
      <c r="G287" s="5">
        <v>112129</v>
      </c>
      <c r="H287" s="5">
        <v>14</v>
      </c>
      <c r="I287" s="5">
        <v>68743</v>
      </c>
      <c r="J287" s="10"/>
    </row>
    <row r="288" spans="2:10" x14ac:dyDescent="0.3">
      <c r="B288" s="5" t="str">
        <v>ORD1694</v>
      </c>
      <c r="C288" s="5" t="str">
        <v>Tablet</v>
      </c>
      <c r="D288" s="5" t="str">
        <v>Electronics</v>
      </c>
      <c r="E288" s="5" t="str">
        <v>North</v>
      </c>
      <c r="F288" s="5" t="str">
        <v>Oct-2025</v>
      </c>
      <c r="G288" s="5">
        <v>111670</v>
      </c>
      <c r="H288" s="5">
        <v>11</v>
      </c>
      <c r="I288" s="5">
        <v>67789</v>
      </c>
      <c r="J288" s="10"/>
    </row>
    <row r="289" spans="2:10" x14ac:dyDescent="0.3">
      <c r="B289" s="5" t="str">
        <v>ORD1491</v>
      </c>
      <c r="C289" s="5" t="str">
        <v>Monitor</v>
      </c>
      <c r="D289" s="5" t="str">
        <v>Peripherals</v>
      </c>
      <c r="E289" s="5" t="str">
        <v>South</v>
      </c>
      <c r="F289" s="5" t="str">
        <v>Apr-2025</v>
      </c>
      <c r="G289" s="5">
        <v>111659</v>
      </c>
      <c r="H289" s="5">
        <v>15</v>
      </c>
      <c r="I289" s="5">
        <v>81150</v>
      </c>
      <c r="J289" s="10"/>
    </row>
    <row r="290" spans="2:10" x14ac:dyDescent="0.3">
      <c r="B290" s="5" t="str">
        <v>ORD1174</v>
      </c>
      <c r="C290" s="5" t="str">
        <v>Keyboard</v>
      </c>
      <c r="D290" s="5" t="str">
        <v>Peripherals</v>
      </c>
      <c r="E290" s="5" t="str">
        <v>West</v>
      </c>
      <c r="F290" s="5" t="str">
        <v>Nov-2025</v>
      </c>
      <c r="G290" s="5">
        <v>111605</v>
      </c>
      <c r="H290" s="5">
        <v>1</v>
      </c>
      <c r="I290" s="5">
        <v>78585</v>
      </c>
      <c r="J290" s="10"/>
    </row>
    <row r="291" spans="2:10" x14ac:dyDescent="0.3">
      <c r="B291" s="5" t="str">
        <v>ORD1393</v>
      </c>
      <c r="C291" s="5" t="str">
        <v>Keyboard</v>
      </c>
      <c r="D291" s="5" t="str">
        <v>Peripherals</v>
      </c>
      <c r="E291" s="5" t="str">
        <v>East</v>
      </c>
      <c r="F291" s="5" t="str">
        <v>Nov-2025</v>
      </c>
      <c r="G291" s="5">
        <v>111479</v>
      </c>
      <c r="H291" s="5">
        <v>7</v>
      </c>
      <c r="I291" s="5">
        <v>71497</v>
      </c>
      <c r="J291" s="10"/>
    </row>
    <row r="292" spans="2:10" x14ac:dyDescent="0.3">
      <c r="B292" s="5" t="str">
        <v>ORD1577</v>
      </c>
      <c r="C292" s="5" t="str">
        <v>Tablet</v>
      </c>
      <c r="D292" s="5" t="str">
        <v>Electronics</v>
      </c>
      <c r="E292" s="5" t="str">
        <v>East</v>
      </c>
      <c r="F292" s="5" t="str">
        <v>Jul-2025</v>
      </c>
      <c r="G292" s="5">
        <v>111469</v>
      </c>
      <c r="H292" s="5">
        <v>1</v>
      </c>
      <c r="I292" s="5">
        <v>76990</v>
      </c>
      <c r="J292" s="10"/>
    </row>
    <row r="293" spans="2:10" x14ac:dyDescent="0.3">
      <c r="B293" s="5" t="str">
        <v>ORD1904</v>
      </c>
      <c r="C293" s="5" t="str">
        <v>Headphones</v>
      </c>
      <c r="D293" s="5" t="str">
        <v>Accessories</v>
      </c>
      <c r="E293" s="5" t="str">
        <v>East</v>
      </c>
      <c r="F293" s="5" t="str">
        <v>Nov-2025</v>
      </c>
      <c r="G293" s="5">
        <v>111409</v>
      </c>
      <c r="H293" s="5">
        <v>13</v>
      </c>
      <c r="I293" s="5">
        <v>72719</v>
      </c>
      <c r="J293" s="10"/>
    </row>
    <row r="294" spans="2:10" x14ac:dyDescent="0.3">
      <c r="B294" s="5" t="str">
        <v>ORD1552</v>
      </c>
      <c r="C294" s="5" t="str">
        <v>Laptop</v>
      </c>
      <c r="D294" s="5" t="str">
        <v>Electronics</v>
      </c>
      <c r="E294" s="5" t="str">
        <v>South</v>
      </c>
      <c r="F294" s="5" t="str">
        <v>Dec-2025</v>
      </c>
      <c r="G294" s="5">
        <v>111272</v>
      </c>
      <c r="H294" s="5">
        <v>10</v>
      </c>
      <c r="I294" s="5">
        <v>80418</v>
      </c>
      <c r="J294" s="10"/>
    </row>
    <row r="295" spans="2:10" x14ac:dyDescent="0.3">
      <c r="B295" s="5" t="str">
        <v>ORD1334</v>
      </c>
      <c r="C295" s="5" t="str">
        <v>Laptop</v>
      </c>
      <c r="D295" s="5" t="str">
        <v>Electronics</v>
      </c>
      <c r="E295" s="5" t="str">
        <v>North</v>
      </c>
      <c r="F295" s="5" t="str">
        <v>Mar-2025</v>
      </c>
      <c r="G295" s="5">
        <v>111242</v>
      </c>
      <c r="H295" s="5">
        <v>14</v>
      </c>
      <c r="I295" s="5">
        <v>80874</v>
      </c>
      <c r="J295" s="10"/>
    </row>
    <row r="296" spans="2:10" x14ac:dyDescent="0.3">
      <c r="B296" s="5" t="str">
        <v>ORD1596</v>
      </c>
      <c r="C296" s="5" t="str">
        <v>Mouse</v>
      </c>
      <c r="D296" s="5" t="str">
        <v>Accessories</v>
      </c>
      <c r="E296" s="5" t="str">
        <v>West</v>
      </c>
      <c r="F296" s="5" t="str">
        <v>Dec-2025</v>
      </c>
      <c r="G296" s="5">
        <v>110953</v>
      </c>
      <c r="H296" s="5">
        <v>11</v>
      </c>
      <c r="I296" s="5">
        <v>74371</v>
      </c>
      <c r="J296" s="10"/>
    </row>
    <row r="297" spans="2:10" x14ac:dyDescent="0.3">
      <c r="B297" s="5" t="str">
        <v>ORD1307</v>
      </c>
      <c r="C297" s="5" t="str">
        <v>Mouse</v>
      </c>
      <c r="D297" s="5" t="str">
        <v>Accessories</v>
      </c>
      <c r="E297" s="5" t="str">
        <v>South</v>
      </c>
      <c r="F297" s="5" t="str">
        <v>Apr-2025</v>
      </c>
      <c r="G297" s="5">
        <v>110496</v>
      </c>
      <c r="H297" s="5">
        <v>1</v>
      </c>
      <c r="I297" s="5">
        <v>68109</v>
      </c>
      <c r="J297" s="10"/>
    </row>
    <row r="298" spans="2:10" x14ac:dyDescent="0.3">
      <c r="B298" s="5" t="str">
        <v>ORD1195</v>
      </c>
      <c r="C298" s="5" t="str">
        <v>Monitor</v>
      </c>
      <c r="D298" s="5" t="str">
        <v>Peripherals</v>
      </c>
      <c r="E298" s="5" t="str">
        <v>East</v>
      </c>
      <c r="F298" s="5" t="str">
        <v>Mar-2025</v>
      </c>
      <c r="G298" s="5">
        <v>110405</v>
      </c>
      <c r="H298" s="5">
        <v>9</v>
      </c>
      <c r="I298" s="5">
        <v>68237</v>
      </c>
      <c r="J298" s="10"/>
    </row>
    <row r="299" spans="2:10" x14ac:dyDescent="0.3">
      <c r="B299" s="5" t="str">
        <v>ORD1191</v>
      </c>
      <c r="C299" s="5" t="str">
        <v>Laptop</v>
      </c>
      <c r="D299" s="5" t="str">
        <v>Electronics</v>
      </c>
      <c r="E299" s="5" t="str">
        <v>North</v>
      </c>
      <c r="F299" s="5" t="str">
        <v>Sep-2025</v>
      </c>
      <c r="G299" s="5">
        <v>110005</v>
      </c>
      <c r="H299" s="5">
        <v>14</v>
      </c>
      <c r="I299" s="5">
        <v>72278</v>
      </c>
      <c r="J299" s="10"/>
    </row>
    <row r="300" spans="2:10" x14ac:dyDescent="0.3">
      <c r="B300" s="5" t="str">
        <v>ORD1877</v>
      </c>
      <c r="C300" s="5" t="str">
        <v>Laptop</v>
      </c>
      <c r="D300" s="5" t="str">
        <v>Electronics</v>
      </c>
      <c r="E300" s="5" t="str">
        <v>South</v>
      </c>
      <c r="F300" s="5" t="str">
        <v>Aug-2025</v>
      </c>
      <c r="G300" s="5">
        <v>109827</v>
      </c>
      <c r="H300" s="5">
        <v>11</v>
      </c>
      <c r="I300" s="5">
        <v>79347</v>
      </c>
      <c r="J300" s="10"/>
    </row>
    <row r="301" spans="2:10" x14ac:dyDescent="0.3">
      <c r="B301" s="5" t="str">
        <v>ORD1783</v>
      </c>
      <c r="C301" s="5" t="str">
        <v>Tablet</v>
      </c>
      <c r="D301" s="5" t="str">
        <v>Electronics</v>
      </c>
      <c r="E301" s="5" t="str">
        <v>North</v>
      </c>
      <c r="F301" s="5" t="str">
        <v>Feb-2025</v>
      </c>
      <c r="G301" s="5">
        <v>109826</v>
      </c>
      <c r="H301" s="5">
        <v>10</v>
      </c>
      <c r="I301" s="5">
        <v>67440</v>
      </c>
      <c r="J301" s="10"/>
    </row>
    <row r="302" spans="2:10" x14ac:dyDescent="0.3">
      <c r="B302" s="5" t="str">
        <v>ORD1275</v>
      </c>
      <c r="C302" s="5" t="str">
        <v>Keyboard</v>
      </c>
      <c r="D302" s="5" t="str">
        <v>Peripherals</v>
      </c>
      <c r="E302" s="5" t="str">
        <v>East</v>
      </c>
      <c r="F302" s="5" t="str">
        <v>Oct-2025</v>
      </c>
      <c r="G302" s="5">
        <v>109713</v>
      </c>
      <c r="H302" s="5">
        <v>1</v>
      </c>
      <c r="I302" s="5">
        <v>77621</v>
      </c>
      <c r="J302" s="10"/>
    </row>
    <row r="303" spans="2:10" x14ac:dyDescent="0.3">
      <c r="B303" s="5" t="str">
        <v>ORD1564</v>
      </c>
      <c r="C303" s="5" t="str">
        <v>Laptop</v>
      </c>
      <c r="D303" s="5" t="str">
        <v>Electronics</v>
      </c>
      <c r="E303" s="5" t="str">
        <v>South</v>
      </c>
      <c r="F303" s="5" t="str">
        <v>Aug-2025</v>
      </c>
      <c r="G303" s="5">
        <v>109601</v>
      </c>
      <c r="H303" s="5">
        <v>3</v>
      </c>
      <c r="I303" s="5">
        <v>81967</v>
      </c>
      <c r="J303" s="10"/>
    </row>
    <row r="304" spans="2:10" x14ac:dyDescent="0.3">
      <c r="B304" s="5" t="str">
        <v>ORD1087</v>
      </c>
      <c r="C304" s="5" t="str">
        <v>Mouse</v>
      </c>
      <c r="D304" s="5" t="str">
        <v>Accessories</v>
      </c>
      <c r="E304" s="5" t="str">
        <v>West</v>
      </c>
      <c r="F304" s="5" t="str">
        <v>Jul-2025</v>
      </c>
      <c r="G304" s="5">
        <v>109184</v>
      </c>
      <c r="H304" s="5">
        <v>1</v>
      </c>
      <c r="I304" s="5">
        <v>68782</v>
      </c>
      <c r="J304" s="10"/>
    </row>
    <row r="305" spans="2:10" x14ac:dyDescent="0.3">
      <c r="B305" s="5" t="str">
        <v>ORD1170</v>
      </c>
      <c r="C305" s="5" t="str">
        <v>Laptop</v>
      </c>
      <c r="D305" s="5" t="str">
        <v>Electronics</v>
      </c>
      <c r="E305" s="5" t="str">
        <v>East</v>
      </c>
      <c r="F305" s="5" t="str">
        <v>Mar-2025</v>
      </c>
      <c r="G305" s="5">
        <v>109125</v>
      </c>
      <c r="H305" s="5">
        <v>13</v>
      </c>
      <c r="I305" s="5">
        <v>76207</v>
      </c>
      <c r="J305" s="10"/>
    </row>
    <row r="306" spans="2:10" x14ac:dyDescent="0.3">
      <c r="B306" s="5" t="str">
        <v>ORD1211</v>
      </c>
      <c r="C306" s="5" t="str">
        <v>Phone</v>
      </c>
      <c r="D306" s="5" t="str">
        <v>Electronics</v>
      </c>
      <c r="E306" s="5" t="str">
        <v>West</v>
      </c>
      <c r="F306" s="5" t="str">
        <v>Mar-2025</v>
      </c>
      <c r="G306" s="5">
        <v>109116</v>
      </c>
      <c r="H306" s="5">
        <v>1</v>
      </c>
      <c r="I306" s="5">
        <v>72283</v>
      </c>
      <c r="J306" s="10"/>
    </row>
    <row r="307" spans="2:10" x14ac:dyDescent="0.3">
      <c r="B307" s="5" t="str">
        <v>ORD1660</v>
      </c>
      <c r="C307" s="5" t="str">
        <v>Phone</v>
      </c>
      <c r="D307" s="5" t="str">
        <v>Electronics</v>
      </c>
      <c r="E307" s="5" t="str">
        <v>South</v>
      </c>
      <c r="F307" s="5" t="str">
        <v>Sep-2025</v>
      </c>
      <c r="G307" s="5">
        <v>109093</v>
      </c>
      <c r="H307" s="5">
        <v>5</v>
      </c>
      <c r="I307" s="5">
        <v>80921</v>
      </c>
      <c r="J307" s="10"/>
    </row>
    <row r="308" spans="2:10" x14ac:dyDescent="0.3">
      <c r="B308" s="5" t="str">
        <v>ORD1533</v>
      </c>
      <c r="C308" s="5" t="str">
        <v>Printer</v>
      </c>
      <c r="D308" s="5" t="str">
        <v>Peripherals</v>
      </c>
      <c r="E308" s="5" t="str">
        <v>East</v>
      </c>
      <c r="F308" s="5" t="str">
        <v>Feb-2025</v>
      </c>
      <c r="G308" s="5">
        <v>108697</v>
      </c>
      <c r="H308" s="5">
        <v>8</v>
      </c>
      <c r="I308" s="5">
        <v>67546</v>
      </c>
      <c r="J308" s="10"/>
    </row>
    <row r="309" spans="2:10" x14ac:dyDescent="0.3">
      <c r="B309" s="5" t="str">
        <v>ORD1320</v>
      </c>
      <c r="C309" s="5" t="str">
        <v>Phone</v>
      </c>
      <c r="D309" s="5" t="str">
        <v>Electronics</v>
      </c>
      <c r="E309" s="5" t="str">
        <v>North</v>
      </c>
      <c r="F309" s="5" t="str">
        <v>Mar-2025</v>
      </c>
      <c r="G309" s="5">
        <v>108556</v>
      </c>
      <c r="H309" s="5">
        <v>15</v>
      </c>
      <c r="I309" s="5">
        <v>75554</v>
      </c>
      <c r="J309" s="10"/>
    </row>
    <row r="310" spans="2:10" x14ac:dyDescent="0.3">
      <c r="B310" s="5" t="str">
        <v>ORD1231</v>
      </c>
      <c r="C310" s="5" t="str">
        <v>Monitor</v>
      </c>
      <c r="D310" s="5" t="str">
        <v>Peripherals</v>
      </c>
      <c r="E310" s="5" t="str">
        <v>East</v>
      </c>
      <c r="F310" s="5" t="str">
        <v>Sep-2025</v>
      </c>
      <c r="G310" s="5">
        <v>108515</v>
      </c>
      <c r="H310" s="5">
        <v>15</v>
      </c>
      <c r="I310" s="5">
        <v>78496</v>
      </c>
      <c r="J310" s="10"/>
    </row>
    <row r="311" spans="2:10" x14ac:dyDescent="0.3">
      <c r="B311" s="5" t="str">
        <v>ORD1593</v>
      </c>
      <c r="C311" s="5" t="str">
        <v>Mouse</v>
      </c>
      <c r="D311" s="5" t="str">
        <v>Accessories</v>
      </c>
      <c r="E311" s="5" t="str">
        <v>East</v>
      </c>
      <c r="F311" s="5" t="str">
        <v>Mar-2025</v>
      </c>
      <c r="G311" s="5">
        <v>108469</v>
      </c>
      <c r="H311" s="5">
        <v>10</v>
      </c>
      <c r="I311" s="5">
        <v>71899</v>
      </c>
      <c r="J311" s="10"/>
    </row>
    <row r="312" spans="2:10" x14ac:dyDescent="0.3">
      <c r="B312" s="5" t="str">
        <v>ORD1546</v>
      </c>
      <c r="C312" s="5" t="str">
        <v>Phone</v>
      </c>
      <c r="D312" s="5" t="str">
        <v>Electronics</v>
      </c>
      <c r="E312" s="5" t="str">
        <v>East</v>
      </c>
      <c r="F312" s="5" t="str">
        <v>Sep-2025</v>
      </c>
      <c r="G312" s="5">
        <v>108457</v>
      </c>
      <c r="H312" s="5">
        <v>10</v>
      </c>
      <c r="I312" s="5">
        <v>80667</v>
      </c>
      <c r="J312" s="10"/>
    </row>
    <row r="313" spans="2:10" x14ac:dyDescent="0.3">
      <c r="B313" s="5" t="str">
        <v>ORD1408</v>
      </c>
      <c r="C313" s="5" t="str">
        <v>Printer</v>
      </c>
      <c r="D313" s="5" t="str">
        <v>Peripherals</v>
      </c>
      <c r="E313" s="5" t="str">
        <v>North</v>
      </c>
      <c r="F313" s="5" t="str">
        <v>Oct-2025</v>
      </c>
      <c r="G313" s="5">
        <v>108441</v>
      </c>
      <c r="H313" s="5">
        <v>14</v>
      </c>
      <c r="I313" s="5">
        <v>80671</v>
      </c>
      <c r="J313" s="10"/>
    </row>
    <row r="314" spans="2:10" x14ac:dyDescent="0.3">
      <c r="B314" s="5" t="str">
        <v>ORD1927</v>
      </c>
      <c r="C314" s="5" t="str">
        <v>Keyboard</v>
      </c>
      <c r="D314" s="5" t="str">
        <v>Peripherals</v>
      </c>
      <c r="E314" s="5" t="str">
        <v>South</v>
      </c>
      <c r="F314" s="5" t="str">
        <v>Feb-2025</v>
      </c>
      <c r="G314" s="5">
        <v>108028</v>
      </c>
      <c r="H314" s="5">
        <v>2</v>
      </c>
      <c r="I314" s="5">
        <v>80420</v>
      </c>
      <c r="J314" s="10"/>
    </row>
    <row r="315" spans="2:10" x14ac:dyDescent="0.3">
      <c r="B315" s="5" t="str">
        <v>ORD1315</v>
      </c>
      <c r="C315" s="5" t="str">
        <v>Keyboard</v>
      </c>
      <c r="D315" s="5" t="str">
        <v>Peripherals</v>
      </c>
      <c r="E315" s="5" t="str">
        <v>West</v>
      </c>
      <c r="F315" s="5" t="str">
        <v>Jun-2025</v>
      </c>
      <c r="G315" s="5">
        <v>107835</v>
      </c>
      <c r="H315" s="5">
        <v>5</v>
      </c>
      <c r="I315" s="5">
        <v>65255</v>
      </c>
      <c r="J315" s="10"/>
    </row>
    <row r="316" spans="2:10" x14ac:dyDescent="0.3">
      <c r="B316" s="5" t="str">
        <v>ORD1808</v>
      </c>
      <c r="C316" s="5" t="str">
        <v>Mouse</v>
      </c>
      <c r="D316" s="5" t="str">
        <v>Accessories</v>
      </c>
      <c r="E316" s="5" t="str">
        <v>East</v>
      </c>
      <c r="F316" s="5" t="str">
        <v>Nov-2025</v>
      </c>
      <c r="G316" s="5">
        <v>107784</v>
      </c>
      <c r="H316" s="5">
        <v>6</v>
      </c>
      <c r="I316" s="5">
        <v>79374</v>
      </c>
      <c r="J316" s="10"/>
    </row>
    <row r="317" spans="2:10" x14ac:dyDescent="0.3">
      <c r="B317" s="5" t="str">
        <v>ORD1237</v>
      </c>
      <c r="C317" s="5" t="str">
        <v>Printer</v>
      </c>
      <c r="D317" s="5" t="str">
        <v>Peripherals</v>
      </c>
      <c r="E317" s="5" t="str">
        <v>North</v>
      </c>
      <c r="F317" s="5" t="str">
        <v>Feb-2025</v>
      </c>
      <c r="G317" s="5">
        <v>107784</v>
      </c>
      <c r="H317" s="5">
        <v>12</v>
      </c>
      <c r="I317" s="5">
        <v>69320</v>
      </c>
      <c r="J317" s="10"/>
    </row>
    <row r="318" spans="2:10" x14ac:dyDescent="0.3">
      <c r="B318" s="5" t="str">
        <v>ORD1314</v>
      </c>
      <c r="C318" s="5" t="str">
        <v>Printer</v>
      </c>
      <c r="D318" s="5" t="str">
        <v>Peripherals</v>
      </c>
      <c r="E318" s="5" t="str">
        <v>East</v>
      </c>
      <c r="F318" s="5" t="str">
        <v>Aug-2025</v>
      </c>
      <c r="G318" s="5">
        <v>107733</v>
      </c>
      <c r="H318" s="5">
        <v>12</v>
      </c>
      <c r="I318" s="5">
        <v>65281</v>
      </c>
      <c r="J318" s="10"/>
    </row>
    <row r="319" spans="2:10" x14ac:dyDescent="0.3">
      <c r="B319" s="5" t="str">
        <v>ORD1494</v>
      </c>
      <c r="C319" s="5" t="str">
        <v>Phone</v>
      </c>
      <c r="D319" s="5" t="str">
        <v>Electronics</v>
      </c>
      <c r="E319" s="5" t="str">
        <v>East</v>
      </c>
      <c r="F319" s="5" t="str">
        <v>Sep-2025</v>
      </c>
      <c r="G319" s="5">
        <v>107559</v>
      </c>
      <c r="H319" s="5">
        <v>1</v>
      </c>
      <c r="I319" s="5">
        <v>66290</v>
      </c>
      <c r="J319" s="10"/>
    </row>
    <row r="320" spans="2:10" x14ac:dyDescent="0.3">
      <c r="B320" s="5" t="str">
        <v>ORD1539</v>
      </c>
      <c r="C320" s="5" t="str">
        <v>Printer</v>
      </c>
      <c r="D320" s="5" t="str">
        <v>Peripherals</v>
      </c>
      <c r="E320" s="5" t="str">
        <v>North</v>
      </c>
      <c r="F320" s="5" t="str">
        <v>Feb-2025</v>
      </c>
      <c r="G320" s="5">
        <v>107500</v>
      </c>
      <c r="H320" s="5">
        <v>15</v>
      </c>
      <c r="I320" s="5">
        <v>79986</v>
      </c>
      <c r="J320" s="10"/>
    </row>
    <row r="321" spans="2:10" x14ac:dyDescent="0.3">
      <c r="B321" s="5" t="str">
        <v>ORD1663</v>
      </c>
      <c r="C321" s="5" t="str">
        <v>Mouse</v>
      </c>
      <c r="D321" s="5" t="str">
        <v>Accessories</v>
      </c>
      <c r="E321" s="5" t="str">
        <v>West</v>
      </c>
      <c r="F321" s="5" t="str">
        <v>May-2025</v>
      </c>
      <c r="G321" s="5">
        <v>107256</v>
      </c>
      <c r="H321" s="5">
        <v>14</v>
      </c>
      <c r="I321" s="5">
        <v>72199</v>
      </c>
      <c r="J321" s="10"/>
    </row>
    <row r="322" spans="2:10" x14ac:dyDescent="0.3">
      <c r="B322" s="5" t="str">
        <v>ORD1602</v>
      </c>
      <c r="C322" s="5" t="str">
        <v>Monitor</v>
      </c>
      <c r="D322" s="5" t="str">
        <v>Peripherals</v>
      </c>
      <c r="E322" s="5" t="str">
        <v>North</v>
      </c>
      <c r="F322" s="5" t="str">
        <v>Jul-2025</v>
      </c>
      <c r="G322" s="5">
        <v>106975</v>
      </c>
      <c r="H322" s="5">
        <v>7</v>
      </c>
      <c r="I322" s="5">
        <v>68053</v>
      </c>
      <c r="J322" s="10"/>
    </row>
    <row r="323" spans="2:10" x14ac:dyDescent="0.3">
      <c r="B323" s="5" t="str">
        <v>ORD1505</v>
      </c>
      <c r="C323" s="5" t="str">
        <v>Monitor</v>
      </c>
      <c r="D323" s="5" t="str">
        <v>Peripherals</v>
      </c>
      <c r="E323" s="5" t="str">
        <v>East</v>
      </c>
      <c r="F323" s="5" t="str">
        <v>Aug-2025</v>
      </c>
      <c r="G323" s="5">
        <v>106809</v>
      </c>
      <c r="H323" s="5">
        <v>13</v>
      </c>
      <c r="I323" s="5">
        <v>67506</v>
      </c>
      <c r="J323" s="10"/>
    </row>
    <row r="324" spans="2:10" x14ac:dyDescent="0.3">
      <c r="B324" s="5" t="str">
        <v>ORD1159</v>
      </c>
      <c r="C324" s="5" t="str">
        <v>Keyboard</v>
      </c>
      <c r="D324" s="5" t="str">
        <v>Peripherals</v>
      </c>
      <c r="E324" s="5" t="str">
        <v>West</v>
      </c>
      <c r="F324" s="5" t="str">
        <v>Aug-2025</v>
      </c>
      <c r="G324" s="5">
        <v>106778</v>
      </c>
      <c r="H324" s="5">
        <v>2</v>
      </c>
      <c r="I324" s="5">
        <v>68594</v>
      </c>
      <c r="J324" s="10"/>
    </row>
    <row r="325" spans="2:10" x14ac:dyDescent="0.3">
      <c r="B325" s="5" t="str">
        <v>ORD1425</v>
      </c>
      <c r="C325" s="5" t="str">
        <v>Keyboard</v>
      </c>
      <c r="D325" s="5" t="str">
        <v>Peripherals</v>
      </c>
      <c r="E325" s="5" t="str">
        <v>East</v>
      </c>
      <c r="F325" s="5" t="str">
        <v>Mar-2025</v>
      </c>
      <c r="G325" s="5">
        <v>106298</v>
      </c>
      <c r="H325" s="5">
        <v>15</v>
      </c>
      <c r="I325" s="5">
        <v>75497</v>
      </c>
      <c r="J325" s="10"/>
    </row>
    <row r="326" spans="2:10" x14ac:dyDescent="0.3">
      <c r="B326" s="5" t="str">
        <v>ORD1358</v>
      </c>
      <c r="C326" s="5" t="str">
        <v>Keyboard</v>
      </c>
      <c r="D326" s="5" t="str">
        <v>Peripherals</v>
      </c>
      <c r="E326" s="5" t="str">
        <v>South</v>
      </c>
      <c r="F326" s="5" t="str">
        <v>Oct-2025</v>
      </c>
      <c r="G326" s="5">
        <v>106015</v>
      </c>
      <c r="H326" s="5">
        <v>3</v>
      </c>
      <c r="I326" s="5">
        <v>73812</v>
      </c>
      <c r="J326" s="10"/>
    </row>
    <row r="327" spans="2:10" x14ac:dyDescent="0.3">
      <c r="B327" s="5" t="str">
        <v>ORD1302</v>
      </c>
      <c r="C327" s="5" t="str">
        <v>Headphones</v>
      </c>
      <c r="D327" s="5" t="str">
        <v>Accessories</v>
      </c>
      <c r="E327" s="5" t="str">
        <v>East</v>
      </c>
      <c r="F327" s="5" t="str">
        <v>May-2025</v>
      </c>
      <c r="G327" s="5">
        <v>105656</v>
      </c>
      <c r="H327" s="5">
        <v>7</v>
      </c>
      <c r="I327" s="5">
        <v>75881</v>
      </c>
      <c r="J327" s="10"/>
    </row>
    <row r="328" spans="2:10" x14ac:dyDescent="0.3">
      <c r="B328" s="5" t="str">
        <v>ORD1207</v>
      </c>
      <c r="C328" s="5" t="str">
        <v>Mouse</v>
      </c>
      <c r="D328" s="5" t="str">
        <v>Accessories</v>
      </c>
      <c r="E328" s="5" t="str">
        <v>East</v>
      </c>
      <c r="F328" s="5" t="str">
        <v>May-2025</v>
      </c>
      <c r="G328" s="5">
        <v>105360</v>
      </c>
      <c r="H328" s="5">
        <v>10</v>
      </c>
      <c r="I328" s="5">
        <v>70110</v>
      </c>
      <c r="J328" s="10"/>
    </row>
    <row r="329" spans="2:10" x14ac:dyDescent="0.3">
      <c r="B329" s="5" t="str">
        <v>ORD1048</v>
      </c>
      <c r="C329" s="5" t="str">
        <v>Monitor</v>
      </c>
      <c r="D329" s="5" t="str">
        <v>Peripherals</v>
      </c>
      <c r="E329" s="5" t="str">
        <v>West</v>
      </c>
      <c r="F329" s="5" t="str">
        <v>Aug-2025</v>
      </c>
      <c r="G329" s="5">
        <v>105320</v>
      </c>
      <c r="H329" s="5">
        <v>15</v>
      </c>
      <c r="I329" s="5">
        <v>65870</v>
      </c>
      <c r="J329" s="10"/>
    </row>
    <row r="330" spans="2:10" x14ac:dyDescent="0.3">
      <c r="B330" s="5" t="str">
        <v>ORD1133</v>
      </c>
      <c r="C330" s="5" t="str">
        <v>Laptop</v>
      </c>
      <c r="D330" s="5" t="str">
        <v>Electronics</v>
      </c>
      <c r="E330" s="5" t="str">
        <v>West</v>
      </c>
      <c r="F330" s="5" t="str">
        <v>Mar-2025</v>
      </c>
      <c r="G330" s="5">
        <v>105286</v>
      </c>
      <c r="H330" s="5">
        <v>11</v>
      </c>
      <c r="I330" s="5">
        <v>67897</v>
      </c>
      <c r="J330" s="10"/>
    </row>
    <row r="331" spans="2:10" x14ac:dyDescent="0.3">
      <c r="B331" s="5" t="str">
        <v>ORD1216</v>
      </c>
      <c r="C331" s="5" t="str">
        <v>Phone</v>
      </c>
      <c r="D331" s="5" t="str">
        <v>Electronics</v>
      </c>
      <c r="E331" s="5" t="str">
        <v>West</v>
      </c>
      <c r="F331" s="5" t="str">
        <v>Oct-2025</v>
      </c>
      <c r="G331" s="5">
        <v>105020</v>
      </c>
      <c r="H331" s="5">
        <v>12</v>
      </c>
      <c r="I331" s="5">
        <v>74234</v>
      </c>
      <c r="J331" s="10"/>
    </row>
    <row r="332" spans="2:10" x14ac:dyDescent="0.3">
      <c r="B332" s="5" t="str">
        <v>ORD1305</v>
      </c>
      <c r="C332" s="5" t="str">
        <v>Monitor</v>
      </c>
      <c r="D332" s="5" t="str">
        <v>Peripherals</v>
      </c>
      <c r="E332" s="5" t="str">
        <v>South</v>
      </c>
      <c r="F332" s="5" t="str">
        <v>Mar-2025</v>
      </c>
      <c r="G332" s="5">
        <v>104906</v>
      </c>
      <c r="H332" s="5">
        <v>9</v>
      </c>
      <c r="I332" s="5">
        <v>75460</v>
      </c>
      <c r="J332" s="10"/>
    </row>
    <row r="333" spans="2:10" x14ac:dyDescent="0.3">
      <c r="B333" s="5" t="str">
        <v>ORD1779</v>
      </c>
      <c r="C333" s="5" t="str">
        <v>Keyboard</v>
      </c>
      <c r="D333" s="5" t="str">
        <v>Peripherals</v>
      </c>
      <c r="E333" s="5" t="str">
        <v>South</v>
      </c>
      <c r="F333" s="5" t="str">
        <v>May-2025</v>
      </c>
      <c r="G333" s="5">
        <v>104623</v>
      </c>
      <c r="H333" s="5">
        <v>2</v>
      </c>
      <c r="I333" s="5">
        <v>63476</v>
      </c>
      <c r="J333" s="10"/>
    </row>
    <row r="334" spans="2:10" x14ac:dyDescent="0.3">
      <c r="B334" s="5" t="str">
        <v>ORD1298</v>
      </c>
      <c r="C334" s="5" t="str">
        <v>Laptop</v>
      </c>
      <c r="D334" s="5" t="str">
        <v>Electronics</v>
      </c>
      <c r="E334" s="5" t="str">
        <v>East</v>
      </c>
      <c r="F334" s="5" t="str">
        <v>Jul-2025</v>
      </c>
      <c r="G334" s="5">
        <v>104583</v>
      </c>
      <c r="H334" s="5">
        <v>14</v>
      </c>
      <c r="I334" s="5">
        <v>76851</v>
      </c>
      <c r="J334" s="10"/>
    </row>
    <row r="335" spans="2:10" x14ac:dyDescent="0.3">
      <c r="B335" s="5" t="str">
        <v>ORD1615</v>
      </c>
      <c r="C335" s="5" t="str">
        <v>Keyboard</v>
      </c>
      <c r="D335" s="5" t="str">
        <v>Peripherals</v>
      </c>
      <c r="E335" s="5" t="str">
        <v>South</v>
      </c>
      <c r="F335" s="5" t="str">
        <v>Nov-2025</v>
      </c>
      <c r="G335" s="5">
        <v>104491</v>
      </c>
      <c r="H335" s="5">
        <v>11</v>
      </c>
      <c r="I335" s="5">
        <v>74029</v>
      </c>
      <c r="J335" s="10"/>
    </row>
    <row r="336" spans="2:10" x14ac:dyDescent="0.3">
      <c r="B336" s="5" t="str">
        <v>ORD1731</v>
      </c>
      <c r="C336" s="5" t="str">
        <v>Tablet</v>
      </c>
      <c r="D336" s="5" t="str">
        <v>Electronics</v>
      </c>
      <c r="E336" s="5" t="str">
        <v>East</v>
      </c>
      <c r="F336" s="5" t="str">
        <v>Apr-2025</v>
      </c>
      <c r="G336" s="5">
        <v>104337</v>
      </c>
      <c r="H336" s="5">
        <v>2</v>
      </c>
      <c r="I336" s="5">
        <v>62732</v>
      </c>
      <c r="J336" s="10"/>
    </row>
    <row r="337" spans="2:10" x14ac:dyDescent="0.3">
      <c r="B337" s="5" t="str">
        <v>ORD1696</v>
      </c>
      <c r="C337" s="5" t="str">
        <v>Mouse</v>
      </c>
      <c r="D337" s="5" t="str">
        <v>Accessories</v>
      </c>
      <c r="E337" s="5" t="str">
        <v>West</v>
      </c>
      <c r="F337" s="5" t="str">
        <v>Aug-2025</v>
      </c>
      <c r="G337" s="5">
        <v>104304</v>
      </c>
      <c r="H337" s="5">
        <v>4</v>
      </c>
      <c r="I337" s="5">
        <v>66518</v>
      </c>
      <c r="J337" s="10"/>
    </row>
    <row r="338" spans="2:10" x14ac:dyDescent="0.3">
      <c r="B338" s="5" t="str">
        <v>ORD1483</v>
      </c>
      <c r="C338" s="5" t="str">
        <v>Printer</v>
      </c>
      <c r="D338" s="5" t="str">
        <v>Peripherals</v>
      </c>
      <c r="E338" s="5" t="str">
        <v>East</v>
      </c>
      <c r="F338" s="5" t="str">
        <v>Oct-2025</v>
      </c>
      <c r="G338" s="5">
        <v>103961</v>
      </c>
      <c r="H338" s="5">
        <v>12</v>
      </c>
      <c r="I338" s="5">
        <v>74722</v>
      </c>
      <c r="J338" s="10"/>
    </row>
    <row r="339" spans="2:10" x14ac:dyDescent="0.3">
      <c r="B339" s="5" t="str">
        <v>ORD1178</v>
      </c>
      <c r="C339" s="5" t="str">
        <v>Keyboard</v>
      </c>
      <c r="D339" s="5" t="str">
        <v>Peripherals</v>
      </c>
      <c r="E339" s="5" t="str">
        <v>South</v>
      </c>
      <c r="F339" s="5" t="str">
        <v>May-2025</v>
      </c>
      <c r="G339" s="5">
        <v>103619</v>
      </c>
      <c r="H339" s="5">
        <v>8</v>
      </c>
      <c r="I339" s="5">
        <v>68988</v>
      </c>
      <c r="J339" s="10"/>
    </row>
    <row r="340" spans="2:10" x14ac:dyDescent="0.3">
      <c r="B340" s="5" t="str">
        <v>ORD1407</v>
      </c>
      <c r="C340" s="5" t="str">
        <v>Printer</v>
      </c>
      <c r="D340" s="5" t="str">
        <v>Peripherals</v>
      </c>
      <c r="E340" s="5" t="str">
        <v>West</v>
      </c>
      <c r="F340" s="5" t="str">
        <v>Jul-2025</v>
      </c>
      <c r="G340" s="5">
        <v>103557</v>
      </c>
      <c r="H340" s="5">
        <v>13</v>
      </c>
      <c r="I340" s="5">
        <v>65914</v>
      </c>
      <c r="J340" s="10"/>
    </row>
    <row r="341" spans="2:10" x14ac:dyDescent="0.3">
      <c r="B341" s="5" t="str">
        <v>ORD1777</v>
      </c>
      <c r="C341" s="5" t="str">
        <v>Keyboard</v>
      </c>
      <c r="D341" s="5" t="str">
        <v>Peripherals</v>
      </c>
      <c r="E341" s="5" t="str">
        <v>West</v>
      </c>
      <c r="F341" s="5" t="str">
        <v>Oct-2025</v>
      </c>
      <c r="G341" s="5">
        <v>103240</v>
      </c>
      <c r="H341" s="5">
        <v>6</v>
      </c>
      <c r="I341" s="5">
        <v>65364</v>
      </c>
      <c r="J341" s="10"/>
    </row>
    <row r="342" spans="2:10" x14ac:dyDescent="0.3">
      <c r="B342" s="5" t="str">
        <v>ORD1173</v>
      </c>
      <c r="C342" s="5" t="str">
        <v>Laptop</v>
      </c>
      <c r="D342" s="5" t="str">
        <v>Electronics</v>
      </c>
      <c r="E342" s="5" t="str">
        <v>East</v>
      </c>
      <c r="F342" s="5" t="str">
        <v>Apr-2025</v>
      </c>
      <c r="G342" s="5">
        <v>103031</v>
      </c>
      <c r="H342" s="5">
        <v>7</v>
      </c>
      <c r="I342" s="5">
        <v>74749</v>
      </c>
      <c r="J342" s="10"/>
    </row>
    <row r="343" spans="2:10" x14ac:dyDescent="0.3">
      <c r="B343" s="5" t="str">
        <v>ORD1364</v>
      </c>
      <c r="C343" s="5" t="str">
        <v>Printer</v>
      </c>
      <c r="D343" s="5" t="str">
        <v>Peripherals</v>
      </c>
      <c r="E343" s="5" t="str">
        <v>North</v>
      </c>
      <c r="F343" s="5" t="str">
        <v>Apr-2025</v>
      </c>
      <c r="G343" s="5">
        <v>103002</v>
      </c>
      <c r="H343" s="5">
        <v>6</v>
      </c>
      <c r="I343" s="5">
        <v>66746</v>
      </c>
      <c r="J343" s="10"/>
    </row>
    <row r="344" spans="2:10" x14ac:dyDescent="0.3">
      <c r="B344" s="5" t="str">
        <v>ORD1375</v>
      </c>
      <c r="C344" s="5" t="str">
        <v>Monitor</v>
      </c>
      <c r="D344" s="5" t="str">
        <v>Peripherals</v>
      </c>
      <c r="E344" s="5" t="str">
        <v>East</v>
      </c>
      <c r="F344" s="5" t="str">
        <v>Jul-2025</v>
      </c>
      <c r="G344" s="5">
        <v>102782</v>
      </c>
      <c r="H344" s="5">
        <v>7</v>
      </c>
      <c r="I344" s="5">
        <v>66450</v>
      </c>
      <c r="J344" s="10"/>
    </row>
    <row r="345" spans="2:10" x14ac:dyDescent="0.3">
      <c r="B345" s="5" t="str">
        <v>ORD1182</v>
      </c>
      <c r="C345" s="5" t="str">
        <v>Keyboard</v>
      </c>
      <c r="D345" s="5" t="str">
        <v>Peripherals</v>
      </c>
      <c r="E345" s="5" t="str">
        <v>East</v>
      </c>
      <c r="F345" s="5" t="str">
        <v>Aug-2025</v>
      </c>
      <c r="G345" s="5">
        <v>102457</v>
      </c>
      <c r="H345" s="5">
        <v>14</v>
      </c>
      <c r="I345" s="5">
        <v>62255</v>
      </c>
      <c r="J345" s="10"/>
    </row>
    <row r="346" spans="2:10" x14ac:dyDescent="0.3">
      <c r="B346" s="5" t="str">
        <v>ORD1780</v>
      </c>
      <c r="C346" s="5" t="str">
        <v>Headphones</v>
      </c>
      <c r="D346" s="5" t="str">
        <v>Accessories</v>
      </c>
      <c r="E346" s="5" t="str">
        <v>North</v>
      </c>
      <c r="F346" s="5" t="str">
        <v>Jun-2025</v>
      </c>
      <c r="G346" s="5">
        <v>102340</v>
      </c>
      <c r="H346" s="5">
        <v>15</v>
      </c>
      <c r="I346" s="5">
        <v>74629</v>
      </c>
      <c r="J346" s="10"/>
    </row>
    <row r="347" spans="2:10" x14ac:dyDescent="0.3">
      <c r="B347" s="5" t="str">
        <v>ORD1557</v>
      </c>
      <c r="C347" s="5" t="str">
        <v>Laptop</v>
      </c>
      <c r="D347" s="5" t="str">
        <v>Electronics</v>
      </c>
      <c r="E347" s="5" t="str">
        <v>West</v>
      </c>
      <c r="F347" s="5" t="str">
        <v>Oct-2025</v>
      </c>
      <c r="G347" s="5">
        <v>102217</v>
      </c>
      <c r="H347" s="5">
        <v>11</v>
      </c>
      <c r="I347" s="5">
        <v>75754</v>
      </c>
      <c r="J347" s="10"/>
    </row>
    <row r="348" spans="2:10" x14ac:dyDescent="0.3">
      <c r="B348" s="5" t="str">
        <v>ORD1105</v>
      </c>
      <c r="C348" s="5" t="str">
        <v>Laptop</v>
      </c>
      <c r="D348" s="5" t="str">
        <v>Electronics</v>
      </c>
      <c r="E348" s="5" t="str">
        <v>South</v>
      </c>
      <c r="F348" s="5" t="str">
        <v>Jul-2025</v>
      </c>
      <c r="G348" s="5">
        <v>101948</v>
      </c>
      <c r="H348" s="5">
        <v>8</v>
      </c>
      <c r="I348" s="5">
        <v>71594</v>
      </c>
      <c r="J348" s="10"/>
    </row>
    <row r="349" spans="2:10" x14ac:dyDescent="0.3">
      <c r="B349" s="5" t="str">
        <v>ORD1064</v>
      </c>
      <c r="C349" s="5" t="str">
        <v>Mouse</v>
      </c>
      <c r="D349" s="5" t="str">
        <v>Accessories</v>
      </c>
      <c r="E349" s="5" t="str">
        <v>West</v>
      </c>
      <c r="F349" s="5" t="str">
        <v>Feb-2025</v>
      </c>
      <c r="G349" s="5">
        <v>101929</v>
      </c>
      <c r="H349" s="5">
        <v>3</v>
      </c>
      <c r="I349" s="5">
        <v>63028</v>
      </c>
      <c r="J349" s="10"/>
    </row>
    <row r="350" spans="2:10" x14ac:dyDescent="0.3">
      <c r="B350" s="5" t="str">
        <v>ORD1270</v>
      </c>
      <c r="C350" s="5" t="str">
        <v>Printer</v>
      </c>
      <c r="D350" s="5" t="str">
        <v>Peripherals</v>
      </c>
      <c r="E350" s="5" t="str">
        <v>East</v>
      </c>
      <c r="F350" s="5" t="str">
        <v>Jul-2025</v>
      </c>
      <c r="G350" s="5">
        <v>101913</v>
      </c>
      <c r="H350" s="5">
        <v>9</v>
      </c>
      <c r="I350" s="5">
        <v>75469</v>
      </c>
      <c r="J350" s="10"/>
    </row>
    <row r="351" spans="2:10" x14ac:dyDescent="0.3">
      <c r="B351" s="5" t="str">
        <v>ORD1110</v>
      </c>
      <c r="C351" s="5" t="str">
        <v>Monitor</v>
      </c>
      <c r="D351" s="5" t="str">
        <v>Peripherals</v>
      </c>
      <c r="E351" s="5" t="str">
        <v>South</v>
      </c>
      <c r="F351" s="5" t="str">
        <v>Sep-2025</v>
      </c>
      <c r="G351" s="5">
        <v>101867</v>
      </c>
      <c r="H351" s="5">
        <v>6</v>
      </c>
      <c r="I351" s="5">
        <v>70383</v>
      </c>
      <c r="J351" s="10"/>
    </row>
    <row r="352" spans="2:10" x14ac:dyDescent="0.3">
      <c r="B352" s="5" t="str">
        <v>ORD1290</v>
      </c>
      <c r="C352" s="5" t="str">
        <v>Phone</v>
      </c>
      <c r="D352" s="5" t="str">
        <v>Electronics</v>
      </c>
      <c r="E352" s="5" t="str">
        <v>West</v>
      </c>
      <c r="F352" s="5" t="str">
        <v>Apr-2025</v>
      </c>
      <c r="G352" s="5">
        <v>101831</v>
      </c>
      <c r="H352" s="5">
        <v>10</v>
      </c>
      <c r="I352" s="5">
        <v>74282</v>
      </c>
      <c r="J352" s="10"/>
    </row>
    <row r="353" spans="2:10" x14ac:dyDescent="0.3">
      <c r="B353" s="5" t="str">
        <v>ORD1644</v>
      </c>
      <c r="C353" s="5" t="str">
        <v>Headphones</v>
      </c>
      <c r="D353" s="5" t="str">
        <v>Accessories</v>
      </c>
      <c r="E353" s="5" t="str">
        <v>East</v>
      </c>
      <c r="F353" s="5" t="str">
        <v>Mar-2025</v>
      </c>
      <c r="G353" s="5">
        <v>101811</v>
      </c>
      <c r="H353" s="5">
        <v>2</v>
      </c>
      <c r="I353" s="5">
        <v>67427</v>
      </c>
      <c r="J353" s="10"/>
    </row>
    <row r="354" spans="2:10" x14ac:dyDescent="0.3">
      <c r="B354" s="5" t="str">
        <v>ORD1075</v>
      </c>
      <c r="C354" s="5" t="str">
        <v>Printer</v>
      </c>
      <c r="D354" s="5" t="str">
        <v>Peripherals</v>
      </c>
      <c r="E354" s="5" t="str">
        <v>North</v>
      </c>
      <c r="F354" s="5" t="str">
        <v>Mar-2025</v>
      </c>
      <c r="G354" s="5">
        <v>101294</v>
      </c>
      <c r="H354" s="5">
        <v>8</v>
      </c>
      <c r="I354" s="5">
        <v>75388</v>
      </c>
      <c r="J354" s="10"/>
    </row>
    <row r="355" spans="2:10" x14ac:dyDescent="0.3">
      <c r="B355" s="5" t="str">
        <v>ORD1223</v>
      </c>
      <c r="C355" s="5" t="str">
        <v>Tablet</v>
      </c>
      <c r="D355" s="5" t="str">
        <v>Electronics</v>
      </c>
      <c r="E355" s="5" t="str">
        <v>West</v>
      </c>
      <c r="F355" s="5" t="str">
        <v>Apr-2025</v>
      </c>
      <c r="G355" s="5">
        <v>101155</v>
      </c>
      <c r="H355" s="5">
        <v>2</v>
      </c>
      <c r="I355" s="5">
        <v>70444</v>
      </c>
      <c r="J355" s="10"/>
    </row>
    <row r="356" spans="2:10" x14ac:dyDescent="0.3">
      <c r="B356" s="5" t="str">
        <v>ORD1985</v>
      </c>
      <c r="C356" s="5" t="str">
        <v>Monitor</v>
      </c>
      <c r="D356" s="5" t="str">
        <v>Peripherals</v>
      </c>
      <c r="E356" s="5" t="str">
        <v>East</v>
      </c>
      <c r="F356" s="5" t="str">
        <v>Aug-2025</v>
      </c>
      <c r="G356" s="5">
        <v>100820</v>
      </c>
      <c r="H356" s="5">
        <v>15</v>
      </c>
      <c r="I356" s="5">
        <v>68236</v>
      </c>
      <c r="J356" s="10"/>
    </row>
    <row r="357" spans="2:10" x14ac:dyDescent="0.3">
      <c r="B357" s="5" t="str">
        <v>ORD1914</v>
      </c>
      <c r="C357" s="5" t="str">
        <v>Keyboard</v>
      </c>
      <c r="D357" s="5" t="str">
        <v>Peripherals</v>
      </c>
      <c r="E357" s="5" t="str">
        <v>North</v>
      </c>
      <c r="F357" s="5" t="str">
        <v>Jan-2025</v>
      </c>
      <c r="G357" s="5">
        <v>100554</v>
      </c>
      <c r="H357" s="5">
        <v>1</v>
      </c>
      <c r="I357" s="5">
        <v>64781</v>
      </c>
      <c r="J357" s="10"/>
    </row>
    <row r="358" spans="2:10" x14ac:dyDescent="0.3">
      <c r="B358" s="5" t="str">
        <v>ORD1394</v>
      </c>
      <c r="C358" s="5" t="str">
        <v>Keyboard</v>
      </c>
      <c r="D358" s="5" t="str">
        <v>Peripherals</v>
      </c>
      <c r="E358" s="5" t="str">
        <v>West</v>
      </c>
      <c r="F358" s="5" t="str">
        <v>Jan-2025</v>
      </c>
      <c r="G358" s="5">
        <v>100390</v>
      </c>
      <c r="H358" s="5">
        <v>11</v>
      </c>
      <c r="I358" s="5">
        <v>73028</v>
      </c>
      <c r="J358" s="10"/>
    </row>
    <row r="359" spans="2:10" x14ac:dyDescent="0.3">
      <c r="B359" s="5" t="str">
        <v>ORD1413</v>
      </c>
      <c r="C359" s="5" t="str">
        <v>Keyboard</v>
      </c>
      <c r="D359" s="5" t="str">
        <v>Peripherals</v>
      </c>
      <c r="E359" s="5" t="str">
        <v>East</v>
      </c>
      <c r="F359" s="5" t="str">
        <v>Sep-2025</v>
      </c>
      <c r="G359" s="5">
        <v>100374</v>
      </c>
      <c r="H359" s="5">
        <v>13</v>
      </c>
      <c r="I359" s="5">
        <v>73329</v>
      </c>
      <c r="J359" s="10"/>
    </row>
    <row r="360" spans="2:10" x14ac:dyDescent="0.3">
      <c r="B360" s="5" t="str">
        <v>ORD1317</v>
      </c>
      <c r="C360" s="5" t="str">
        <v>Tablet</v>
      </c>
      <c r="D360" s="5" t="str">
        <v>Electronics</v>
      </c>
      <c r="E360" s="5" t="str">
        <v>South</v>
      </c>
      <c r="F360" s="5" t="str">
        <v>Jun-2025</v>
      </c>
      <c r="G360" s="5">
        <v>100244</v>
      </c>
      <c r="H360" s="5">
        <v>1</v>
      </c>
      <c r="I360" s="5">
        <v>70601</v>
      </c>
      <c r="J360" s="10"/>
    </row>
    <row r="361" spans="2:10" x14ac:dyDescent="0.3">
      <c r="B361" s="5" t="str">
        <v>ORD1828</v>
      </c>
      <c r="C361" s="5" t="str">
        <v>Phone</v>
      </c>
      <c r="D361" s="5" t="str">
        <v>Electronics</v>
      </c>
      <c r="E361" s="5" t="str">
        <v>East</v>
      </c>
      <c r="F361" s="5" t="str">
        <v>Aug-2025</v>
      </c>
      <c r="G361" s="5">
        <v>100242</v>
      </c>
      <c r="H361" s="5">
        <v>5</v>
      </c>
      <c r="I361" s="5">
        <v>61271</v>
      </c>
      <c r="J361" s="10"/>
    </row>
    <row r="362" spans="2:10" x14ac:dyDescent="0.3">
      <c r="B362" s="5" t="str">
        <v>ORD1858</v>
      </c>
      <c r="C362" s="5" t="str">
        <v>Monitor</v>
      </c>
      <c r="D362" s="5" t="str">
        <v>Peripherals</v>
      </c>
      <c r="E362" s="5" t="str">
        <v>West</v>
      </c>
      <c r="F362" s="5" t="str">
        <v>Sep-2025</v>
      </c>
      <c r="G362" s="5">
        <v>99338</v>
      </c>
      <c r="H362" s="5">
        <v>4</v>
      </c>
      <c r="I362" s="5">
        <v>65332</v>
      </c>
      <c r="J362" s="10"/>
    </row>
    <row r="363" spans="2:10" x14ac:dyDescent="0.3">
      <c r="B363" s="5" t="str">
        <v>ORD1030</v>
      </c>
      <c r="C363" s="5" t="str">
        <v>Phone</v>
      </c>
      <c r="D363" s="5" t="str">
        <v>Electronics</v>
      </c>
      <c r="E363" s="5" t="str">
        <v>South</v>
      </c>
      <c r="F363" s="5" t="str">
        <v>Mar-2025</v>
      </c>
      <c r="G363" s="5">
        <v>99256</v>
      </c>
      <c r="H363" s="5">
        <v>15</v>
      </c>
      <c r="I363" s="5">
        <v>71189</v>
      </c>
      <c r="J363" s="10"/>
    </row>
    <row r="364" spans="2:10" x14ac:dyDescent="0.3">
      <c r="B364" s="5" t="str">
        <v>ORD1371</v>
      </c>
      <c r="C364" s="5" t="str">
        <v>Headphones</v>
      </c>
      <c r="D364" s="5" t="str">
        <v>Accessories</v>
      </c>
      <c r="E364" s="5" t="str">
        <v>South</v>
      </c>
      <c r="F364" s="5" t="str">
        <v>Apr-2025</v>
      </c>
      <c r="G364" s="5">
        <v>99093</v>
      </c>
      <c r="H364" s="5">
        <v>2</v>
      </c>
      <c r="I364" s="5">
        <v>71303</v>
      </c>
      <c r="J364" s="10"/>
    </row>
    <row r="365" spans="2:10" x14ac:dyDescent="0.3">
      <c r="B365" s="5" t="str">
        <v>ORD1148</v>
      </c>
      <c r="C365" s="5" t="str">
        <v>Keyboard</v>
      </c>
      <c r="D365" s="5" t="str">
        <v>Peripherals</v>
      </c>
      <c r="E365" s="5" t="str">
        <v>East</v>
      </c>
      <c r="F365" s="5" t="str">
        <v>Sep-2025</v>
      </c>
      <c r="G365" s="5">
        <v>99075</v>
      </c>
      <c r="H365" s="5">
        <v>4</v>
      </c>
      <c r="I365" s="5">
        <v>66825</v>
      </c>
      <c r="J365" s="10"/>
    </row>
    <row r="366" spans="2:10" x14ac:dyDescent="0.3">
      <c r="B366" s="5" t="str">
        <v>ORD1949</v>
      </c>
      <c r="C366" s="5" t="str">
        <v>Keyboard</v>
      </c>
      <c r="D366" s="5" t="str">
        <v>Peripherals</v>
      </c>
      <c r="E366" s="5" t="str">
        <v>South</v>
      </c>
      <c r="F366" s="5" t="str">
        <v>Jan-2025</v>
      </c>
      <c r="G366" s="5">
        <v>99015</v>
      </c>
      <c r="H366" s="5">
        <v>9</v>
      </c>
      <c r="I366" s="5">
        <v>73527</v>
      </c>
      <c r="J366" s="10"/>
    </row>
    <row r="367" spans="2:10" x14ac:dyDescent="0.3">
      <c r="B367" s="5" t="str">
        <v>ORD1194</v>
      </c>
      <c r="C367" s="5" t="str">
        <v>Phone</v>
      </c>
      <c r="D367" s="5" t="str">
        <v>Electronics</v>
      </c>
      <c r="E367" s="5" t="str">
        <v>North</v>
      </c>
      <c r="F367" s="5" t="str">
        <v>Dec-2025</v>
      </c>
      <c r="G367" s="5">
        <v>99012</v>
      </c>
      <c r="H367" s="5">
        <v>3</v>
      </c>
      <c r="I367" s="5">
        <v>59809</v>
      </c>
      <c r="J367" s="10"/>
    </row>
    <row r="368" spans="2:10" x14ac:dyDescent="0.3">
      <c r="B368" s="5" t="str">
        <v>ORD1810</v>
      </c>
      <c r="C368" s="5" t="str">
        <v>Printer</v>
      </c>
      <c r="D368" s="5" t="str">
        <v>Peripherals</v>
      </c>
      <c r="E368" s="5" t="str">
        <v>North</v>
      </c>
      <c r="F368" s="5" t="str">
        <v>Jul-2025</v>
      </c>
      <c r="G368" s="5">
        <v>98912</v>
      </c>
      <c r="H368" s="5">
        <v>4</v>
      </c>
      <c r="I368" s="5">
        <v>66082</v>
      </c>
      <c r="J368" s="10"/>
    </row>
    <row r="369" spans="2:10" x14ac:dyDescent="0.3">
      <c r="B369" s="5" t="str">
        <v>ORD1692</v>
      </c>
      <c r="C369" s="5" t="str">
        <v>Monitor</v>
      </c>
      <c r="D369" s="5" t="str">
        <v>Peripherals</v>
      </c>
      <c r="E369" s="5" t="str">
        <v>North</v>
      </c>
      <c r="F369" s="5" t="str">
        <v>Oct-2025</v>
      </c>
      <c r="G369" s="5">
        <v>98725</v>
      </c>
      <c r="H369" s="5">
        <v>14</v>
      </c>
      <c r="I369" s="5">
        <v>62692</v>
      </c>
      <c r="J369" s="10"/>
    </row>
    <row r="370" spans="2:10" x14ac:dyDescent="0.3">
      <c r="B370" s="5" t="str">
        <v>ORD1052</v>
      </c>
      <c r="C370" s="5" t="str">
        <v>Keyboard</v>
      </c>
      <c r="D370" s="5" t="str">
        <v>Peripherals</v>
      </c>
      <c r="E370" s="5" t="str">
        <v>North</v>
      </c>
      <c r="F370" s="5" t="str">
        <v>Jun-2025</v>
      </c>
      <c r="G370" s="5">
        <v>98392</v>
      </c>
      <c r="H370" s="5">
        <v>3</v>
      </c>
      <c r="I370" s="5">
        <v>60852</v>
      </c>
      <c r="J370" s="10"/>
    </row>
    <row r="371" spans="2:10" x14ac:dyDescent="0.3">
      <c r="B371" s="5" t="str">
        <v>ORD1803</v>
      </c>
      <c r="C371" s="5" t="str">
        <v>Laptop</v>
      </c>
      <c r="D371" s="5" t="str">
        <v>Electronics</v>
      </c>
      <c r="E371" s="5" t="str">
        <v>North</v>
      </c>
      <c r="F371" s="5" t="str">
        <v>Nov-2025</v>
      </c>
      <c r="G371" s="5">
        <v>98330</v>
      </c>
      <c r="H371" s="5">
        <v>13</v>
      </c>
      <c r="I371" s="5">
        <v>62034</v>
      </c>
      <c r="J371" s="10"/>
    </row>
    <row r="372" spans="2:10" x14ac:dyDescent="0.3">
      <c r="B372" s="5" t="str">
        <v>ORD1451</v>
      </c>
      <c r="C372" s="5" t="str">
        <v>Phone</v>
      </c>
      <c r="D372" s="5" t="str">
        <v>Electronics</v>
      </c>
      <c r="E372" s="5" t="str">
        <v>West</v>
      </c>
      <c r="F372" s="5" t="str">
        <v>Jun-2025</v>
      </c>
      <c r="G372" s="5">
        <v>98034</v>
      </c>
      <c r="H372" s="5">
        <v>2</v>
      </c>
      <c r="I372" s="5">
        <v>61134</v>
      </c>
      <c r="J372" s="10"/>
    </row>
    <row r="373" spans="2:10" x14ac:dyDescent="0.3">
      <c r="B373" s="5" t="str">
        <v>ORD1441</v>
      </c>
      <c r="C373" s="5" t="str">
        <v>Tablet</v>
      </c>
      <c r="D373" s="5" t="str">
        <v>Electronics</v>
      </c>
      <c r="E373" s="5" t="str">
        <v>North</v>
      </c>
      <c r="F373" s="5" t="str">
        <v>Aug-2025</v>
      </c>
      <c r="G373" s="5">
        <v>98009</v>
      </c>
      <c r="H373" s="5">
        <v>14</v>
      </c>
      <c r="I373" s="5">
        <v>67250</v>
      </c>
      <c r="J373" s="10"/>
    </row>
    <row r="374" spans="2:10" x14ac:dyDescent="0.3">
      <c r="B374" s="5" t="str">
        <v>ORD1569</v>
      </c>
      <c r="C374" s="5" t="str">
        <v>Keyboard</v>
      </c>
      <c r="D374" s="5" t="str">
        <v>Peripherals</v>
      </c>
      <c r="E374" s="5" t="str">
        <v>North</v>
      </c>
      <c r="F374" s="5" t="str">
        <v>May-2025</v>
      </c>
      <c r="G374" s="5">
        <v>97957</v>
      </c>
      <c r="H374" s="5">
        <v>14</v>
      </c>
      <c r="I374" s="5">
        <v>61185</v>
      </c>
      <c r="J374" s="10"/>
    </row>
    <row r="375" spans="2:10" x14ac:dyDescent="0.3">
      <c r="B375" s="5" t="str">
        <v>ORD1818</v>
      </c>
      <c r="C375" s="5" t="str">
        <v>Phone</v>
      </c>
      <c r="D375" s="5" t="str">
        <v>Electronics</v>
      </c>
      <c r="E375" s="5" t="str">
        <v>North</v>
      </c>
      <c r="F375" s="5" t="str">
        <v>Feb-2025</v>
      </c>
      <c r="G375" s="5">
        <v>97700</v>
      </c>
      <c r="H375" s="5">
        <v>2</v>
      </c>
      <c r="I375" s="5">
        <v>72059</v>
      </c>
      <c r="J375" s="10"/>
    </row>
    <row r="376" spans="2:10" x14ac:dyDescent="0.3">
      <c r="B376" s="5" t="str">
        <v>ORD1933</v>
      </c>
      <c r="C376" s="5" t="str">
        <v>Tablet</v>
      </c>
      <c r="D376" s="5" t="str">
        <v>Electronics</v>
      </c>
      <c r="E376" s="5" t="str">
        <v>East</v>
      </c>
      <c r="F376" s="5" t="str">
        <v>Mar-2025</v>
      </c>
      <c r="G376" s="5">
        <v>97498</v>
      </c>
      <c r="H376" s="5">
        <v>8</v>
      </c>
      <c r="I376" s="5">
        <v>63104</v>
      </c>
      <c r="J376" s="10"/>
    </row>
    <row r="377" spans="2:10" x14ac:dyDescent="0.3">
      <c r="B377" s="5" t="str">
        <v>ORD1879</v>
      </c>
      <c r="C377" s="5" t="str">
        <v>Keyboard</v>
      </c>
      <c r="D377" s="5" t="str">
        <v>Peripherals</v>
      </c>
      <c r="E377" s="5" t="str">
        <v>West</v>
      </c>
      <c r="F377" s="5" t="str">
        <v>Jan-2025</v>
      </c>
      <c r="G377" s="5">
        <v>97482</v>
      </c>
      <c r="H377" s="5">
        <v>8</v>
      </c>
      <c r="I377" s="5">
        <v>59332</v>
      </c>
      <c r="J377" s="10"/>
    </row>
    <row r="378" spans="2:10" x14ac:dyDescent="0.3">
      <c r="B378" s="5" t="str">
        <v>ORD1637</v>
      </c>
      <c r="C378" s="5" t="str">
        <v>Tablet</v>
      </c>
      <c r="D378" s="5" t="str">
        <v>Electronics</v>
      </c>
      <c r="E378" s="5" t="str">
        <v>West</v>
      </c>
      <c r="F378" s="5" t="str">
        <v>Jul-2025</v>
      </c>
      <c r="G378" s="5">
        <v>97206</v>
      </c>
      <c r="H378" s="5">
        <v>8</v>
      </c>
      <c r="I378" s="5">
        <v>65043</v>
      </c>
      <c r="J378" s="10"/>
    </row>
    <row r="379" spans="2:10" x14ac:dyDescent="0.3">
      <c r="B379" s="5" t="str">
        <v>ORD1558</v>
      </c>
      <c r="C379" s="5" t="str">
        <v>Monitor</v>
      </c>
      <c r="D379" s="5" t="str">
        <v>Peripherals</v>
      </c>
      <c r="E379" s="5" t="str">
        <v>North</v>
      </c>
      <c r="F379" s="5" t="str">
        <v>Oct-2025</v>
      </c>
      <c r="G379" s="5">
        <v>96979</v>
      </c>
      <c r="H379" s="5">
        <v>3</v>
      </c>
      <c r="I379" s="5">
        <v>72242</v>
      </c>
      <c r="J379" s="10"/>
    </row>
    <row r="380" spans="2:10" x14ac:dyDescent="0.3">
      <c r="B380" s="5" t="str">
        <v>ORD1740</v>
      </c>
      <c r="C380" s="5" t="str">
        <v>Phone</v>
      </c>
      <c r="D380" s="5" t="str">
        <v>Electronics</v>
      </c>
      <c r="E380" s="5" t="str">
        <v>West</v>
      </c>
      <c r="F380" s="5" t="str">
        <v>Feb-2025</v>
      </c>
      <c r="G380" s="5">
        <v>96857</v>
      </c>
      <c r="H380" s="5">
        <v>4</v>
      </c>
      <c r="I380" s="5">
        <v>70189</v>
      </c>
      <c r="J380" s="10"/>
    </row>
    <row r="381" spans="2:10" x14ac:dyDescent="0.3">
      <c r="B381" s="5" t="str">
        <v>ORD1503</v>
      </c>
      <c r="C381" s="5" t="str">
        <v>Monitor</v>
      </c>
      <c r="D381" s="5" t="str">
        <v>Peripherals</v>
      </c>
      <c r="E381" s="5" t="str">
        <v>South</v>
      </c>
      <c r="F381" s="5" t="str">
        <v>May-2025</v>
      </c>
      <c r="G381" s="5">
        <v>96829</v>
      </c>
      <c r="H381" s="5">
        <v>14</v>
      </c>
      <c r="I381" s="5">
        <v>70658</v>
      </c>
      <c r="J381" s="10"/>
    </row>
    <row r="382" spans="2:10" x14ac:dyDescent="0.3">
      <c r="B382" s="5" t="str">
        <v>ORD1225</v>
      </c>
      <c r="C382" s="5" t="str">
        <v>Laptop</v>
      </c>
      <c r="D382" s="5" t="str">
        <v>Electronics</v>
      </c>
      <c r="E382" s="5" t="str">
        <v>South</v>
      </c>
      <c r="F382" s="5" t="str">
        <v>Aug-2025</v>
      </c>
      <c r="G382" s="5">
        <v>96728</v>
      </c>
      <c r="H382" s="5">
        <v>6</v>
      </c>
      <c r="I382" s="5">
        <v>66607</v>
      </c>
      <c r="J382" s="10"/>
    </row>
    <row r="383" spans="2:10" x14ac:dyDescent="0.3">
      <c r="B383" s="5" t="str">
        <v>ORD1127</v>
      </c>
      <c r="C383" s="5" t="str">
        <v>Headphones</v>
      </c>
      <c r="D383" s="5" t="str">
        <v>Accessories</v>
      </c>
      <c r="E383" s="5" t="str">
        <v>North</v>
      </c>
      <c r="F383" s="5" t="str">
        <v>Mar-2025</v>
      </c>
      <c r="G383" s="5">
        <v>96640</v>
      </c>
      <c r="H383" s="5">
        <v>4</v>
      </c>
      <c r="I383" s="5">
        <v>60519</v>
      </c>
      <c r="J383" s="10"/>
    </row>
    <row r="384" spans="2:10" x14ac:dyDescent="0.3">
      <c r="B384" s="5" t="str">
        <v>ORD1972</v>
      </c>
      <c r="C384" s="5" t="str">
        <v>Headphones</v>
      </c>
      <c r="D384" s="5" t="str">
        <v>Accessories</v>
      </c>
      <c r="E384" s="5" t="str">
        <v>East</v>
      </c>
      <c r="F384" s="5" t="str">
        <v>Feb-2025</v>
      </c>
      <c r="G384" s="5">
        <v>96573</v>
      </c>
      <c r="H384" s="5">
        <v>11</v>
      </c>
      <c r="I384" s="5">
        <v>63185</v>
      </c>
      <c r="J384" s="10"/>
    </row>
    <row r="385" spans="2:10" x14ac:dyDescent="0.3">
      <c r="B385" s="5" t="str">
        <v>ORD1952</v>
      </c>
      <c r="C385" s="5" t="str">
        <v>Monitor</v>
      </c>
      <c r="D385" s="5" t="str">
        <v>Peripherals</v>
      </c>
      <c r="E385" s="5" t="str">
        <v>West</v>
      </c>
      <c r="F385" s="5" t="str">
        <v>Jul-2025</v>
      </c>
      <c r="G385" s="5">
        <v>96516</v>
      </c>
      <c r="H385" s="5">
        <v>1</v>
      </c>
      <c r="I385" s="5">
        <v>66541</v>
      </c>
      <c r="J385" s="10"/>
    </row>
    <row r="386" spans="2:10" x14ac:dyDescent="0.3">
      <c r="B386" s="5" t="str">
        <v>ORD1233</v>
      </c>
      <c r="C386" s="5" t="str">
        <v>Monitor</v>
      </c>
      <c r="D386" s="5" t="str">
        <v>Peripherals</v>
      </c>
      <c r="E386" s="5" t="str">
        <v>South</v>
      </c>
      <c r="F386" s="5" t="str">
        <v>Jan-2025</v>
      </c>
      <c r="G386" s="5">
        <v>96515</v>
      </c>
      <c r="H386" s="5">
        <v>2</v>
      </c>
      <c r="I386" s="5">
        <v>67600</v>
      </c>
      <c r="J386" s="10"/>
    </row>
    <row r="387" spans="2:10" x14ac:dyDescent="0.3">
      <c r="B387" s="5" t="str">
        <v>ORD1645</v>
      </c>
      <c r="C387" s="5" t="str">
        <v>Monitor</v>
      </c>
      <c r="D387" s="5" t="str">
        <v>Peripherals</v>
      </c>
      <c r="E387" s="5" t="str">
        <v>West</v>
      </c>
      <c r="F387" s="5" t="str">
        <v>Jun-2025</v>
      </c>
      <c r="G387" s="5">
        <v>96409</v>
      </c>
      <c r="H387" s="5">
        <v>2</v>
      </c>
      <c r="I387" s="5">
        <v>66947</v>
      </c>
      <c r="J387" s="10"/>
    </row>
    <row r="388" spans="2:10" x14ac:dyDescent="0.3">
      <c r="B388" s="5" t="str">
        <v>ORD1333</v>
      </c>
      <c r="C388" s="5" t="str">
        <v>Keyboard</v>
      </c>
      <c r="D388" s="5" t="str">
        <v>Peripherals</v>
      </c>
      <c r="E388" s="5" t="str">
        <v>East</v>
      </c>
      <c r="F388" s="5" t="str">
        <v>Apr-2025</v>
      </c>
      <c r="G388" s="5">
        <v>96350</v>
      </c>
      <c r="H388" s="5">
        <v>1</v>
      </c>
      <c r="I388" s="5">
        <v>71084</v>
      </c>
      <c r="J388" s="10"/>
    </row>
    <row r="389" spans="2:10" x14ac:dyDescent="0.3">
      <c r="B389" s="5" t="str">
        <v>ORD1760</v>
      </c>
      <c r="C389" s="5" t="str">
        <v>Laptop</v>
      </c>
      <c r="D389" s="5" t="str">
        <v>Electronics</v>
      </c>
      <c r="E389" s="5" t="str">
        <v>South</v>
      </c>
      <c r="F389" s="5" t="str">
        <v>Mar-2025</v>
      </c>
      <c r="G389" s="5">
        <v>96251</v>
      </c>
      <c r="H389" s="5">
        <v>12</v>
      </c>
      <c r="I389" s="5">
        <v>68018</v>
      </c>
      <c r="J389" s="10"/>
    </row>
    <row r="390" spans="2:10" x14ac:dyDescent="0.3">
      <c r="B390" s="5" t="str">
        <v>ORD1732</v>
      </c>
      <c r="C390" s="5" t="str">
        <v>Printer</v>
      </c>
      <c r="D390" s="5" t="str">
        <v>Peripherals</v>
      </c>
      <c r="E390" s="5" t="str">
        <v>West</v>
      </c>
      <c r="F390" s="5" t="str">
        <v>Jan-2025</v>
      </c>
      <c r="G390" s="5">
        <v>96241</v>
      </c>
      <c r="H390" s="5">
        <v>11</v>
      </c>
      <c r="I390" s="5">
        <v>58666</v>
      </c>
      <c r="J390" s="10"/>
    </row>
    <row r="391" spans="2:10" x14ac:dyDescent="0.3">
      <c r="B391" s="5" t="str">
        <v>ORD1840</v>
      </c>
      <c r="C391" s="5" t="str">
        <v>Headphones</v>
      </c>
      <c r="D391" s="5" t="str">
        <v>Accessories</v>
      </c>
      <c r="E391" s="5" t="str">
        <v>West</v>
      </c>
      <c r="F391" s="5" t="str">
        <v>Aug-2025</v>
      </c>
      <c r="G391" s="5">
        <v>96132</v>
      </c>
      <c r="H391" s="5">
        <v>6</v>
      </c>
      <c r="I391" s="5">
        <v>69504</v>
      </c>
      <c r="J391" s="10"/>
    </row>
    <row r="392" spans="2:10" x14ac:dyDescent="0.3">
      <c r="B392" s="5" t="str">
        <v>ORD1675</v>
      </c>
      <c r="C392" s="5" t="str">
        <v>Laptop</v>
      </c>
      <c r="D392" s="5" t="str">
        <v>Electronics</v>
      </c>
      <c r="E392" s="5" t="str">
        <v>West</v>
      </c>
      <c r="F392" s="5" t="str">
        <v>Apr-2025</v>
      </c>
      <c r="G392" s="5">
        <v>95661</v>
      </c>
      <c r="H392" s="5">
        <v>12</v>
      </c>
      <c r="I392" s="5">
        <v>67322</v>
      </c>
      <c r="J392" s="10"/>
    </row>
    <row r="393" spans="2:10" x14ac:dyDescent="0.3">
      <c r="B393" s="5" t="str">
        <v>ORD1377</v>
      </c>
      <c r="C393" s="5" t="str">
        <v>Headphones</v>
      </c>
      <c r="D393" s="5" t="str">
        <v>Accessories</v>
      </c>
      <c r="E393" s="5" t="str">
        <v>West</v>
      </c>
      <c r="F393" s="5" t="str">
        <v>Oct-2025</v>
      </c>
      <c r="G393" s="5">
        <v>95500</v>
      </c>
      <c r="H393" s="5">
        <v>4</v>
      </c>
      <c r="I393" s="5">
        <v>59959</v>
      </c>
      <c r="J393" s="10"/>
    </row>
    <row r="394" spans="2:10" x14ac:dyDescent="0.3">
      <c r="B394" s="5" t="str">
        <v>ORD1267</v>
      </c>
      <c r="C394" s="5" t="str">
        <v>Printer</v>
      </c>
      <c r="D394" s="5" t="str">
        <v>Peripherals</v>
      </c>
      <c r="E394" s="5" t="str">
        <v>West</v>
      </c>
      <c r="F394" s="5" t="str">
        <v>Mar-2025</v>
      </c>
      <c r="G394" s="5">
        <v>95273</v>
      </c>
      <c r="H394" s="5">
        <v>5</v>
      </c>
      <c r="I394" s="5">
        <v>69828</v>
      </c>
      <c r="J394" s="10"/>
    </row>
    <row r="395" spans="2:10" x14ac:dyDescent="0.3">
      <c r="B395" s="5" t="str">
        <v>ORD1885</v>
      </c>
      <c r="C395" s="5" t="str">
        <v>Mouse</v>
      </c>
      <c r="D395" s="5" t="str">
        <v>Accessories</v>
      </c>
      <c r="E395" s="5" t="str">
        <v>West</v>
      </c>
      <c r="F395" s="5" t="str">
        <v>Jan-2025</v>
      </c>
      <c r="G395" s="5">
        <v>95248</v>
      </c>
      <c r="H395" s="5">
        <v>5</v>
      </c>
      <c r="I395" s="5">
        <v>66799</v>
      </c>
      <c r="J395" s="10"/>
    </row>
    <row r="396" spans="2:10" x14ac:dyDescent="0.3">
      <c r="B396" s="5" t="str">
        <v>ORD1727</v>
      </c>
      <c r="C396" s="5" t="str">
        <v>Phone</v>
      </c>
      <c r="D396" s="5" t="str">
        <v>Electronics</v>
      </c>
      <c r="E396" s="5" t="str">
        <v>South</v>
      </c>
      <c r="F396" s="5" t="str">
        <v>Nov-2025</v>
      </c>
      <c r="G396" s="5">
        <v>95193</v>
      </c>
      <c r="H396" s="5">
        <v>13</v>
      </c>
      <c r="I396" s="5">
        <v>63877</v>
      </c>
      <c r="J396" s="10"/>
    </row>
    <row r="397" spans="2:10" x14ac:dyDescent="0.3">
      <c r="B397" s="5" t="str">
        <v>ORD1326</v>
      </c>
      <c r="C397" s="5" t="str">
        <v>Headphones</v>
      </c>
      <c r="D397" s="5" t="str">
        <v>Accessories</v>
      </c>
      <c r="E397" s="5" t="str">
        <v>North</v>
      </c>
      <c r="F397" s="5" t="str">
        <v>Jul-2025</v>
      </c>
      <c r="G397" s="5">
        <v>94916</v>
      </c>
      <c r="H397" s="5">
        <v>1</v>
      </c>
      <c r="I397" s="5">
        <v>65600</v>
      </c>
      <c r="J397" s="10"/>
    </row>
    <row r="398" spans="2:10" x14ac:dyDescent="0.3">
      <c r="B398" s="5" t="str">
        <v>ORD1284</v>
      </c>
      <c r="C398" s="5" t="str">
        <v>Laptop</v>
      </c>
      <c r="D398" s="5" t="str">
        <v>Electronics</v>
      </c>
      <c r="E398" s="5" t="str">
        <v>North</v>
      </c>
      <c r="F398" s="5" t="str">
        <v>Jun-2025</v>
      </c>
      <c r="G398" s="5">
        <v>94795</v>
      </c>
      <c r="H398" s="5">
        <v>12</v>
      </c>
      <c r="I398" s="5">
        <v>60490</v>
      </c>
      <c r="J398" s="10"/>
    </row>
    <row r="399" spans="2:10" x14ac:dyDescent="0.3">
      <c r="B399" s="5" t="str">
        <v>ORD1768</v>
      </c>
      <c r="C399" s="5" t="str">
        <v>Laptop</v>
      </c>
      <c r="D399" s="5" t="str">
        <v>Electronics</v>
      </c>
      <c r="E399" s="5" t="str">
        <v>North</v>
      </c>
      <c r="F399" s="5" t="str">
        <v>Feb-2025</v>
      </c>
      <c r="G399" s="5">
        <v>94700</v>
      </c>
      <c r="H399" s="5">
        <v>10</v>
      </c>
      <c r="I399" s="5">
        <v>61088</v>
      </c>
      <c r="J399" s="10"/>
    </row>
    <row r="400" spans="2:10" x14ac:dyDescent="0.3">
      <c r="B400" s="5" t="str">
        <v>ORD1984</v>
      </c>
      <c r="C400" s="5" t="str">
        <v>Tablet</v>
      </c>
      <c r="D400" s="5" t="str">
        <v>Electronics</v>
      </c>
      <c r="E400" s="5" t="str">
        <v>North</v>
      </c>
      <c r="F400" s="5" t="str">
        <v>Jun-2025</v>
      </c>
      <c r="G400" s="5">
        <v>94690</v>
      </c>
      <c r="H400" s="5">
        <v>12</v>
      </c>
      <c r="I400" s="5">
        <v>67646</v>
      </c>
      <c r="J400" s="10"/>
    </row>
    <row r="401" spans="2:10" x14ac:dyDescent="0.3">
      <c r="B401" s="5" t="str">
        <v>ORD1450</v>
      </c>
      <c r="C401" s="5" t="str">
        <v>Keyboard</v>
      </c>
      <c r="D401" s="5" t="str">
        <v>Peripherals</v>
      </c>
      <c r="E401" s="5" t="str">
        <v>West</v>
      </c>
      <c r="F401" s="5" t="str">
        <v>May-2025</v>
      </c>
      <c r="G401" s="5">
        <v>94560</v>
      </c>
      <c r="H401" s="5">
        <v>11</v>
      </c>
      <c r="I401" s="5">
        <v>62848</v>
      </c>
      <c r="J401" s="10"/>
    </row>
    <row r="402" spans="2:10" x14ac:dyDescent="0.3">
      <c r="B402" s="5" t="str">
        <v>ORD1719</v>
      </c>
      <c r="C402" s="5" t="str">
        <v>Phone</v>
      </c>
      <c r="D402" s="5" t="str">
        <v>Electronics</v>
      </c>
      <c r="E402" s="5" t="str">
        <v>North</v>
      </c>
      <c r="F402" s="5" t="str">
        <v>Apr-2025</v>
      </c>
      <c r="G402" s="5">
        <v>94251</v>
      </c>
      <c r="H402" s="5">
        <v>2</v>
      </c>
      <c r="I402" s="5">
        <v>62522</v>
      </c>
      <c r="J402" s="10"/>
    </row>
    <row r="403" spans="2:10" x14ac:dyDescent="0.3">
      <c r="B403" s="5" t="str">
        <v>ORD1917</v>
      </c>
      <c r="C403" s="5" t="str">
        <v>Tablet</v>
      </c>
      <c r="D403" s="5" t="str">
        <v>Electronics</v>
      </c>
      <c r="E403" s="5" t="str">
        <v>West</v>
      </c>
      <c r="F403" s="5" t="str">
        <v>Jul-2025</v>
      </c>
      <c r="G403" s="5">
        <v>93584</v>
      </c>
      <c r="H403" s="5">
        <v>1</v>
      </c>
      <c r="I403" s="5">
        <v>57940</v>
      </c>
      <c r="J403" s="10"/>
    </row>
    <row r="404" spans="2:10" x14ac:dyDescent="0.3">
      <c r="B404" s="5" t="str">
        <v>ORD1572</v>
      </c>
      <c r="C404" s="5" t="str">
        <v>Monitor</v>
      </c>
      <c r="D404" s="5" t="str">
        <v>Peripherals</v>
      </c>
      <c r="E404" s="5" t="str">
        <v>East</v>
      </c>
      <c r="F404" s="5" t="str">
        <v>Jan-2025</v>
      </c>
      <c r="G404" s="5">
        <v>93118</v>
      </c>
      <c r="H404" s="5">
        <v>15</v>
      </c>
      <c r="I404" s="5">
        <v>68973</v>
      </c>
      <c r="J404" s="10"/>
    </row>
    <row r="405" spans="2:10" x14ac:dyDescent="0.3">
      <c r="B405" s="5" t="str">
        <v>ORD1435</v>
      </c>
      <c r="C405" s="5" t="str">
        <v>Keyboard</v>
      </c>
      <c r="D405" s="5" t="str">
        <v>Peripherals</v>
      </c>
      <c r="E405" s="5" t="str">
        <v>West</v>
      </c>
      <c r="F405" s="5" t="str">
        <v>Oct-2025</v>
      </c>
      <c r="G405" s="5">
        <v>92897</v>
      </c>
      <c r="H405" s="5">
        <v>13</v>
      </c>
      <c r="I405" s="5">
        <v>61819</v>
      </c>
      <c r="J405" s="10"/>
    </row>
    <row r="406" spans="2:10" x14ac:dyDescent="0.3">
      <c r="B406" s="5" t="str">
        <v>ORD1980</v>
      </c>
      <c r="C406" s="5" t="str">
        <v>Keyboard</v>
      </c>
      <c r="D406" s="5" t="str">
        <v>Peripherals</v>
      </c>
      <c r="E406" s="5" t="str">
        <v>East</v>
      </c>
      <c r="F406" s="5" t="str">
        <v>Jul-2025</v>
      </c>
      <c r="G406" s="5">
        <v>92820</v>
      </c>
      <c r="H406" s="5">
        <v>1</v>
      </c>
      <c r="I406" s="5">
        <v>59267</v>
      </c>
      <c r="J406" s="10"/>
    </row>
    <row r="407" spans="2:10" x14ac:dyDescent="0.3">
      <c r="B407" s="5" t="str">
        <v>ORD1219</v>
      </c>
      <c r="C407" s="5" t="str">
        <v>Headphones</v>
      </c>
      <c r="D407" s="5" t="str">
        <v>Accessories</v>
      </c>
      <c r="E407" s="5" t="str">
        <v>West</v>
      </c>
      <c r="F407" s="5" t="str">
        <v>Jul-2025</v>
      </c>
      <c r="G407" s="5">
        <v>92624</v>
      </c>
      <c r="H407" s="5">
        <v>3</v>
      </c>
      <c r="I407" s="5">
        <v>66747</v>
      </c>
      <c r="J407" s="10"/>
    </row>
    <row r="408" spans="2:10" x14ac:dyDescent="0.3">
      <c r="B408" s="5" t="str">
        <v>ORD1664</v>
      </c>
      <c r="C408" s="5" t="str">
        <v>Printer</v>
      </c>
      <c r="D408" s="5" t="str">
        <v>Peripherals</v>
      </c>
      <c r="E408" s="5" t="str">
        <v>East</v>
      </c>
      <c r="F408" s="5" t="str">
        <v>Sep-2025</v>
      </c>
      <c r="G408" s="5">
        <v>92267</v>
      </c>
      <c r="H408" s="5">
        <v>5</v>
      </c>
      <c r="I408" s="5">
        <v>60574</v>
      </c>
      <c r="J408" s="10"/>
    </row>
    <row r="409" spans="2:10" x14ac:dyDescent="0.3">
      <c r="B409" s="5" t="str">
        <v>ORD1934</v>
      </c>
      <c r="C409" s="5" t="str">
        <v>Keyboard</v>
      </c>
      <c r="D409" s="5" t="str">
        <v>Peripherals</v>
      </c>
      <c r="E409" s="5" t="str">
        <v>South</v>
      </c>
      <c r="F409" s="5" t="str">
        <v>Feb-2025</v>
      </c>
      <c r="G409" s="5">
        <v>92263</v>
      </c>
      <c r="H409" s="5">
        <v>12</v>
      </c>
      <c r="I409" s="5">
        <v>60728</v>
      </c>
      <c r="J409" s="10"/>
    </row>
    <row r="410" spans="2:10" x14ac:dyDescent="0.3">
      <c r="B410" s="5" t="str">
        <v>ORD1495</v>
      </c>
      <c r="C410" s="5" t="str">
        <v>Monitor</v>
      </c>
      <c r="D410" s="5" t="str">
        <v>Peripherals</v>
      </c>
      <c r="E410" s="5" t="str">
        <v>North</v>
      </c>
      <c r="F410" s="5" t="str">
        <v>Feb-2025</v>
      </c>
      <c r="G410" s="5">
        <v>92240</v>
      </c>
      <c r="H410" s="5">
        <v>3</v>
      </c>
      <c r="I410" s="5">
        <v>64932</v>
      </c>
      <c r="J410" s="10"/>
    </row>
    <row r="411" spans="2:10" x14ac:dyDescent="0.3">
      <c r="B411" s="5" t="str">
        <v>ORD1004</v>
      </c>
      <c r="C411" s="5" t="str">
        <v>Headphones</v>
      </c>
      <c r="D411" s="5" t="str">
        <v>Accessories</v>
      </c>
      <c r="E411" s="5" t="str">
        <v>West</v>
      </c>
      <c r="F411" s="5" t="str">
        <v>Mar-2025</v>
      </c>
      <c r="G411" s="5">
        <v>91897</v>
      </c>
      <c r="H411" s="5">
        <v>6</v>
      </c>
      <c r="I411" s="5">
        <v>56755</v>
      </c>
      <c r="J411" s="10"/>
    </row>
    <row r="412" spans="2:10" x14ac:dyDescent="0.3">
      <c r="B412" s="5" t="str">
        <v>ORD1041</v>
      </c>
      <c r="C412" s="5" t="str">
        <v>Headphones</v>
      </c>
      <c r="D412" s="5" t="str">
        <v>Accessories</v>
      </c>
      <c r="E412" s="5" t="str">
        <v>East</v>
      </c>
      <c r="F412" s="5" t="str">
        <v>Nov-2025</v>
      </c>
      <c r="G412" s="5">
        <v>91694</v>
      </c>
      <c r="H412" s="5">
        <v>6</v>
      </c>
      <c r="I412" s="5">
        <v>68287</v>
      </c>
      <c r="J412" s="10"/>
    </row>
    <row r="413" spans="2:10" x14ac:dyDescent="0.3">
      <c r="B413" s="5" t="str">
        <v>ORD1051</v>
      </c>
      <c r="C413" s="5" t="str">
        <v>Laptop</v>
      </c>
      <c r="D413" s="5" t="str">
        <v>Electronics</v>
      </c>
      <c r="E413" s="5" t="str">
        <v>North</v>
      </c>
      <c r="F413" s="5" t="str">
        <v>Jul-2025</v>
      </c>
      <c r="G413" s="5">
        <v>91665</v>
      </c>
      <c r="H413" s="5">
        <v>15</v>
      </c>
      <c r="I413" s="5">
        <v>68355</v>
      </c>
      <c r="J413" s="10"/>
    </row>
    <row r="414" spans="2:10" x14ac:dyDescent="0.3">
      <c r="B414" s="5" t="str">
        <v>ORD1196</v>
      </c>
      <c r="C414" s="5" t="str">
        <v>Keyboard</v>
      </c>
      <c r="D414" s="5" t="str">
        <v>Peripherals</v>
      </c>
      <c r="E414" s="5" t="str">
        <v>East</v>
      </c>
      <c r="F414" s="5" t="str">
        <v>Jul-2025</v>
      </c>
      <c r="G414" s="5">
        <v>91204</v>
      </c>
      <c r="H414" s="5">
        <v>15</v>
      </c>
      <c r="I414" s="5">
        <v>67823</v>
      </c>
      <c r="J414" s="10"/>
    </row>
    <row r="415" spans="2:10" x14ac:dyDescent="0.3">
      <c r="B415" s="5" t="str">
        <v>ORD1758</v>
      </c>
      <c r="C415" s="5" t="str">
        <v>Keyboard</v>
      </c>
      <c r="D415" s="5" t="str">
        <v>Peripherals</v>
      </c>
      <c r="E415" s="5" t="str">
        <v>North</v>
      </c>
      <c r="F415" s="5" t="str">
        <v>Jan-2025</v>
      </c>
      <c r="G415" s="5">
        <v>90937</v>
      </c>
      <c r="H415" s="5">
        <v>9</v>
      </c>
      <c r="I415" s="5">
        <v>64876</v>
      </c>
      <c r="J415" s="10"/>
    </row>
    <row r="416" spans="2:10" x14ac:dyDescent="0.3">
      <c r="B416" s="5" t="str">
        <v>ORD1353</v>
      </c>
      <c r="C416" s="5" t="str">
        <v>Headphones</v>
      </c>
      <c r="D416" s="5" t="str">
        <v>Accessories</v>
      </c>
      <c r="E416" s="5" t="str">
        <v>West</v>
      </c>
      <c r="F416" s="5" t="str">
        <v>Mar-2025</v>
      </c>
      <c r="G416" s="5">
        <v>90673</v>
      </c>
      <c r="H416" s="5">
        <v>11</v>
      </c>
      <c r="I416" s="5">
        <v>61078</v>
      </c>
      <c r="J416" s="10"/>
    </row>
    <row r="417" spans="2:10" x14ac:dyDescent="0.3">
      <c r="B417" s="5" t="str">
        <v>ORD1234</v>
      </c>
      <c r="C417" s="5" t="str">
        <v>Keyboard</v>
      </c>
      <c r="D417" s="5" t="str">
        <v>Peripherals</v>
      </c>
      <c r="E417" s="5" t="str">
        <v>North</v>
      </c>
      <c r="F417" s="5" t="str">
        <v>Jan-2025</v>
      </c>
      <c r="G417" s="5">
        <v>90373</v>
      </c>
      <c r="H417" s="5">
        <v>1</v>
      </c>
      <c r="I417" s="5">
        <v>66406</v>
      </c>
      <c r="J417" s="10"/>
    </row>
    <row r="418" spans="2:10" x14ac:dyDescent="0.3">
      <c r="B418" s="5" t="str">
        <v>ORD1369</v>
      </c>
      <c r="C418" s="5" t="str">
        <v>Mouse</v>
      </c>
      <c r="D418" s="5" t="str">
        <v>Accessories</v>
      </c>
      <c r="E418" s="5" t="str">
        <v>South</v>
      </c>
      <c r="F418" s="5" t="str">
        <v>Jul-2025</v>
      </c>
      <c r="G418" s="5">
        <v>90361</v>
      </c>
      <c r="H418" s="5">
        <v>7</v>
      </c>
      <c r="I418" s="5">
        <v>64044</v>
      </c>
      <c r="J418" s="10"/>
    </row>
    <row r="419" spans="2:10" x14ac:dyDescent="0.3">
      <c r="B419" s="5" t="str">
        <v>ORD1153</v>
      </c>
      <c r="C419" s="5" t="str">
        <v>Keyboard</v>
      </c>
      <c r="D419" s="5" t="str">
        <v>Peripherals</v>
      </c>
      <c r="E419" s="5" t="str">
        <v>East</v>
      </c>
      <c r="F419" s="5" t="str">
        <v>Feb-2025</v>
      </c>
      <c r="G419" s="5">
        <v>90275</v>
      </c>
      <c r="H419" s="5">
        <v>6</v>
      </c>
      <c r="I419" s="5">
        <v>65493</v>
      </c>
      <c r="J419" s="10"/>
    </row>
    <row r="420" spans="2:10" x14ac:dyDescent="0.3">
      <c r="B420" s="5" t="str">
        <v>ORD1607</v>
      </c>
      <c r="C420" s="5" t="str">
        <v>Keyboard</v>
      </c>
      <c r="D420" s="5" t="str">
        <v>Peripherals</v>
      </c>
      <c r="E420" s="5" t="str">
        <v>South</v>
      </c>
      <c r="F420" s="5" t="str">
        <v>Nov-2025</v>
      </c>
      <c r="G420" s="5">
        <v>89673</v>
      </c>
      <c r="H420" s="5">
        <v>5</v>
      </c>
      <c r="I420" s="5">
        <v>65532</v>
      </c>
      <c r="J420" s="10"/>
    </row>
    <row r="421" spans="2:10" x14ac:dyDescent="0.3">
      <c r="B421" s="5" t="str">
        <v>ORD1421</v>
      </c>
      <c r="C421" s="5" t="str">
        <v>Phone</v>
      </c>
      <c r="D421" s="5" t="str">
        <v>Electronics</v>
      </c>
      <c r="E421" s="5" t="str">
        <v>South</v>
      </c>
      <c r="F421" s="5" t="str">
        <v>Jan-2025</v>
      </c>
      <c r="G421" s="5">
        <v>89564</v>
      </c>
      <c r="H421" s="5">
        <v>7</v>
      </c>
      <c r="I421" s="5">
        <v>61759</v>
      </c>
      <c r="J421" s="10"/>
    </row>
    <row r="422" spans="2:10" x14ac:dyDescent="0.3">
      <c r="B422" s="5" t="str">
        <v>ORD1706</v>
      </c>
      <c r="C422" s="5" t="str">
        <v>Tablet</v>
      </c>
      <c r="D422" s="5" t="str">
        <v>Electronics</v>
      </c>
      <c r="E422" s="5" t="str">
        <v>North</v>
      </c>
      <c r="F422" s="5" t="str">
        <v>Aug-2025</v>
      </c>
      <c r="G422" s="5">
        <v>89439</v>
      </c>
      <c r="H422" s="5">
        <v>5</v>
      </c>
      <c r="I422" s="5">
        <v>60440</v>
      </c>
      <c r="J422" s="10"/>
    </row>
    <row r="423" spans="2:10" x14ac:dyDescent="0.3">
      <c r="B423" s="5" t="str">
        <v>ORD1649</v>
      </c>
      <c r="C423" s="5" t="str">
        <v>Printer</v>
      </c>
      <c r="D423" s="5" t="str">
        <v>Peripherals</v>
      </c>
      <c r="E423" s="5" t="str">
        <v>South</v>
      </c>
      <c r="F423" s="5" t="str">
        <v>Sep-2025</v>
      </c>
      <c r="G423" s="5">
        <v>89063</v>
      </c>
      <c r="H423" s="5">
        <v>1</v>
      </c>
      <c r="I423" s="5">
        <v>57293</v>
      </c>
      <c r="J423" s="10"/>
    </row>
    <row r="424" spans="2:10" x14ac:dyDescent="0.3">
      <c r="B424" s="5" t="str">
        <v>ORD1154</v>
      </c>
      <c r="C424" s="5" t="str">
        <v>Mouse</v>
      </c>
      <c r="D424" s="5" t="str">
        <v>Accessories</v>
      </c>
      <c r="E424" s="5" t="str">
        <v>South</v>
      </c>
      <c r="F424" s="5" t="str">
        <v>Oct-2025</v>
      </c>
      <c r="G424" s="5">
        <v>89042</v>
      </c>
      <c r="H424" s="5">
        <v>12</v>
      </c>
      <c r="I424" s="5">
        <v>57760</v>
      </c>
      <c r="J424" s="10"/>
    </row>
    <row r="425" spans="2:10" x14ac:dyDescent="0.3">
      <c r="B425" s="5" t="str">
        <v>ORD1455</v>
      </c>
      <c r="C425" s="5" t="str">
        <v>Laptop</v>
      </c>
      <c r="D425" s="5" t="str">
        <v>Electronics</v>
      </c>
      <c r="E425" s="5" t="str">
        <v>West</v>
      </c>
      <c r="F425" s="5" t="str">
        <v>Jul-2025</v>
      </c>
      <c r="G425" s="5">
        <v>88593</v>
      </c>
      <c r="H425" s="5">
        <v>7</v>
      </c>
      <c r="I425" s="5">
        <v>58711</v>
      </c>
      <c r="J425" s="10"/>
    </row>
    <row r="426" spans="2:10" x14ac:dyDescent="0.3">
      <c r="B426" s="5" t="str">
        <v>ORD1402</v>
      </c>
      <c r="C426" s="5" t="str">
        <v>Mouse</v>
      </c>
      <c r="D426" s="5" t="str">
        <v>Accessories</v>
      </c>
      <c r="E426" s="5" t="str">
        <v>North</v>
      </c>
      <c r="F426" s="5" t="str">
        <v>Oct-2025</v>
      </c>
      <c r="G426" s="5">
        <v>88324</v>
      </c>
      <c r="H426" s="5">
        <v>1</v>
      </c>
      <c r="I426" s="5">
        <v>62748</v>
      </c>
      <c r="J426" s="10"/>
    </row>
    <row r="427" spans="2:10" x14ac:dyDescent="0.3">
      <c r="B427" s="5" t="str">
        <v>ORD1545</v>
      </c>
      <c r="C427" s="5" t="str">
        <v>Mouse</v>
      </c>
      <c r="D427" s="5" t="str">
        <v>Accessories</v>
      </c>
      <c r="E427" s="5" t="str">
        <v>South</v>
      </c>
      <c r="F427" s="5" t="str">
        <v>Feb-2025</v>
      </c>
      <c r="G427" s="5">
        <v>87761</v>
      </c>
      <c r="H427" s="5">
        <v>2</v>
      </c>
      <c r="I427" s="5">
        <v>55800</v>
      </c>
      <c r="J427" s="10"/>
    </row>
    <row r="428" spans="2:10" x14ac:dyDescent="0.3">
      <c r="B428" s="5" t="str">
        <v>ORD1941</v>
      </c>
      <c r="C428" s="5" t="str">
        <v>Monitor</v>
      </c>
      <c r="D428" s="5" t="str">
        <v>Peripherals</v>
      </c>
      <c r="E428" s="5" t="str">
        <v>West</v>
      </c>
      <c r="F428" s="5" t="str">
        <v>Oct-2025</v>
      </c>
      <c r="G428" s="5">
        <v>87664</v>
      </c>
      <c r="H428" s="5">
        <v>6</v>
      </c>
      <c r="I428" s="5">
        <v>64430</v>
      </c>
      <c r="J428" s="10"/>
    </row>
    <row r="429" spans="2:10" x14ac:dyDescent="0.3">
      <c r="B429" s="5" t="str">
        <v>ORD1866</v>
      </c>
      <c r="C429" s="5" t="str">
        <v>Laptop</v>
      </c>
      <c r="D429" s="5" t="str">
        <v>Electronics</v>
      </c>
      <c r="E429" s="5" t="str">
        <v>South</v>
      </c>
      <c r="F429" s="5" t="str">
        <v>Aug-2025</v>
      </c>
      <c r="G429" s="5">
        <v>87599</v>
      </c>
      <c r="H429" s="5">
        <v>9</v>
      </c>
      <c r="I429" s="5">
        <v>52771</v>
      </c>
      <c r="J429" s="10"/>
    </row>
    <row r="430" spans="2:10" x14ac:dyDescent="0.3">
      <c r="B430" s="5" t="str">
        <v>ORD1066</v>
      </c>
      <c r="C430" s="5" t="str">
        <v>Monitor</v>
      </c>
      <c r="D430" s="5" t="str">
        <v>Peripherals</v>
      </c>
      <c r="E430" s="5" t="str">
        <v>West</v>
      </c>
      <c r="F430" s="5" t="str">
        <v>Jun-2025</v>
      </c>
      <c r="G430" s="5">
        <v>87480</v>
      </c>
      <c r="H430" s="5">
        <v>4</v>
      </c>
      <c r="I430" s="5">
        <v>64328</v>
      </c>
      <c r="J430" s="10"/>
    </row>
    <row r="431" spans="2:10" x14ac:dyDescent="0.3">
      <c r="B431" s="5" t="str">
        <v>ORD1163</v>
      </c>
      <c r="C431" s="5" t="str">
        <v>Tablet</v>
      </c>
      <c r="D431" s="5" t="str">
        <v>Electronics</v>
      </c>
      <c r="E431" s="5" t="str">
        <v>East</v>
      </c>
      <c r="F431" s="5" t="str">
        <v>Oct-2025</v>
      </c>
      <c r="G431" s="5">
        <v>87382</v>
      </c>
      <c r="H431" s="5">
        <v>2</v>
      </c>
      <c r="I431" s="5">
        <v>60568</v>
      </c>
      <c r="J431" s="10"/>
    </row>
    <row r="432" spans="2:10" x14ac:dyDescent="0.3">
      <c r="B432" s="5" t="str">
        <v>ORD1854</v>
      </c>
      <c r="C432" s="5" t="str">
        <v>Keyboard</v>
      </c>
      <c r="D432" s="5" t="str">
        <v>Peripherals</v>
      </c>
      <c r="E432" s="5" t="str">
        <v>North</v>
      </c>
      <c r="F432" s="5" t="str">
        <v>Feb-2025</v>
      </c>
      <c r="G432" s="5">
        <v>87288</v>
      </c>
      <c r="H432" s="5">
        <v>13</v>
      </c>
      <c r="I432" s="5">
        <v>55090</v>
      </c>
      <c r="J432" s="10"/>
    </row>
    <row r="433" spans="2:10" x14ac:dyDescent="0.3">
      <c r="B433" s="5" t="str">
        <v>ORD1867</v>
      </c>
      <c r="C433" s="5" t="str">
        <v>Laptop</v>
      </c>
      <c r="D433" s="5" t="str">
        <v>Electronics</v>
      </c>
      <c r="E433" s="5" t="str">
        <v>North</v>
      </c>
      <c r="F433" s="5" t="str">
        <v>Feb-2025</v>
      </c>
      <c r="G433" s="5">
        <v>87280</v>
      </c>
      <c r="H433" s="5">
        <v>10</v>
      </c>
      <c r="I433" s="5">
        <v>59652</v>
      </c>
      <c r="J433" s="10"/>
    </row>
    <row r="434" spans="2:10" x14ac:dyDescent="0.3">
      <c r="B434" s="5" t="str">
        <v>ORD1205</v>
      </c>
      <c r="C434" s="5" t="str">
        <v>Headphones</v>
      </c>
      <c r="D434" s="5" t="str">
        <v>Accessories</v>
      </c>
      <c r="E434" s="5" t="str">
        <v>South</v>
      </c>
      <c r="F434" s="5" t="str">
        <v>Feb-2025</v>
      </c>
      <c r="G434" s="5">
        <v>87159</v>
      </c>
      <c r="H434" s="5">
        <v>7</v>
      </c>
      <c r="I434" s="5">
        <v>61048</v>
      </c>
      <c r="J434" s="10"/>
    </row>
    <row r="435" spans="2:10" x14ac:dyDescent="0.3">
      <c r="B435" s="5" t="str">
        <v>ORD1565</v>
      </c>
      <c r="C435" s="5" t="str">
        <v>Mouse</v>
      </c>
      <c r="D435" s="5" t="str">
        <v>Accessories</v>
      </c>
      <c r="E435" s="5" t="str">
        <v>East</v>
      </c>
      <c r="F435" s="5" t="str">
        <v>Nov-2025</v>
      </c>
      <c r="G435" s="5">
        <v>86920</v>
      </c>
      <c r="H435" s="5">
        <v>6</v>
      </c>
      <c r="I435" s="5">
        <v>55085</v>
      </c>
      <c r="J435" s="10"/>
    </row>
    <row r="436" spans="2:10" x14ac:dyDescent="0.3">
      <c r="B436" s="5" t="str">
        <v>ORD1117</v>
      </c>
      <c r="C436" s="5" t="str">
        <v>Phone</v>
      </c>
      <c r="D436" s="5" t="str">
        <v>Electronics</v>
      </c>
      <c r="E436" s="5" t="str">
        <v>North</v>
      </c>
      <c r="F436" s="5" t="str">
        <v>Oct-2025</v>
      </c>
      <c r="G436" s="5">
        <v>86835</v>
      </c>
      <c r="H436" s="5">
        <v>3</v>
      </c>
      <c r="I436" s="5">
        <v>58308</v>
      </c>
      <c r="J436" s="10"/>
    </row>
    <row r="437" spans="2:10" x14ac:dyDescent="0.3">
      <c r="B437" s="5" t="str">
        <v>ORD1710</v>
      </c>
      <c r="C437" s="5" t="str">
        <v>Tablet</v>
      </c>
      <c r="D437" s="5" t="str">
        <v>Electronics</v>
      </c>
      <c r="E437" s="5" t="str">
        <v>West</v>
      </c>
      <c r="F437" s="5" t="str">
        <v>Dec-2025</v>
      </c>
      <c r="G437" s="5">
        <v>86813</v>
      </c>
      <c r="H437" s="5">
        <v>7</v>
      </c>
      <c r="I437" s="5">
        <v>60671</v>
      </c>
      <c r="J437" s="10"/>
    </row>
    <row r="438" spans="2:10" x14ac:dyDescent="0.3">
      <c r="B438" s="5" t="str">
        <v>ORD1671</v>
      </c>
      <c r="C438" s="5" t="str">
        <v>Mouse</v>
      </c>
      <c r="D438" s="5" t="str">
        <v>Accessories</v>
      </c>
      <c r="E438" s="5" t="str">
        <v>North</v>
      </c>
      <c r="F438" s="5" t="str">
        <v>Oct-2025</v>
      </c>
      <c r="G438" s="5">
        <v>86731</v>
      </c>
      <c r="H438" s="5">
        <v>8</v>
      </c>
      <c r="I438" s="5">
        <v>58665</v>
      </c>
      <c r="J438" s="10"/>
    </row>
    <row r="439" spans="2:10" x14ac:dyDescent="0.3">
      <c r="B439" s="5" t="str">
        <v>ORD1222</v>
      </c>
      <c r="C439" s="5" t="str">
        <v>Tablet</v>
      </c>
      <c r="D439" s="5" t="str">
        <v>Electronics</v>
      </c>
      <c r="E439" s="5" t="str">
        <v>West</v>
      </c>
      <c r="F439" s="5" t="str">
        <v>Mar-2025</v>
      </c>
      <c r="G439" s="5">
        <v>86656</v>
      </c>
      <c r="H439" s="5">
        <v>5</v>
      </c>
      <c r="I439" s="5">
        <v>55269</v>
      </c>
      <c r="J439" s="10"/>
    </row>
    <row r="440" spans="2:10" x14ac:dyDescent="0.3">
      <c r="B440" s="5" t="str">
        <v>ORD1202</v>
      </c>
      <c r="C440" s="5" t="str">
        <v>Laptop</v>
      </c>
      <c r="D440" s="5" t="str">
        <v>Electronics</v>
      </c>
      <c r="E440" s="5" t="str">
        <v>East</v>
      </c>
      <c r="F440" s="5" t="str">
        <v>Sep-2025</v>
      </c>
      <c r="G440" s="5">
        <v>86616</v>
      </c>
      <c r="H440" s="5">
        <v>8</v>
      </c>
      <c r="I440" s="5">
        <v>57419</v>
      </c>
      <c r="J440" s="10"/>
    </row>
    <row r="441" spans="2:10" x14ac:dyDescent="0.3">
      <c r="B441" s="5" t="str">
        <v>ORD1454</v>
      </c>
      <c r="C441" s="5" t="str">
        <v>Laptop</v>
      </c>
      <c r="D441" s="5" t="str">
        <v>Electronics</v>
      </c>
      <c r="E441" s="5" t="str">
        <v>South</v>
      </c>
      <c r="F441" s="5" t="str">
        <v>Jul-2025</v>
      </c>
      <c r="G441" s="5">
        <v>86514</v>
      </c>
      <c r="H441" s="5">
        <v>1</v>
      </c>
      <c r="I441" s="5">
        <v>52836</v>
      </c>
      <c r="J441" s="10"/>
    </row>
    <row r="442" spans="2:10" x14ac:dyDescent="0.3">
      <c r="B442" s="5" t="str">
        <v>ORD1338</v>
      </c>
      <c r="C442" s="5" t="str">
        <v>Tablet</v>
      </c>
      <c r="D442" s="5" t="str">
        <v>Electronics</v>
      </c>
      <c r="E442" s="5" t="str">
        <v>East</v>
      </c>
      <c r="F442" s="5" t="str">
        <v>Aug-2025</v>
      </c>
      <c r="G442" s="5">
        <v>86270</v>
      </c>
      <c r="H442" s="5">
        <v>10</v>
      </c>
      <c r="I442" s="5">
        <v>52833</v>
      </c>
      <c r="J442" s="10"/>
    </row>
    <row r="443" spans="2:10" x14ac:dyDescent="0.3">
      <c r="B443" s="5" t="str">
        <v>ORD1081</v>
      </c>
      <c r="C443" s="5" t="str">
        <v>Mouse</v>
      </c>
      <c r="D443" s="5" t="str">
        <v>Accessories</v>
      </c>
      <c r="E443" s="5" t="str">
        <v>South</v>
      </c>
      <c r="F443" s="5" t="str">
        <v>Feb-2025</v>
      </c>
      <c r="G443" s="5">
        <v>86106</v>
      </c>
      <c r="H443" s="5">
        <v>13</v>
      </c>
      <c r="I443" s="5">
        <v>53044</v>
      </c>
      <c r="J443" s="10"/>
    </row>
    <row r="444" spans="2:10" x14ac:dyDescent="0.3">
      <c r="B444" s="5" t="str">
        <v>ORD1029</v>
      </c>
      <c r="C444" s="5" t="str">
        <v>Mouse</v>
      </c>
      <c r="D444" s="5" t="str">
        <v>Accessories</v>
      </c>
      <c r="E444" s="5" t="str">
        <v>East</v>
      </c>
      <c r="F444" s="5" t="str">
        <v>Jul-2025</v>
      </c>
      <c r="G444" s="5">
        <v>86050</v>
      </c>
      <c r="H444" s="5">
        <v>15</v>
      </c>
      <c r="I444" s="5">
        <v>52648</v>
      </c>
      <c r="J444" s="10"/>
    </row>
    <row r="445" spans="2:10" x14ac:dyDescent="0.3">
      <c r="B445" s="5" t="str">
        <v>ORD1619</v>
      </c>
      <c r="C445" s="5" t="str">
        <v>Headphones</v>
      </c>
      <c r="D445" s="5" t="str">
        <v>Accessories</v>
      </c>
      <c r="E445" s="5" t="str">
        <v>East</v>
      </c>
      <c r="F445" s="5" t="str">
        <v>Feb-2025</v>
      </c>
      <c r="G445" s="5">
        <v>86000</v>
      </c>
      <c r="H445" s="5">
        <v>13</v>
      </c>
      <c r="I445" s="5">
        <v>58502</v>
      </c>
      <c r="J445" s="10"/>
    </row>
    <row r="446" spans="2:10" x14ac:dyDescent="0.3">
      <c r="B446" s="5" t="str">
        <v>ORD1084</v>
      </c>
      <c r="C446" s="5" t="str">
        <v>Phone</v>
      </c>
      <c r="D446" s="5" t="str">
        <v>Electronics</v>
      </c>
      <c r="E446" s="5" t="str">
        <v>North</v>
      </c>
      <c r="F446" s="5" t="str">
        <v>Mar-2025</v>
      </c>
      <c r="G446" s="5">
        <v>85747</v>
      </c>
      <c r="H446" s="5">
        <v>7</v>
      </c>
      <c r="I446" s="5">
        <v>52859</v>
      </c>
      <c r="J446" s="10"/>
    </row>
    <row r="447" spans="2:10" x14ac:dyDescent="0.3">
      <c r="B447" s="5" t="str">
        <v>ORD1139</v>
      </c>
      <c r="C447" s="5" t="str">
        <v>Tablet</v>
      </c>
      <c r="D447" s="5" t="str">
        <v>Electronics</v>
      </c>
      <c r="E447" s="5" t="str">
        <v>West</v>
      </c>
      <c r="F447" s="5" t="str">
        <v>Jul-2025</v>
      </c>
      <c r="G447" s="5">
        <v>85462</v>
      </c>
      <c r="H447" s="5">
        <v>15</v>
      </c>
      <c r="I447" s="5">
        <v>60305</v>
      </c>
      <c r="J447" s="10"/>
    </row>
    <row r="448" spans="2:10" x14ac:dyDescent="0.3">
      <c r="B448" s="5" t="str">
        <v>ORD1831</v>
      </c>
      <c r="C448" s="5" t="str">
        <v>Tablet</v>
      </c>
      <c r="D448" s="5" t="str">
        <v>Electronics</v>
      </c>
      <c r="E448" s="5" t="str">
        <v>North</v>
      </c>
      <c r="F448" s="5" t="str">
        <v>Jul-2025</v>
      </c>
      <c r="G448" s="5">
        <v>85341</v>
      </c>
      <c r="H448" s="5">
        <v>4</v>
      </c>
      <c r="I448" s="5">
        <v>56016</v>
      </c>
      <c r="J448" s="10"/>
    </row>
    <row r="449" spans="2:10" x14ac:dyDescent="0.3">
      <c r="B449" s="5" t="str">
        <v>ORD1715</v>
      </c>
      <c r="C449" s="5" t="str">
        <v>Mouse</v>
      </c>
      <c r="D449" s="5" t="str">
        <v>Accessories</v>
      </c>
      <c r="E449" s="5" t="str">
        <v>South</v>
      </c>
      <c r="F449" s="5" t="str">
        <v>May-2025</v>
      </c>
      <c r="G449" s="5">
        <v>85239</v>
      </c>
      <c r="H449" s="5">
        <v>14</v>
      </c>
      <c r="I449" s="5">
        <v>62190</v>
      </c>
      <c r="J449" s="10"/>
    </row>
    <row r="450" spans="2:10" x14ac:dyDescent="0.3">
      <c r="B450" s="5" t="str">
        <v>ORD1935</v>
      </c>
      <c r="C450" s="5" t="str">
        <v>Phone</v>
      </c>
      <c r="D450" s="5" t="str">
        <v>Electronics</v>
      </c>
      <c r="E450" s="5" t="str">
        <v>East</v>
      </c>
      <c r="F450" s="5" t="str">
        <v>Sep-2025</v>
      </c>
      <c r="G450" s="5">
        <v>85103</v>
      </c>
      <c r="H450" s="5">
        <v>6</v>
      </c>
      <c r="I450" s="5">
        <v>51741</v>
      </c>
      <c r="J450" s="10"/>
    </row>
    <row r="451" spans="2:10" x14ac:dyDescent="0.3">
      <c r="B451" s="5" t="str">
        <v>ORD1752</v>
      </c>
      <c r="C451" s="5" t="str">
        <v>Keyboard</v>
      </c>
      <c r="D451" s="5" t="str">
        <v>Peripherals</v>
      </c>
      <c r="E451" s="5" t="str">
        <v>West</v>
      </c>
      <c r="F451" s="5" t="str">
        <v>Jul-2025</v>
      </c>
      <c r="G451" s="5">
        <v>84825</v>
      </c>
      <c r="H451" s="5">
        <v>7</v>
      </c>
      <c r="I451" s="5">
        <v>56164</v>
      </c>
      <c r="J451" s="10"/>
    </row>
    <row r="452" spans="2:10" x14ac:dyDescent="0.3">
      <c r="B452" s="5" t="str">
        <v>ORD1412</v>
      </c>
      <c r="C452" s="5" t="str">
        <v>Headphones</v>
      </c>
      <c r="D452" s="5" t="str">
        <v>Accessories</v>
      </c>
      <c r="E452" s="5" t="str">
        <v>South</v>
      </c>
      <c r="F452" s="5" t="str">
        <v>Feb-2025</v>
      </c>
      <c r="G452" s="5">
        <v>84644</v>
      </c>
      <c r="H452" s="5">
        <v>1</v>
      </c>
      <c r="I452" s="5">
        <v>54703</v>
      </c>
      <c r="J452" s="10"/>
    </row>
    <row r="453" spans="2:10" x14ac:dyDescent="0.3">
      <c r="B453" s="5" t="str">
        <v>ORD1959</v>
      </c>
      <c r="C453" s="5" t="str">
        <v>Printer</v>
      </c>
      <c r="D453" s="5" t="str">
        <v>Peripherals</v>
      </c>
      <c r="E453" s="5" t="str">
        <v>East</v>
      </c>
      <c r="F453" s="5" t="str">
        <v>Nov-2025</v>
      </c>
      <c r="G453" s="5">
        <v>84548</v>
      </c>
      <c r="H453" s="5">
        <v>7</v>
      </c>
      <c r="I453" s="5">
        <v>51239</v>
      </c>
      <c r="J453" s="10"/>
    </row>
    <row r="454" spans="2:10" x14ac:dyDescent="0.3">
      <c r="B454" s="5" t="str">
        <v>ORD1103</v>
      </c>
      <c r="C454" s="5" t="str">
        <v>Mouse</v>
      </c>
      <c r="D454" s="5" t="str">
        <v>Accessories</v>
      </c>
      <c r="E454" s="5" t="str">
        <v>East</v>
      </c>
      <c r="F454" s="5" t="str">
        <v>Oct-2025</v>
      </c>
      <c r="G454" s="5">
        <v>84422</v>
      </c>
      <c r="H454" s="5">
        <v>2</v>
      </c>
      <c r="I454" s="5">
        <v>51190</v>
      </c>
      <c r="J454" s="10"/>
    </row>
    <row r="455" spans="2:10" x14ac:dyDescent="0.3">
      <c r="B455" s="5" t="str">
        <v>ORD1471</v>
      </c>
      <c r="C455" s="5" t="str">
        <v>Phone</v>
      </c>
      <c r="D455" s="5" t="str">
        <v>Electronics</v>
      </c>
      <c r="E455" s="5" t="str">
        <v>South</v>
      </c>
      <c r="F455" s="5" t="str">
        <v>Nov-2025</v>
      </c>
      <c r="G455" s="5">
        <v>84374</v>
      </c>
      <c r="H455" s="5">
        <v>5</v>
      </c>
      <c r="I455" s="5">
        <v>52957</v>
      </c>
      <c r="J455" s="10"/>
    </row>
    <row r="456" spans="2:10" x14ac:dyDescent="0.3">
      <c r="B456" s="5" t="str">
        <v>ORD1848</v>
      </c>
      <c r="C456" s="5" t="str">
        <v>Laptop</v>
      </c>
      <c r="D456" s="5" t="str">
        <v>Electronics</v>
      </c>
      <c r="E456" s="5" t="str">
        <v>East</v>
      </c>
      <c r="F456" s="5" t="str">
        <v>Mar-2025</v>
      </c>
      <c r="G456" s="5">
        <v>84299</v>
      </c>
      <c r="H456" s="5">
        <v>13</v>
      </c>
      <c r="I456" s="5">
        <v>60936</v>
      </c>
      <c r="J456" s="10"/>
    </row>
    <row r="457" spans="2:10" x14ac:dyDescent="0.3">
      <c r="B457" s="5" t="str">
        <v>ORD1485</v>
      </c>
      <c r="C457" s="5" t="str">
        <v>Mouse</v>
      </c>
      <c r="D457" s="5" t="str">
        <v>Accessories</v>
      </c>
      <c r="E457" s="5" t="str">
        <v>South</v>
      </c>
      <c r="F457" s="5" t="str">
        <v>Jan-2025</v>
      </c>
      <c r="G457" s="5">
        <v>84243</v>
      </c>
      <c r="H457" s="5">
        <v>15</v>
      </c>
      <c r="I457" s="5">
        <v>53260</v>
      </c>
      <c r="J457" s="10"/>
    </row>
    <row r="458" spans="2:10" x14ac:dyDescent="0.3">
      <c r="B458" s="5" t="str">
        <v>ORD1863</v>
      </c>
      <c r="C458" s="5" t="str">
        <v>Laptop</v>
      </c>
      <c r="D458" s="5" t="str">
        <v>Electronics</v>
      </c>
      <c r="E458" s="5" t="str">
        <v>North</v>
      </c>
      <c r="F458" s="5" t="str">
        <v>Feb-2025</v>
      </c>
      <c r="G458" s="5">
        <v>84199</v>
      </c>
      <c r="H458" s="5">
        <v>9</v>
      </c>
      <c r="I458" s="5">
        <v>52527</v>
      </c>
      <c r="J458" s="10"/>
    </row>
    <row r="459" spans="2:10" x14ac:dyDescent="0.3">
      <c r="B459" s="5" t="str">
        <v>ORD1480</v>
      </c>
      <c r="C459" s="5" t="str">
        <v>Keyboard</v>
      </c>
      <c r="D459" s="5" t="str">
        <v>Peripherals</v>
      </c>
      <c r="E459" s="5" t="str">
        <v>South</v>
      </c>
      <c r="F459" s="5" t="str">
        <v>Jan-2025</v>
      </c>
      <c r="G459" s="5">
        <v>84167</v>
      </c>
      <c r="H459" s="5">
        <v>14</v>
      </c>
      <c r="I459" s="5">
        <v>51406</v>
      </c>
      <c r="J459" s="10"/>
    </row>
    <row r="460" spans="2:10" x14ac:dyDescent="0.3">
      <c r="B460" s="5" t="str">
        <v>ORD1676</v>
      </c>
      <c r="C460" s="5" t="str">
        <v>Mouse</v>
      </c>
      <c r="D460" s="5" t="str">
        <v>Accessories</v>
      </c>
      <c r="E460" s="5" t="str">
        <v>North</v>
      </c>
      <c r="F460" s="5" t="str">
        <v>Feb-2025</v>
      </c>
      <c r="G460" s="5">
        <v>83796</v>
      </c>
      <c r="H460" s="5">
        <v>1</v>
      </c>
      <c r="I460" s="5">
        <v>55351</v>
      </c>
      <c r="J460" s="10"/>
    </row>
    <row r="461" spans="2:10" x14ac:dyDescent="0.3">
      <c r="B461" s="5" t="str">
        <v>ORD1033</v>
      </c>
      <c r="C461" s="5" t="str">
        <v>Laptop</v>
      </c>
      <c r="D461" s="5" t="str">
        <v>Electronics</v>
      </c>
      <c r="E461" s="5" t="str">
        <v>West</v>
      </c>
      <c r="F461" s="5" t="str">
        <v>Feb-2025</v>
      </c>
      <c r="G461" s="5">
        <v>83754</v>
      </c>
      <c r="H461" s="5">
        <v>2</v>
      </c>
      <c r="I461" s="5">
        <v>54769</v>
      </c>
      <c r="J461" s="10"/>
    </row>
    <row r="462" spans="2:10" x14ac:dyDescent="0.3">
      <c r="B462" s="5" t="str">
        <v>ORD1908</v>
      </c>
      <c r="C462" s="5" t="str">
        <v>Printer</v>
      </c>
      <c r="D462" s="5" t="str">
        <v>Peripherals</v>
      </c>
      <c r="E462" s="5" t="str">
        <v>East</v>
      </c>
      <c r="F462" s="5" t="str">
        <v>Oct-2025</v>
      </c>
      <c r="G462" s="5">
        <v>83733</v>
      </c>
      <c r="H462" s="5">
        <v>2</v>
      </c>
      <c r="I462" s="5">
        <v>52412</v>
      </c>
      <c r="J462" s="10"/>
    </row>
    <row r="463" spans="2:10" x14ac:dyDescent="0.3">
      <c r="B463" s="5" t="str">
        <v>ORD1397</v>
      </c>
      <c r="C463" s="5" t="str">
        <v>Keyboard</v>
      </c>
      <c r="D463" s="5" t="str">
        <v>Peripherals</v>
      </c>
      <c r="E463" s="5" t="str">
        <v>East</v>
      </c>
      <c r="F463" s="5" t="str">
        <v>Jun-2025</v>
      </c>
      <c r="G463" s="5">
        <v>83586</v>
      </c>
      <c r="H463" s="5">
        <v>7</v>
      </c>
      <c r="I463" s="5">
        <v>59246</v>
      </c>
      <c r="J463" s="10"/>
    </row>
    <row r="464" spans="2:10" x14ac:dyDescent="0.3">
      <c r="B464" s="5" t="str">
        <v>ORD1414</v>
      </c>
      <c r="C464" s="5" t="str">
        <v>Printer</v>
      </c>
      <c r="D464" s="5" t="str">
        <v>Peripherals</v>
      </c>
      <c r="E464" s="5" t="str">
        <v>South</v>
      </c>
      <c r="F464" s="5" t="str">
        <v>Feb-2025</v>
      </c>
      <c r="G464" s="5">
        <v>83572</v>
      </c>
      <c r="H464" s="5">
        <v>6</v>
      </c>
      <c r="I464" s="5">
        <v>61660</v>
      </c>
      <c r="J464" s="10"/>
    </row>
    <row r="465" spans="2:10" x14ac:dyDescent="0.3">
      <c r="B465" s="5" t="str">
        <v>ORD1244</v>
      </c>
      <c r="C465" s="5" t="str">
        <v>Tablet</v>
      </c>
      <c r="D465" s="5" t="str">
        <v>Electronics</v>
      </c>
      <c r="E465" s="5" t="str">
        <v>North</v>
      </c>
      <c r="F465" s="5" t="str">
        <v>Aug-2025</v>
      </c>
      <c r="G465" s="5">
        <v>83427</v>
      </c>
      <c r="H465" s="5">
        <v>4</v>
      </c>
      <c r="I465" s="5">
        <v>51447</v>
      </c>
      <c r="J465" s="10"/>
    </row>
    <row r="466" spans="2:10" x14ac:dyDescent="0.3">
      <c r="B466" s="5" t="str">
        <v>ORD1955</v>
      </c>
      <c r="C466" s="5" t="str">
        <v>Keyboard</v>
      </c>
      <c r="D466" s="5" t="str">
        <v>Peripherals</v>
      </c>
      <c r="E466" s="5" t="str">
        <v>West</v>
      </c>
      <c r="F466" s="5" t="str">
        <v>Mar-2025</v>
      </c>
      <c r="G466" s="5">
        <v>83269</v>
      </c>
      <c r="H466" s="5">
        <v>9</v>
      </c>
      <c r="I466" s="5">
        <v>54733</v>
      </c>
      <c r="J466" s="10"/>
    </row>
    <row r="467" spans="2:10" x14ac:dyDescent="0.3">
      <c r="B467" s="5" t="str">
        <v>ORD1795</v>
      </c>
      <c r="C467" s="5" t="str">
        <v>Tablet</v>
      </c>
      <c r="D467" s="5" t="str">
        <v>Electronics</v>
      </c>
      <c r="E467" s="5" t="str">
        <v>North</v>
      </c>
      <c r="F467" s="5" t="str">
        <v>Feb-2025</v>
      </c>
      <c r="G467" s="5">
        <v>83210</v>
      </c>
      <c r="H467" s="5">
        <v>15</v>
      </c>
      <c r="I467" s="5">
        <v>61165</v>
      </c>
      <c r="J467" s="10"/>
    </row>
    <row r="468" spans="2:10" x14ac:dyDescent="0.3">
      <c r="B468" s="5" t="str">
        <v>ORD1913</v>
      </c>
      <c r="C468" s="5" t="str">
        <v>Printer</v>
      </c>
      <c r="D468" s="5" t="str">
        <v>Peripherals</v>
      </c>
      <c r="E468" s="5" t="str">
        <v>East</v>
      </c>
      <c r="F468" s="5" t="str">
        <v>Feb-2025</v>
      </c>
      <c r="G468" s="5">
        <v>83189</v>
      </c>
      <c r="H468" s="5">
        <v>8</v>
      </c>
      <c r="I468" s="5">
        <v>52552</v>
      </c>
      <c r="J468" s="10"/>
    </row>
    <row r="469" spans="2:10" x14ac:dyDescent="0.3">
      <c r="B469" s="5" t="str">
        <v>ORD1753</v>
      </c>
      <c r="C469" s="5" t="str">
        <v>Phone</v>
      </c>
      <c r="D469" s="5" t="str">
        <v>Electronics</v>
      </c>
      <c r="E469" s="5" t="str">
        <v>South</v>
      </c>
      <c r="F469" s="5" t="str">
        <v>Jan-2025</v>
      </c>
      <c r="G469" s="5">
        <v>82914</v>
      </c>
      <c r="H469" s="5">
        <v>7</v>
      </c>
      <c r="I469" s="5">
        <v>53478</v>
      </c>
      <c r="J469" s="10"/>
    </row>
    <row r="470" spans="2:10" x14ac:dyDescent="0.3">
      <c r="B470" s="5" t="str">
        <v>ORD1382</v>
      </c>
      <c r="C470" s="5" t="str">
        <v>Monitor</v>
      </c>
      <c r="D470" s="5" t="str">
        <v>Peripherals</v>
      </c>
      <c r="E470" s="5" t="str">
        <v>West</v>
      </c>
      <c r="F470" s="5" t="str">
        <v>Dec-2025</v>
      </c>
      <c r="G470" s="5">
        <v>82753</v>
      </c>
      <c r="H470" s="5">
        <v>11</v>
      </c>
      <c r="I470" s="5">
        <v>51138</v>
      </c>
      <c r="J470" s="10"/>
    </row>
    <row r="471" spans="2:10" x14ac:dyDescent="0.3">
      <c r="B471" s="5" t="str">
        <v>ORD1295</v>
      </c>
      <c r="C471" s="5" t="str">
        <v>Phone</v>
      </c>
      <c r="D471" s="5" t="str">
        <v>Electronics</v>
      </c>
      <c r="E471" s="5" t="str">
        <v>West</v>
      </c>
      <c r="F471" s="5" t="str">
        <v>Sep-2025</v>
      </c>
      <c r="G471" s="5">
        <v>82632</v>
      </c>
      <c r="H471" s="5">
        <v>5</v>
      </c>
      <c r="I471" s="5">
        <v>51991</v>
      </c>
      <c r="J471" s="10"/>
    </row>
    <row r="472" spans="2:10" x14ac:dyDescent="0.3">
      <c r="B472" s="5" t="str">
        <v>ORD1733</v>
      </c>
      <c r="C472" s="5" t="str">
        <v>Keyboard</v>
      </c>
      <c r="D472" s="5" t="str">
        <v>Peripherals</v>
      </c>
      <c r="E472" s="5" t="str">
        <v>West</v>
      </c>
      <c r="F472" s="5" t="str">
        <v>Dec-2025</v>
      </c>
      <c r="G472" s="5">
        <v>82626</v>
      </c>
      <c r="H472" s="5">
        <v>8</v>
      </c>
      <c r="I472" s="5">
        <v>50334</v>
      </c>
      <c r="J472" s="10"/>
    </row>
    <row r="473" spans="2:10" x14ac:dyDescent="0.3">
      <c r="B473" s="5" t="str">
        <v>ORD1172</v>
      </c>
      <c r="C473" s="5" t="str">
        <v>Keyboard</v>
      </c>
      <c r="D473" s="5" t="str">
        <v>Peripherals</v>
      </c>
      <c r="E473" s="5" t="str">
        <v>North</v>
      </c>
      <c r="F473" s="5" t="str">
        <v>Feb-2025</v>
      </c>
      <c r="G473" s="5">
        <v>82608</v>
      </c>
      <c r="H473" s="5">
        <v>8</v>
      </c>
      <c r="I473" s="5">
        <v>61723</v>
      </c>
      <c r="J473" s="10"/>
    </row>
    <row r="474" spans="2:10" x14ac:dyDescent="0.3">
      <c r="B474" s="5" t="str">
        <v>ORD1611</v>
      </c>
      <c r="C474" s="5" t="str">
        <v>Phone</v>
      </c>
      <c r="D474" s="5" t="str">
        <v>Electronics</v>
      </c>
      <c r="E474" s="5" t="str">
        <v>West</v>
      </c>
      <c r="F474" s="5" t="str">
        <v>Nov-2025</v>
      </c>
      <c r="G474" s="5">
        <v>82575</v>
      </c>
      <c r="H474" s="5">
        <v>12</v>
      </c>
      <c r="I474" s="5">
        <v>57210</v>
      </c>
      <c r="J474" s="10"/>
    </row>
    <row r="475" spans="2:10" x14ac:dyDescent="0.3">
      <c r="B475" s="5" t="str">
        <v>ORD1874</v>
      </c>
      <c r="C475" s="5" t="str">
        <v>Laptop</v>
      </c>
      <c r="D475" s="5" t="str">
        <v>Electronics</v>
      </c>
      <c r="E475" s="5" t="str">
        <v>East</v>
      </c>
      <c r="F475" s="5" t="str">
        <v>Jan-2025</v>
      </c>
      <c r="G475" s="5">
        <v>82458</v>
      </c>
      <c r="H475" s="5">
        <v>9</v>
      </c>
      <c r="I475" s="5">
        <v>54320</v>
      </c>
      <c r="J475" s="10"/>
    </row>
    <row r="476" spans="2:10" x14ac:dyDescent="0.3">
      <c r="B476" s="5" t="str">
        <v>ORD1849</v>
      </c>
      <c r="C476" s="5" t="str">
        <v>Tablet</v>
      </c>
      <c r="D476" s="5" t="str">
        <v>Electronics</v>
      </c>
      <c r="E476" s="5" t="str">
        <v>North</v>
      </c>
      <c r="F476" s="5" t="str">
        <v>Nov-2025</v>
      </c>
      <c r="G476" s="5">
        <v>82394</v>
      </c>
      <c r="H476" s="5">
        <v>1</v>
      </c>
      <c r="I476" s="5">
        <v>53008</v>
      </c>
      <c r="J476" s="10"/>
    </row>
    <row r="477" spans="2:10" x14ac:dyDescent="0.3">
      <c r="B477" s="5" t="str">
        <v>ORD1749</v>
      </c>
      <c r="C477" s="5" t="str">
        <v>Mouse</v>
      </c>
      <c r="D477" s="5" t="str">
        <v>Accessories</v>
      </c>
      <c r="E477" s="5" t="str">
        <v>North</v>
      </c>
      <c r="F477" s="5" t="str">
        <v>Jun-2025</v>
      </c>
      <c r="G477" s="5">
        <v>82372</v>
      </c>
      <c r="H477" s="5">
        <v>5</v>
      </c>
      <c r="I477" s="5">
        <v>52539</v>
      </c>
      <c r="J477" s="10"/>
    </row>
    <row r="478" spans="2:10" x14ac:dyDescent="0.3">
      <c r="B478" s="5" t="str">
        <v>ORD1156</v>
      </c>
      <c r="C478" s="5" t="str">
        <v>Mouse</v>
      </c>
      <c r="D478" s="5" t="str">
        <v>Accessories</v>
      </c>
      <c r="E478" s="5" t="str">
        <v>North</v>
      </c>
      <c r="F478" s="5" t="str">
        <v>Dec-2025</v>
      </c>
      <c r="G478" s="5">
        <v>82354</v>
      </c>
      <c r="H478" s="5">
        <v>9</v>
      </c>
      <c r="I478" s="5">
        <v>52887</v>
      </c>
      <c r="J478" s="10"/>
    </row>
    <row r="479" spans="2:10" x14ac:dyDescent="0.3">
      <c r="B479" s="5" t="str">
        <v>ORD1228</v>
      </c>
      <c r="C479" s="5" t="str">
        <v>Tablet</v>
      </c>
      <c r="D479" s="5" t="str">
        <v>Electronics</v>
      </c>
      <c r="E479" s="5" t="str">
        <v>South</v>
      </c>
      <c r="F479" s="5" t="str">
        <v>Aug-2025</v>
      </c>
      <c r="G479" s="5">
        <v>82327</v>
      </c>
      <c r="H479" s="5">
        <v>7</v>
      </c>
      <c r="I479" s="5">
        <v>59726</v>
      </c>
      <c r="J479" s="10"/>
    </row>
    <row r="480" spans="2:10" x14ac:dyDescent="0.3">
      <c r="B480" s="5" t="str">
        <v>ORD1764</v>
      </c>
      <c r="C480" s="5" t="str">
        <v>Headphones</v>
      </c>
      <c r="D480" s="5" t="str">
        <v>Accessories</v>
      </c>
      <c r="E480" s="5" t="str">
        <v>East</v>
      </c>
      <c r="F480" s="5" t="str">
        <v>Nov-2025</v>
      </c>
      <c r="G480" s="5">
        <v>82248</v>
      </c>
      <c r="H480" s="5">
        <v>5</v>
      </c>
      <c r="I480" s="5">
        <v>54779</v>
      </c>
      <c r="J480" s="10"/>
    </row>
    <row r="481" spans="2:10" x14ac:dyDescent="0.3">
      <c r="B481" s="5" t="str">
        <v>ORD1198</v>
      </c>
      <c r="C481" s="5" t="str">
        <v>Keyboard</v>
      </c>
      <c r="D481" s="5" t="str">
        <v>Peripherals</v>
      </c>
      <c r="E481" s="5" t="str">
        <v>East</v>
      </c>
      <c r="F481" s="5" t="str">
        <v>May-2025</v>
      </c>
      <c r="G481" s="5">
        <v>82064</v>
      </c>
      <c r="H481" s="5">
        <v>1</v>
      </c>
      <c r="I481" s="5">
        <v>54954</v>
      </c>
      <c r="J481" s="10"/>
    </row>
    <row r="482" spans="2:10" x14ac:dyDescent="0.3">
      <c r="B482" s="5" t="str">
        <v>ORD1486</v>
      </c>
      <c r="C482" s="5" t="str">
        <v>Tablet</v>
      </c>
      <c r="D482" s="5" t="str">
        <v>Electronics</v>
      </c>
      <c r="E482" s="5" t="str">
        <v>North</v>
      </c>
      <c r="F482" s="5" t="str">
        <v>Nov-2025</v>
      </c>
      <c r="G482" s="5">
        <v>81883</v>
      </c>
      <c r="H482" s="5">
        <v>5</v>
      </c>
      <c r="I482" s="5">
        <v>55181</v>
      </c>
      <c r="J482" s="10"/>
    </row>
    <row r="483" spans="2:10" x14ac:dyDescent="0.3">
      <c r="B483" s="5" t="str">
        <v>ORD1892</v>
      </c>
      <c r="C483" s="5" t="str">
        <v>Mouse</v>
      </c>
      <c r="D483" s="5" t="str">
        <v>Accessories</v>
      </c>
      <c r="E483" s="5" t="str">
        <v>South</v>
      </c>
      <c r="F483" s="5" t="str">
        <v>Mar-2025</v>
      </c>
      <c r="G483" s="5">
        <v>81749</v>
      </c>
      <c r="H483" s="5">
        <v>12</v>
      </c>
      <c r="I483" s="5">
        <v>50184</v>
      </c>
      <c r="J483" s="10"/>
    </row>
    <row r="484" spans="2:10" x14ac:dyDescent="0.3">
      <c r="B484" s="5" t="str">
        <v>ORD1232</v>
      </c>
      <c r="C484" s="5" t="str">
        <v>Mouse</v>
      </c>
      <c r="D484" s="5" t="str">
        <v>Accessories</v>
      </c>
      <c r="E484" s="5" t="str">
        <v>North</v>
      </c>
      <c r="F484" s="5" t="str">
        <v>Jun-2025</v>
      </c>
      <c r="G484" s="5">
        <v>81696</v>
      </c>
      <c r="H484" s="5">
        <v>3</v>
      </c>
      <c r="I484" s="5">
        <v>50359</v>
      </c>
      <c r="J484" s="10"/>
    </row>
    <row r="485" spans="2:10" x14ac:dyDescent="0.3">
      <c r="B485" s="5" t="str">
        <v>ORD1999</v>
      </c>
      <c r="C485" s="5" t="str">
        <v>Mouse</v>
      </c>
      <c r="D485" s="5" t="str">
        <v>Accessories</v>
      </c>
      <c r="E485" s="5" t="str">
        <v>East</v>
      </c>
      <c r="F485" s="5" t="str">
        <v>Apr-2025</v>
      </c>
      <c r="G485" s="5">
        <v>81228</v>
      </c>
      <c r="H485" s="5">
        <v>8</v>
      </c>
      <c r="I485" s="5">
        <v>55555</v>
      </c>
      <c r="J485" s="10"/>
    </row>
    <row r="486" spans="2:10" x14ac:dyDescent="0.3">
      <c r="B486" s="5" t="str">
        <v>ORD1953</v>
      </c>
      <c r="C486" s="5" t="str">
        <v>Monitor</v>
      </c>
      <c r="D486" s="5" t="str">
        <v>Peripherals</v>
      </c>
      <c r="E486" s="5" t="str">
        <v>West</v>
      </c>
      <c r="F486" s="5" t="str">
        <v>Jul-2025</v>
      </c>
      <c r="G486" s="5">
        <v>81183</v>
      </c>
      <c r="H486" s="5">
        <v>14</v>
      </c>
      <c r="I486" s="5">
        <v>53561</v>
      </c>
      <c r="J486" s="10"/>
    </row>
    <row r="487" spans="2:10" x14ac:dyDescent="0.3">
      <c r="B487" s="5" t="str">
        <v>ORD1166</v>
      </c>
      <c r="C487" s="5" t="str">
        <v>Phone</v>
      </c>
      <c r="D487" s="5" t="str">
        <v>Electronics</v>
      </c>
      <c r="E487" s="5" t="str">
        <v>North</v>
      </c>
      <c r="F487" s="5" t="str">
        <v>Dec-2025</v>
      </c>
      <c r="G487" s="5">
        <v>81165</v>
      </c>
      <c r="H487" s="5">
        <v>6</v>
      </c>
      <c r="I487" s="5">
        <v>59111</v>
      </c>
      <c r="J487" s="10"/>
    </row>
    <row r="488" spans="2:10" x14ac:dyDescent="0.3">
      <c r="B488" s="5" t="str">
        <v>ORD1097</v>
      </c>
      <c r="C488" s="5" t="str">
        <v>Mouse</v>
      </c>
      <c r="D488" s="5" t="str">
        <v>Accessories</v>
      </c>
      <c r="E488" s="5" t="str">
        <v>East</v>
      </c>
      <c r="F488" s="5" t="str">
        <v>Nov-2025</v>
      </c>
      <c r="G488" s="5">
        <v>81041</v>
      </c>
      <c r="H488" s="5">
        <v>5</v>
      </c>
      <c r="I488" s="5">
        <v>48973</v>
      </c>
      <c r="J488" s="10"/>
    </row>
    <row r="489" spans="2:10" x14ac:dyDescent="0.3">
      <c r="B489" s="5" t="str">
        <v>ORD1517</v>
      </c>
      <c r="C489" s="5" t="str">
        <v>Phone</v>
      </c>
      <c r="D489" s="5" t="str">
        <v>Electronics</v>
      </c>
      <c r="E489" s="5" t="str">
        <v>South</v>
      </c>
      <c r="F489" s="5" t="str">
        <v>Aug-2025</v>
      </c>
      <c r="G489" s="5">
        <v>80748</v>
      </c>
      <c r="H489" s="5">
        <v>11</v>
      </c>
      <c r="I489" s="5">
        <v>52102</v>
      </c>
      <c r="J489" s="10"/>
    </row>
    <row r="490" spans="2:10" x14ac:dyDescent="0.3">
      <c r="B490" s="5" t="str">
        <v>ORD1405</v>
      </c>
      <c r="C490" s="5" t="str">
        <v>Keyboard</v>
      </c>
      <c r="D490" s="5" t="str">
        <v>Peripherals</v>
      </c>
      <c r="E490" s="5" t="str">
        <v>West</v>
      </c>
      <c r="F490" s="5" t="str">
        <v>Apr-2025</v>
      </c>
      <c r="G490" s="5">
        <v>80694</v>
      </c>
      <c r="H490" s="5">
        <v>13</v>
      </c>
      <c r="I490" s="5">
        <v>58406</v>
      </c>
      <c r="J490" s="10"/>
    </row>
    <row r="491" spans="2:10" x14ac:dyDescent="0.3">
      <c r="B491" s="5" t="str">
        <v>ORD1687</v>
      </c>
      <c r="C491" s="5" t="str">
        <v>Mouse</v>
      </c>
      <c r="D491" s="5" t="str">
        <v>Accessories</v>
      </c>
      <c r="E491" s="5" t="str">
        <v>East</v>
      </c>
      <c r="F491" s="5" t="str">
        <v>Jul-2025</v>
      </c>
      <c r="G491" s="5">
        <v>80415</v>
      </c>
      <c r="H491" s="5">
        <v>2</v>
      </c>
      <c r="I491" s="5">
        <v>50224</v>
      </c>
      <c r="J491" s="10"/>
    </row>
    <row r="492" spans="2:10" x14ac:dyDescent="0.3">
      <c r="B492" s="5" t="str">
        <v>ORD1750</v>
      </c>
      <c r="C492" s="5" t="str">
        <v>Laptop</v>
      </c>
      <c r="D492" s="5" t="str">
        <v>Electronics</v>
      </c>
      <c r="E492" s="5" t="str">
        <v>West</v>
      </c>
      <c r="F492" s="5" t="str">
        <v>Jul-2025</v>
      </c>
      <c r="G492" s="5">
        <v>80360</v>
      </c>
      <c r="H492" s="5">
        <v>8</v>
      </c>
      <c r="I492" s="5">
        <v>54630</v>
      </c>
      <c r="J492" s="10"/>
    </row>
    <row r="493" spans="2:10" x14ac:dyDescent="0.3">
      <c r="B493" s="5" t="str">
        <v>ORD1142</v>
      </c>
      <c r="C493" s="5" t="str">
        <v>Laptop</v>
      </c>
      <c r="D493" s="5" t="str">
        <v>Electronics</v>
      </c>
      <c r="E493" s="5" t="str">
        <v>North</v>
      </c>
      <c r="F493" s="5" t="str">
        <v>Nov-2025</v>
      </c>
      <c r="G493" s="5">
        <v>80324</v>
      </c>
      <c r="H493" s="5">
        <v>9</v>
      </c>
      <c r="I493" s="5">
        <v>52971</v>
      </c>
      <c r="J493" s="10"/>
    </row>
    <row r="494" spans="2:10" x14ac:dyDescent="0.3">
      <c r="B494" s="5" t="str">
        <v>ORD1509</v>
      </c>
      <c r="C494" s="5" t="str">
        <v>Monitor</v>
      </c>
      <c r="D494" s="5" t="str">
        <v>Peripherals</v>
      </c>
      <c r="E494" s="5" t="str">
        <v>West</v>
      </c>
      <c r="F494" s="5" t="str">
        <v>Aug-2025</v>
      </c>
      <c r="G494" s="5">
        <v>80236</v>
      </c>
      <c r="H494" s="5">
        <v>6</v>
      </c>
      <c r="I494" s="5">
        <v>48288</v>
      </c>
      <c r="J494" s="10"/>
    </row>
    <row r="495" spans="2:10" x14ac:dyDescent="0.3">
      <c r="B495" s="5" t="str">
        <v>ORD1283</v>
      </c>
      <c r="C495" s="5" t="str">
        <v>Monitor</v>
      </c>
      <c r="D495" s="5" t="str">
        <v>Peripherals</v>
      </c>
      <c r="E495" s="5" t="str">
        <v>East</v>
      </c>
      <c r="F495" s="5" t="str">
        <v>Oct-2025</v>
      </c>
      <c r="G495" s="5">
        <v>80080</v>
      </c>
      <c r="H495" s="5">
        <v>9</v>
      </c>
      <c r="I495" s="5">
        <v>49458</v>
      </c>
      <c r="J495" s="10"/>
    </row>
    <row r="496" spans="2:10" x14ac:dyDescent="0.3">
      <c r="B496" s="5" t="str">
        <v>ORD1954</v>
      </c>
      <c r="C496" s="5" t="str">
        <v>Keyboard</v>
      </c>
      <c r="D496" s="5" t="str">
        <v>Peripherals</v>
      </c>
      <c r="E496" s="5" t="str">
        <v>West</v>
      </c>
      <c r="F496" s="5" t="str">
        <v>Jul-2025</v>
      </c>
      <c r="G496" s="5">
        <v>79911</v>
      </c>
      <c r="H496" s="5">
        <v>3</v>
      </c>
      <c r="I496" s="5">
        <v>53608</v>
      </c>
      <c r="J496" s="10"/>
    </row>
    <row r="497" spans="2:10" x14ac:dyDescent="0.3">
      <c r="B497" s="5" t="str">
        <v>ORD1781</v>
      </c>
      <c r="C497" s="5" t="str">
        <v>Mouse</v>
      </c>
      <c r="D497" s="5" t="str">
        <v>Accessories</v>
      </c>
      <c r="E497" s="5" t="str">
        <v>East</v>
      </c>
      <c r="F497" s="5" t="str">
        <v>Jun-2025</v>
      </c>
      <c r="G497" s="5">
        <v>79886</v>
      </c>
      <c r="H497" s="5">
        <v>13</v>
      </c>
      <c r="I497" s="5">
        <v>55353</v>
      </c>
      <c r="J497" s="10"/>
    </row>
    <row r="498" spans="2:10" x14ac:dyDescent="0.3">
      <c r="B498" s="5" t="str">
        <v>ORD1466</v>
      </c>
      <c r="C498" s="5" t="str">
        <v>Tablet</v>
      </c>
      <c r="D498" s="5" t="str">
        <v>Electronics</v>
      </c>
      <c r="E498" s="5" t="str">
        <v>West</v>
      </c>
      <c r="F498" s="5" t="str">
        <v>Oct-2025</v>
      </c>
      <c r="G498" s="5">
        <v>79842</v>
      </c>
      <c r="H498" s="5">
        <v>2</v>
      </c>
      <c r="I498" s="5">
        <v>48418</v>
      </c>
      <c r="J498" s="10"/>
    </row>
    <row r="499" spans="2:10" x14ac:dyDescent="0.3">
      <c r="B499" s="5" t="str">
        <v>ORD1432</v>
      </c>
      <c r="C499" s="5" t="str">
        <v>Keyboard</v>
      </c>
      <c r="D499" s="5" t="str">
        <v>Peripherals</v>
      </c>
      <c r="E499" s="5" t="str">
        <v>North</v>
      </c>
      <c r="F499" s="5" t="str">
        <v>May-2025</v>
      </c>
      <c r="G499" s="5">
        <v>79654</v>
      </c>
      <c r="H499" s="5">
        <v>9</v>
      </c>
      <c r="I499" s="5">
        <v>59651</v>
      </c>
      <c r="J499" s="10"/>
    </row>
    <row r="500" spans="2:10" x14ac:dyDescent="0.3">
      <c r="B500" s="5" t="str">
        <v>ORD1680</v>
      </c>
      <c r="C500" s="5" t="str">
        <v>Mouse</v>
      </c>
      <c r="D500" s="5" t="str">
        <v>Accessories</v>
      </c>
      <c r="E500" s="5" t="str">
        <v>South</v>
      </c>
      <c r="F500" s="5" t="str">
        <v>Jul-2025</v>
      </c>
      <c r="G500" s="5">
        <v>79590</v>
      </c>
      <c r="H500" s="5">
        <v>3</v>
      </c>
      <c r="I500" s="5">
        <v>57555</v>
      </c>
      <c r="J500" s="10"/>
    </row>
    <row r="501" spans="2:10" x14ac:dyDescent="0.3">
      <c r="B501" s="5" t="str">
        <v>ORD1553</v>
      </c>
      <c r="C501" s="5" t="str">
        <v>Monitor</v>
      </c>
      <c r="D501" s="5" t="str">
        <v>Peripherals</v>
      </c>
      <c r="E501" s="5" t="str">
        <v>East</v>
      </c>
      <c r="F501" s="5" t="str">
        <v>Apr-2025</v>
      </c>
      <c r="G501" s="5">
        <v>79433</v>
      </c>
      <c r="H501" s="5">
        <v>10</v>
      </c>
      <c r="I501" s="5">
        <v>47701</v>
      </c>
      <c r="J501" s="10"/>
    </row>
    <row r="502" spans="2:10" x14ac:dyDescent="0.3">
      <c r="B502" s="5" t="str">
        <v>ORD1616</v>
      </c>
      <c r="C502" s="5" t="str">
        <v>Headphones</v>
      </c>
      <c r="D502" s="5" t="str">
        <v>Accessories</v>
      </c>
      <c r="E502" s="5" t="str">
        <v>South</v>
      </c>
      <c r="F502" s="5" t="str">
        <v>Jan-2025</v>
      </c>
      <c r="G502" s="5">
        <v>79103</v>
      </c>
      <c r="H502" s="5">
        <v>1</v>
      </c>
      <c r="I502" s="5">
        <v>54095</v>
      </c>
      <c r="J502" s="10"/>
    </row>
    <row r="503" spans="2:10" x14ac:dyDescent="0.3">
      <c r="B503" s="5" t="str">
        <v>ORD1301</v>
      </c>
      <c r="C503" s="5" t="str">
        <v>Mouse</v>
      </c>
      <c r="D503" s="5" t="str">
        <v>Accessories</v>
      </c>
      <c r="E503" s="5" t="str">
        <v>South</v>
      </c>
      <c r="F503" s="5" t="str">
        <v>Jul-2025</v>
      </c>
      <c r="G503" s="5">
        <v>78974</v>
      </c>
      <c r="H503" s="5">
        <v>5</v>
      </c>
      <c r="I503" s="5">
        <v>52966</v>
      </c>
      <c r="J503" s="10"/>
    </row>
    <row r="504" spans="2:10" x14ac:dyDescent="0.3">
      <c r="B504" s="5" t="str">
        <v>ORD1340</v>
      </c>
      <c r="C504" s="5" t="str">
        <v>Phone</v>
      </c>
      <c r="D504" s="5" t="str">
        <v>Electronics</v>
      </c>
      <c r="E504" s="5" t="str">
        <v>East</v>
      </c>
      <c r="F504" s="5" t="str">
        <v>Sep-2025</v>
      </c>
      <c r="G504" s="5">
        <v>78794</v>
      </c>
      <c r="H504" s="5">
        <v>7</v>
      </c>
      <c r="I504" s="5">
        <v>55662</v>
      </c>
      <c r="J504" s="10"/>
    </row>
    <row r="505" spans="2:10" x14ac:dyDescent="0.3">
      <c r="B505" s="5" t="str">
        <v>ORD1718</v>
      </c>
      <c r="C505" s="5" t="str">
        <v>Tablet</v>
      </c>
      <c r="D505" s="5" t="str">
        <v>Electronics</v>
      </c>
      <c r="E505" s="5" t="str">
        <v>West</v>
      </c>
      <c r="F505" s="5" t="str">
        <v>Mar-2025</v>
      </c>
      <c r="G505" s="5">
        <v>78779</v>
      </c>
      <c r="H505" s="5">
        <v>3</v>
      </c>
      <c r="I505" s="5">
        <v>52618</v>
      </c>
      <c r="J505" s="10"/>
    </row>
    <row r="506" spans="2:10" x14ac:dyDescent="0.3">
      <c r="B506" s="5" t="str">
        <v>ORD1293</v>
      </c>
      <c r="C506" s="5" t="str">
        <v>Tablet</v>
      </c>
      <c r="D506" s="5" t="str">
        <v>Electronics</v>
      </c>
      <c r="E506" s="5" t="str">
        <v>West</v>
      </c>
      <c r="F506" s="5" t="str">
        <v>May-2025</v>
      </c>
      <c r="G506" s="5">
        <v>78775</v>
      </c>
      <c r="H506" s="5">
        <v>6</v>
      </c>
      <c r="I506" s="5">
        <v>52271</v>
      </c>
      <c r="J506" s="10"/>
    </row>
    <row r="507" spans="2:10" x14ac:dyDescent="0.3">
      <c r="B507" s="5" t="str">
        <v>ORD1419</v>
      </c>
      <c r="C507" s="5" t="str">
        <v>Mouse</v>
      </c>
      <c r="D507" s="5" t="str">
        <v>Accessories</v>
      </c>
      <c r="E507" s="5" t="str">
        <v>West</v>
      </c>
      <c r="F507" s="5" t="str">
        <v>Feb-2025</v>
      </c>
      <c r="G507" s="5">
        <v>78627</v>
      </c>
      <c r="H507" s="5">
        <v>7</v>
      </c>
      <c r="I507" s="5">
        <v>52726</v>
      </c>
      <c r="J507" s="10"/>
    </row>
    <row r="508" spans="2:10" x14ac:dyDescent="0.3">
      <c r="B508" s="5" t="str">
        <v>ORD1151</v>
      </c>
      <c r="C508" s="5" t="str">
        <v>Headphones</v>
      </c>
      <c r="D508" s="5" t="str">
        <v>Accessories</v>
      </c>
      <c r="E508" s="5" t="str">
        <v>South</v>
      </c>
      <c r="F508" s="5" t="str">
        <v>Jan-2025</v>
      </c>
      <c r="G508" s="5">
        <v>78575</v>
      </c>
      <c r="H508" s="5">
        <v>8</v>
      </c>
      <c r="I508" s="5">
        <v>49043</v>
      </c>
      <c r="J508" s="10"/>
    </row>
    <row r="509" spans="2:10" x14ac:dyDescent="0.3">
      <c r="B509" s="5" t="str">
        <v>ORD1977</v>
      </c>
      <c r="C509" s="5" t="str">
        <v>Headphones</v>
      </c>
      <c r="D509" s="5" t="str">
        <v>Accessories</v>
      </c>
      <c r="E509" s="5" t="str">
        <v>West</v>
      </c>
      <c r="F509" s="5" t="str">
        <v>Sep-2025</v>
      </c>
      <c r="G509" s="5">
        <v>77886</v>
      </c>
      <c r="H509" s="5">
        <v>11</v>
      </c>
      <c r="I509" s="5">
        <v>55152</v>
      </c>
      <c r="J509" s="10"/>
    </row>
    <row r="510" spans="2:10" x14ac:dyDescent="0.3">
      <c r="B510" s="5" t="str">
        <v>ORD1210</v>
      </c>
      <c r="C510" s="5" t="str">
        <v>Tablet</v>
      </c>
      <c r="D510" s="5" t="str">
        <v>Electronics</v>
      </c>
      <c r="E510" s="5" t="str">
        <v>East</v>
      </c>
      <c r="F510" s="5" t="str">
        <v>Aug-2025</v>
      </c>
      <c r="G510" s="5">
        <v>77879</v>
      </c>
      <c r="H510" s="5">
        <v>4</v>
      </c>
      <c r="I510" s="5">
        <v>57072</v>
      </c>
      <c r="J510" s="10"/>
    </row>
    <row r="511" spans="2:10" x14ac:dyDescent="0.3">
      <c r="B511" s="5" t="str">
        <v>ORD1390</v>
      </c>
      <c r="C511" s="5" t="str">
        <v>Tablet</v>
      </c>
      <c r="D511" s="5" t="str">
        <v>Electronics</v>
      </c>
      <c r="E511" s="5" t="str">
        <v>North</v>
      </c>
      <c r="F511" s="5" t="str">
        <v>Oct-2025</v>
      </c>
      <c r="G511" s="5">
        <v>77865</v>
      </c>
      <c r="H511" s="5">
        <v>5</v>
      </c>
      <c r="I511" s="5">
        <v>52050</v>
      </c>
      <c r="J511" s="10"/>
    </row>
    <row r="512" spans="2:10" x14ac:dyDescent="0.3">
      <c r="B512" s="5" t="str">
        <v>ORD1058</v>
      </c>
      <c r="C512" s="5" t="str">
        <v>Monitor</v>
      </c>
      <c r="D512" s="5" t="str">
        <v>Peripherals</v>
      </c>
      <c r="E512" s="5" t="str">
        <v>West</v>
      </c>
      <c r="F512" s="5" t="str">
        <v>Aug-2025</v>
      </c>
      <c r="G512" s="5">
        <v>77842</v>
      </c>
      <c r="H512" s="5">
        <v>7</v>
      </c>
      <c r="I512" s="5">
        <v>52983</v>
      </c>
      <c r="J512" s="10"/>
    </row>
    <row r="513" spans="2:10" x14ac:dyDescent="0.3">
      <c r="B513" s="5" t="str">
        <v>ORD1456</v>
      </c>
      <c r="C513" s="5" t="str">
        <v>Monitor</v>
      </c>
      <c r="D513" s="5" t="str">
        <v>Peripherals</v>
      </c>
      <c r="E513" s="5" t="str">
        <v>East</v>
      </c>
      <c r="F513" s="5" t="str">
        <v>Jul-2025</v>
      </c>
      <c r="G513" s="5">
        <v>77704</v>
      </c>
      <c r="H513" s="5">
        <v>10</v>
      </c>
      <c r="I513" s="5">
        <v>56522</v>
      </c>
      <c r="J513" s="10"/>
    </row>
    <row r="514" spans="2:10" x14ac:dyDescent="0.3">
      <c r="B514" s="5" t="str">
        <v>ORD1555</v>
      </c>
      <c r="C514" s="5" t="str">
        <v>Printer</v>
      </c>
      <c r="D514" s="5" t="str">
        <v>Peripherals</v>
      </c>
      <c r="E514" s="5" t="str">
        <v>South</v>
      </c>
      <c r="F514" s="5" t="str">
        <v>Nov-2025</v>
      </c>
      <c r="G514" s="5">
        <v>77597</v>
      </c>
      <c r="H514" s="5">
        <v>4</v>
      </c>
      <c r="I514" s="5">
        <v>53394</v>
      </c>
      <c r="J514" s="10"/>
    </row>
    <row r="515" spans="2:10" x14ac:dyDescent="0.3">
      <c r="B515" s="5" t="str">
        <v>ORD1794</v>
      </c>
      <c r="C515" s="5" t="str">
        <v>Monitor</v>
      </c>
      <c r="D515" s="5" t="str">
        <v>Peripherals</v>
      </c>
      <c r="E515" s="5" t="str">
        <v>East</v>
      </c>
      <c r="F515" s="5" t="str">
        <v>Jul-2025</v>
      </c>
      <c r="G515" s="5">
        <v>77562</v>
      </c>
      <c r="H515" s="5">
        <v>1</v>
      </c>
      <c r="I515" s="5">
        <v>52295</v>
      </c>
      <c r="J515" s="10"/>
    </row>
    <row r="516" spans="2:10" x14ac:dyDescent="0.3">
      <c r="B516" s="5" t="str">
        <v>ORD1422</v>
      </c>
      <c r="C516" s="5" t="str">
        <v>Monitor</v>
      </c>
      <c r="D516" s="5" t="str">
        <v>Peripherals</v>
      </c>
      <c r="E516" s="5" t="str">
        <v>South</v>
      </c>
      <c r="F516" s="5" t="str">
        <v>Jun-2025</v>
      </c>
      <c r="G516" s="5">
        <v>77512</v>
      </c>
      <c r="H516" s="5">
        <v>12</v>
      </c>
      <c r="I516" s="5">
        <v>50672</v>
      </c>
      <c r="J516" s="10"/>
    </row>
    <row r="517" spans="2:10" x14ac:dyDescent="0.3">
      <c r="B517" s="5" t="str">
        <v>ORD1568</v>
      </c>
      <c r="C517" s="5" t="str">
        <v>Headphones</v>
      </c>
      <c r="D517" s="5" t="str">
        <v>Accessories</v>
      </c>
      <c r="E517" s="5" t="str">
        <v>West</v>
      </c>
      <c r="F517" s="5" t="str">
        <v>Dec-2025</v>
      </c>
      <c r="G517" s="5">
        <v>77368</v>
      </c>
      <c r="H517" s="5">
        <v>10</v>
      </c>
      <c r="I517" s="5">
        <v>46594</v>
      </c>
      <c r="J517" s="10"/>
    </row>
    <row r="518" spans="2:10" x14ac:dyDescent="0.3">
      <c r="B518" s="5" t="str">
        <v>ORD1511</v>
      </c>
      <c r="C518" s="5" t="str">
        <v>Phone</v>
      </c>
      <c r="D518" s="5" t="str">
        <v>Electronics</v>
      </c>
      <c r="E518" s="5" t="str">
        <v>North</v>
      </c>
      <c r="F518" s="5" t="str">
        <v>Feb-2025</v>
      </c>
      <c r="G518" s="5">
        <v>77320</v>
      </c>
      <c r="H518" s="5">
        <v>11</v>
      </c>
      <c r="I518" s="5">
        <v>54411</v>
      </c>
      <c r="J518" s="10"/>
    </row>
    <row r="519" spans="2:10" x14ac:dyDescent="0.3">
      <c r="B519" s="5" t="str">
        <v>ORD1547</v>
      </c>
      <c r="C519" s="5" t="str">
        <v>Tablet</v>
      </c>
      <c r="D519" s="5" t="str">
        <v>Electronics</v>
      </c>
      <c r="E519" s="5" t="str">
        <v>East</v>
      </c>
      <c r="F519" s="5" t="str">
        <v>Oct-2025</v>
      </c>
      <c r="G519" s="5">
        <v>77263</v>
      </c>
      <c r="H519" s="5">
        <v>3</v>
      </c>
      <c r="I519" s="5">
        <v>50590</v>
      </c>
      <c r="J519" s="10"/>
    </row>
    <row r="520" spans="2:10" x14ac:dyDescent="0.3">
      <c r="B520" s="5" t="str">
        <v>ORD1623</v>
      </c>
      <c r="C520" s="5" t="str">
        <v>Laptop</v>
      </c>
      <c r="D520" s="5" t="str">
        <v>Electronics</v>
      </c>
      <c r="E520" s="5" t="str">
        <v>North</v>
      </c>
      <c r="F520" s="5" t="str">
        <v>Nov-2025</v>
      </c>
      <c r="G520" s="5">
        <v>77167</v>
      </c>
      <c r="H520" s="5">
        <v>14</v>
      </c>
      <c r="I520" s="5">
        <v>52978</v>
      </c>
      <c r="J520" s="10"/>
    </row>
    <row r="521" spans="2:10" x14ac:dyDescent="0.3">
      <c r="B521" s="5" t="str">
        <v>ORD1271</v>
      </c>
      <c r="C521" s="5" t="str">
        <v>Printer</v>
      </c>
      <c r="D521" s="5" t="str">
        <v>Peripherals</v>
      </c>
      <c r="E521" s="5" t="str">
        <v>South</v>
      </c>
      <c r="F521" s="5" t="str">
        <v>May-2025</v>
      </c>
      <c r="G521" s="5">
        <v>77096</v>
      </c>
      <c r="H521" s="5">
        <v>8</v>
      </c>
      <c r="I521" s="5">
        <v>51089</v>
      </c>
      <c r="J521" s="10"/>
    </row>
    <row r="522" spans="2:10" x14ac:dyDescent="0.3">
      <c r="B522" s="5" t="str">
        <v>ORD1873</v>
      </c>
      <c r="C522" s="5" t="str">
        <v>Monitor</v>
      </c>
      <c r="D522" s="5" t="str">
        <v>Peripherals</v>
      </c>
      <c r="E522" s="5" t="str">
        <v>West</v>
      </c>
      <c r="F522" s="5" t="str">
        <v>Jul-2025</v>
      </c>
      <c r="G522" s="5">
        <v>76736</v>
      </c>
      <c r="H522" s="5">
        <v>12</v>
      </c>
      <c r="I522" s="5">
        <v>47400</v>
      </c>
      <c r="J522" s="10"/>
    </row>
    <row r="523" spans="2:10" x14ac:dyDescent="0.3">
      <c r="B523" s="5" t="str">
        <v>ORD1945</v>
      </c>
      <c r="C523" s="5" t="str">
        <v>Mouse</v>
      </c>
      <c r="D523" s="5" t="str">
        <v>Accessories</v>
      </c>
      <c r="E523" s="5" t="str">
        <v>West</v>
      </c>
      <c r="F523" s="5" t="str">
        <v>Nov-2025</v>
      </c>
      <c r="G523" s="5">
        <v>76700</v>
      </c>
      <c r="H523" s="5">
        <v>3</v>
      </c>
      <c r="I523" s="5">
        <v>48391</v>
      </c>
      <c r="J523" s="10"/>
    </row>
    <row r="524" spans="2:10" x14ac:dyDescent="0.3">
      <c r="B524" s="5" t="str">
        <v>ORD1446</v>
      </c>
      <c r="C524" s="5" t="str">
        <v>Keyboard</v>
      </c>
      <c r="D524" s="5" t="str">
        <v>Peripherals</v>
      </c>
      <c r="E524" s="5" t="str">
        <v>North</v>
      </c>
      <c r="F524" s="5" t="str">
        <v>Dec-2025</v>
      </c>
      <c r="G524" s="5">
        <v>76425</v>
      </c>
      <c r="H524" s="5">
        <v>4</v>
      </c>
      <c r="I524" s="5">
        <v>46838</v>
      </c>
      <c r="J524" s="10"/>
    </row>
    <row r="525" spans="2:10" x14ac:dyDescent="0.3">
      <c r="B525" s="5" t="str">
        <v>ORD1844</v>
      </c>
      <c r="C525" s="5" t="str">
        <v>Tablet</v>
      </c>
      <c r="D525" s="5" t="str">
        <v>Electronics</v>
      </c>
      <c r="E525" s="5" t="str">
        <v>North</v>
      </c>
      <c r="F525" s="5" t="str">
        <v>Aug-2025</v>
      </c>
      <c r="G525" s="5">
        <v>76349</v>
      </c>
      <c r="H525" s="5">
        <v>13</v>
      </c>
      <c r="I525" s="5">
        <v>48449</v>
      </c>
      <c r="J525" s="10"/>
    </row>
    <row r="526" spans="2:10" x14ac:dyDescent="0.3">
      <c r="B526" s="5" t="str">
        <v>ORD1327</v>
      </c>
      <c r="C526" s="5" t="str">
        <v>Monitor</v>
      </c>
      <c r="D526" s="5" t="str">
        <v>Peripherals</v>
      </c>
      <c r="E526" s="5" t="str">
        <v>South</v>
      </c>
      <c r="F526" s="5" t="str">
        <v>Apr-2025</v>
      </c>
      <c r="G526" s="5">
        <v>76068</v>
      </c>
      <c r="H526" s="5">
        <v>11</v>
      </c>
      <c r="I526" s="5">
        <v>49782</v>
      </c>
      <c r="J526" s="10"/>
    </row>
    <row r="527" spans="2:10" x14ac:dyDescent="0.3">
      <c r="B527" s="5" t="str">
        <v>ORD1184</v>
      </c>
      <c r="C527" s="5" t="str">
        <v>Headphones</v>
      </c>
      <c r="D527" s="5" t="str">
        <v>Accessories</v>
      </c>
      <c r="E527" s="5" t="str">
        <v>West</v>
      </c>
      <c r="F527" s="5" t="str">
        <v>Dec-2025</v>
      </c>
      <c r="G527" s="5">
        <v>75917</v>
      </c>
      <c r="H527" s="5">
        <v>15</v>
      </c>
      <c r="I527" s="5">
        <v>48772</v>
      </c>
      <c r="J527" s="10"/>
    </row>
    <row r="528" spans="2:10" x14ac:dyDescent="0.3">
      <c r="B528" s="5" t="str">
        <v>ORD1820</v>
      </c>
      <c r="C528" s="5" t="str">
        <v>Laptop</v>
      </c>
      <c r="D528" s="5" t="str">
        <v>Electronics</v>
      </c>
      <c r="E528" s="5" t="str">
        <v>East</v>
      </c>
      <c r="F528" s="5" t="str">
        <v>Dec-2025</v>
      </c>
      <c r="G528" s="5">
        <v>75671</v>
      </c>
      <c r="H528" s="5">
        <v>7</v>
      </c>
      <c r="I528" s="5">
        <v>46483</v>
      </c>
      <c r="J528" s="10"/>
    </row>
    <row r="529" spans="2:10" x14ac:dyDescent="0.3">
      <c r="B529" s="5" t="str">
        <v>ORD1076</v>
      </c>
      <c r="C529" s="5" t="str">
        <v>Tablet</v>
      </c>
      <c r="D529" s="5" t="str">
        <v>Electronics</v>
      </c>
      <c r="E529" s="5" t="str">
        <v>North</v>
      </c>
      <c r="F529" s="5" t="str">
        <v>Mar-2025</v>
      </c>
      <c r="G529" s="5">
        <v>75600</v>
      </c>
      <c r="H529" s="5">
        <v>13</v>
      </c>
      <c r="I529" s="5">
        <v>48721</v>
      </c>
      <c r="J529" s="10"/>
    </row>
    <row r="530" spans="2:10" x14ac:dyDescent="0.3">
      <c r="B530" s="5" t="str">
        <v>ORD1627</v>
      </c>
      <c r="C530" s="5" t="str">
        <v>Headphones</v>
      </c>
      <c r="D530" s="5" t="str">
        <v>Accessories</v>
      </c>
      <c r="E530" s="5" t="str">
        <v>West</v>
      </c>
      <c r="F530" s="5" t="str">
        <v>Mar-2025</v>
      </c>
      <c r="G530" s="5">
        <v>75394</v>
      </c>
      <c r="H530" s="5">
        <v>10</v>
      </c>
      <c r="I530" s="5">
        <v>55233</v>
      </c>
      <c r="J530" s="10"/>
    </row>
    <row r="531" spans="2:10" x14ac:dyDescent="0.3">
      <c r="B531" s="5" t="str">
        <v>ORD1345</v>
      </c>
      <c r="C531" s="5" t="str">
        <v>Headphones</v>
      </c>
      <c r="D531" s="5" t="str">
        <v>Accessories</v>
      </c>
      <c r="E531" s="5" t="str">
        <v>North</v>
      </c>
      <c r="F531" s="5" t="str">
        <v>Aug-2025</v>
      </c>
      <c r="G531" s="5">
        <v>75382</v>
      </c>
      <c r="H531" s="5">
        <v>11</v>
      </c>
      <c r="I531" s="5">
        <v>51484</v>
      </c>
      <c r="J531" s="10"/>
    </row>
    <row r="532" spans="2:10" x14ac:dyDescent="0.3">
      <c r="B532" s="5" t="str">
        <v>ORD1308</v>
      </c>
      <c r="C532" s="5" t="str">
        <v>Laptop</v>
      </c>
      <c r="D532" s="5" t="str">
        <v>Electronics</v>
      </c>
      <c r="E532" s="5" t="str">
        <v>East</v>
      </c>
      <c r="F532" s="5" t="str">
        <v>Dec-2025</v>
      </c>
      <c r="G532" s="5">
        <v>75314</v>
      </c>
      <c r="H532" s="5">
        <v>12</v>
      </c>
      <c r="I532" s="5">
        <v>54823</v>
      </c>
      <c r="J532" s="10"/>
    </row>
    <row r="533" spans="2:10" x14ac:dyDescent="0.3">
      <c r="B533" s="5" t="str">
        <v>ORD1296</v>
      </c>
      <c r="C533" s="5" t="str">
        <v>Tablet</v>
      </c>
      <c r="D533" s="5" t="str">
        <v>Electronics</v>
      </c>
      <c r="E533" s="5" t="str">
        <v>South</v>
      </c>
      <c r="F533" s="5" t="str">
        <v>Jun-2025</v>
      </c>
      <c r="G533" s="5">
        <v>75185</v>
      </c>
      <c r="H533" s="5">
        <v>2</v>
      </c>
      <c r="I533" s="5">
        <v>50633</v>
      </c>
      <c r="J533" s="10"/>
    </row>
    <row r="534" spans="2:10" x14ac:dyDescent="0.3">
      <c r="B534" s="5" t="str">
        <v>ORD1492</v>
      </c>
      <c r="C534" s="5" t="str">
        <v>Laptop</v>
      </c>
      <c r="D534" s="5" t="str">
        <v>Electronics</v>
      </c>
      <c r="E534" s="5" t="str">
        <v>West</v>
      </c>
      <c r="F534" s="5" t="str">
        <v>Jul-2025</v>
      </c>
      <c r="G534" s="5">
        <v>75145</v>
      </c>
      <c r="H534" s="5">
        <v>14</v>
      </c>
      <c r="I534" s="5">
        <v>51435</v>
      </c>
      <c r="J534" s="10"/>
    </row>
    <row r="535" spans="2:10" x14ac:dyDescent="0.3">
      <c r="B535" s="5" t="str">
        <v>ORD1576</v>
      </c>
      <c r="C535" s="5" t="str">
        <v>Laptop</v>
      </c>
      <c r="D535" s="5" t="str">
        <v>Electronics</v>
      </c>
      <c r="E535" s="5" t="str">
        <v>East</v>
      </c>
      <c r="F535" s="5" t="str">
        <v>Apr-2025</v>
      </c>
      <c r="G535" s="5">
        <v>75080</v>
      </c>
      <c r="H535" s="5">
        <v>10</v>
      </c>
      <c r="I535" s="5">
        <v>46746</v>
      </c>
      <c r="J535" s="10"/>
    </row>
    <row r="536" spans="2:10" x14ac:dyDescent="0.3">
      <c r="B536" s="5" t="str">
        <v>ORD1986</v>
      </c>
      <c r="C536" s="5" t="str">
        <v>Mouse</v>
      </c>
      <c r="D536" s="5" t="str">
        <v>Accessories</v>
      </c>
      <c r="E536" s="5" t="str">
        <v>North</v>
      </c>
      <c r="F536" s="5" t="str">
        <v>Jan-2025</v>
      </c>
      <c r="G536" s="5">
        <v>74961</v>
      </c>
      <c r="H536" s="5">
        <v>14</v>
      </c>
      <c r="I536" s="5">
        <v>49459</v>
      </c>
      <c r="J536" s="10"/>
    </row>
    <row r="537" spans="2:10" x14ac:dyDescent="0.3">
      <c r="B537" s="5" t="str">
        <v>ORD1804</v>
      </c>
      <c r="C537" s="5" t="str">
        <v>Laptop</v>
      </c>
      <c r="D537" s="5" t="str">
        <v>Electronics</v>
      </c>
      <c r="E537" s="5" t="str">
        <v>East</v>
      </c>
      <c r="F537" s="5" t="str">
        <v>May-2025</v>
      </c>
      <c r="G537" s="5">
        <v>74802</v>
      </c>
      <c r="H537" s="5">
        <v>5</v>
      </c>
      <c r="I537" s="5">
        <v>52455</v>
      </c>
      <c r="J537" s="10"/>
    </row>
    <row r="538" spans="2:10" x14ac:dyDescent="0.3">
      <c r="B538" s="5" t="str">
        <v>ORD1521</v>
      </c>
      <c r="C538" s="5" t="str">
        <v>Keyboard</v>
      </c>
      <c r="D538" s="5" t="str">
        <v>Peripherals</v>
      </c>
      <c r="E538" s="5" t="str">
        <v>East</v>
      </c>
      <c r="F538" s="5" t="str">
        <v>Jun-2025</v>
      </c>
      <c r="G538" s="5">
        <v>74681</v>
      </c>
      <c r="H538" s="5">
        <v>3</v>
      </c>
      <c r="I538" s="5">
        <v>46881</v>
      </c>
      <c r="J538" s="10"/>
    </row>
    <row r="539" spans="2:10" x14ac:dyDescent="0.3">
      <c r="B539" s="5" t="str">
        <v>ORD1880</v>
      </c>
      <c r="C539" s="5" t="str">
        <v>Phone</v>
      </c>
      <c r="D539" s="5" t="str">
        <v>Electronics</v>
      </c>
      <c r="E539" s="5" t="str">
        <v>North</v>
      </c>
      <c r="F539" s="5" t="str">
        <v>Apr-2025</v>
      </c>
      <c r="G539" s="5">
        <v>74647</v>
      </c>
      <c r="H539" s="5">
        <v>1</v>
      </c>
      <c r="I539" s="5">
        <v>47076</v>
      </c>
      <c r="J539" s="10"/>
    </row>
    <row r="540" spans="2:10" x14ac:dyDescent="0.3">
      <c r="B540" s="5" t="str">
        <v>ORD1324</v>
      </c>
      <c r="C540" s="5" t="str">
        <v>Phone</v>
      </c>
      <c r="D540" s="5" t="str">
        <v>Electronics</v>
      </c>
      <c r="E540" s="5" t="str">
        <v>North</v>
      </c>
      <c r="F540" s="5" t="str">
        <v>Jun-2025</v>
      </c>
      <c r="G540" s="5">
        <v>74435</v>
      </c>
      <c r="H540" s="5">
        <v>7</v>
      </c>
      <c r="I540" s="5">
        <v>45392</v>
      </c>
      <c r="J540" s="10"/>
    </row>
    <row r="541" spans="2:10" x14ac:dyDescent="0.3">
      <c r="B541" s="5" t="str">
        <v>ORD1378</v>
      </c>
      <c r="C541" s="5" t="str">
        <v>Phone</v>
      </c>
      <c r="D541" s="5" t="str">
        <v>Electronics</v>
      </c>
      <c r="E541" s="5" t="str">
        <v>West</v>
      </c>
      <c r="F541" s="5" t="str">
        <v>Apr-2025</v>
      </c>
      <c r="G541" s="5">
        <v>73712</v>
      </c>
      <c r="H541" s="5">
        <v>6</v>
      </c>
      <c r="I541" s="5">
        <v>52114</v>
      </c>
      <c r="J541" s="10"/>
    </row>
    <row r="542" spans="2:10" x14ac:dyDescent="0.3">
      <c r="B542" s="5" t="str">
        <v>ORD1523</v>
      </c>
      <c r="C542" s="5" t="str">
        <v>Monitor</v>
      </c>
      <c r="D542" s="5" t="str">
        <v>Peripherals</v>
      </c>
      <c r="E542" s="5" t="str">
        <v>South</v>
      </c>
      <c r="F542" s="5" t="str">
        <v>Aug-2025</v>
      </c>
      <c r="G542" s="5">
        <v>73640</v>
      </c>
      <c r="H542" s="5">
        <v>4</v>
      </c>
      <c r="I542" s="5">
        <v>53838</v>
      </c>
      <c r="J542" s="10"/>
    </row>
    <row r="543" spans="2:10" x14ac:dyDescent="0.3">
      <c r="B543" s="5" t="str">
        <v>ORD1036</v>
      </c>
      <c r="C543" s="5" t="str">
        <v>Tablet</v>
      </c>
      <c r="D543" s="5" t="str">
        <v>Electronics</v>
      </c>
      <c r="E543" s="5" t="str">
        <v>North</v>
      </c>
      <c r="F543" s="5" t="str">
        <v>Nov-2025</v>
      </c>
      <c r="G543" s="5">
        <v>73595</v>
      </c>
      <c r="H543" s="5">
        <v>14</v>
      </c>
      <c r="I543" s="5">
        <v>50770</v>
      </c>
      <c r="J543" s="10"/>
    </row>
    <row r="544" spans="2:10" x14ac:dyDescent="0.3">
      <c r="B544" s="5" t="str">
        <v>ORD1049</v>
      </c>
      <c r="C544" s="5" t="str">
        <v>Mouse</v>
      </c>
      <c r="D544" s="5" t="str">
        <v>Accessories</v>
      </c>
      <c r="E544" s="5" t="str">
        <v>West</v>
      </c>
      <c r="F544" s="5" t="str">
        <v>Oct-2025</v>
      </c>
      <c r="G544" s="5">
        <v>73452</v>
      </c>
      <c r="H544" s="5">
        <v>1</v>
      </c>
      <c r="I544" s="5">
        <v>54728</v>
      </c>
      <c r="J544" s="10"/>
    </row>
    <row r="545" spans="2:10" x14ac:dyDescent="0.3">
      <c r="B545" s="5" t="str">
        <v>ORD1395</v>
      </c>
      <c r="C545" s="5" t="str">
        <v>Tablet</v>
      </c>
      <c r="D545" s="5" t="str">
        <v>Electronics</v>
      </c>
      <c r="E545" s="5" t="str">
        <v>South</v>
      </c>
      <c r="F545" s="5" t="str">
        <v>Aug-2025</v>
      </c>
      <c r="G545" s="5">
        <v>73245</v>
      </c>
      <c r="H545" s="5">
        <v>15</v>
      </c>
      <c r="I545" s="5">
        <v>49094</v>
      </c>
      <c r="J545" s="10"/>
    </row>
    <row r="546" spans="2:10" x14ac:dyDescent="0.3">
      <c r="B546" s="5" t="str">
        <v>ORD1851</v>
      </c>
      <c r="C546" s="5" t="str">
        <v>Headphones</v>
      </c>
      <c r="D546" s="5" t="str">
        <v>Accessories</v>
      </c>
      <c r="E546" s="5" t="str">
        <v>North</v>
      </c>
      <c r="F546" s="5" t="str">
        <v>Feb-2025</v>
      </c>
      <c r="G546" s="5">
        <v>72807</v>
      </c>
      <c r="H546" s="5">
        <v>5</v>
      </c>
      <c r="I546" s="5">
        <v>45664</v>
      </c>
      <c r="J546" s="10"/>
    </row>
    <row r="547" spans="2:10" x14ac:dyDescent="0.3">
      <c r="B547" s="5" t="str">
        <v>ORD1077</v>
      </c>
      <c r="C547" s="5" t="str">
        <v>Phone</v>
      </c>
      <c r="D547" s="5" t="str">
        <v>Electronics</v>
      </c>
      <c r="E547" s="5" t="str">
        <v>East</v>
      </c>
      <c r="F547" s="5" t="str">
        <v>Sep-2025</v>
      </c>
      <c r="G547" s="5">
        <v>72519</v>
      </c>
      <c r="H547" s="5">
        <v>1</v>
      </c>
      <c r="I547" s="5">
        <v>45235</v>
      </c>
      <c r="J547" s="10"/>
    </row>
    <row r="548" spans="2:10" x14ac:dyDescent="0.3">
      <c r="B548" s="5" t="str">
        <v>ORD1683</v>
      </c>
      <c r="C548" s="5" t="str">
        <v>Printer</v>
      </c>
      <c r="D548" s="5" t="str">
        <v>Peripherals</v>
      </c>
      <c r="E548" s="5" t="str">
        <v>East</v>
      </c>
      <c r="F548" s="5" t="str">
        <v>Apr-2025</v>
      </c>
      <c r="G548" s="5">
        <v>72335</v>
      </c>
      <c r="H548" s="5">
        <v>14</v>
      </c>
      <c r="I548" s="5">
        <v>51859</v>
      </c>
      <c r="J548" s="10"/>
    </row>
    <row r="549" spans="2:10" x14ac:dyDescent="0.3">
      <c r="B549" s="5" t="str">
        <v>ORD1012</v>
      </c>
      <c r="C549" s="5" t="str">
        <v>Monitor</v>
      </c>
      <c r="D549" s="5" t="str">
        <v>Peripherals</v>
      </c>
      <c r="E549" s="5" t="str">
        <v>West</v>
      </c>
      <c r="F549" s="5" t="str">
        <v>Feb-2025</v>
      </c>
      <c r="G549" s="5">
        <v>72119</v>
      </c>
      <c r="H549" s="5">
        <v>9</v>
      </c>
      <c r="I549" s="5">
        <v>53062</v>
      </c>
      <c r="J549" s="10"/>
    </row>
    <row r="550" spans="2:10" x14ac:dyDescent="0.3">
      <c r="B550" s="5" t="str">
        <v>ORD1054</v>
      </c>
      <c r="C550" s="5" t="str">
        <v>Monitor</v>
      </c>
      <c r="D550" s="5" t="str">
        <v>Peripherals</v>
      </c>
      <c r="E550" s="5" t="str">
        <v>North</v>
      </c>
      <c r="F550" s="5" t="str">
        <v>Nov-2025</v>
      </c>
      <c r="G550" s="5">
        <v>72091</v>
      </c>
      <c r="H550" s="5">
        <v>13</v>
      </c>
      <c r="I550" s="5">
        <v>51787</v>
      </c>
      <c r="J550" s="10"/>
    </row>
    <row r="551" spans="2:10" x14ac:dyDescent="0.3">
      <c r="B551" s="5" t="str">
        <v>ORD1300</v>
      </c>
      <c r="C551" s="5" t="str">
        <v>Phone</v>
      </c>
      <c r="D551" s="5" t="str">
        <v>Electronics</v>
      </c>
      <c r="E551" s="5" t="str">
        <v>East</v>
      </c>
      <c r="F551" s="5" t="str">
        <v>Dec-2025</v>
      </c>
      <c r="G551" s="5">
        <v>71141</v>
      </c>
      <c r="H551" s="5">
        <v>15</v>
      </c>
      <c r="I551" s="5">
        <v>47076</v>
      </c>
      <c r="J551" s="10"/>
    </row>
    <row r="552" spans="2:10" x14ac:dyDescent="0.3">
      <c r="B552" s="5" t="str">
        <v>ORD1185</v>
      </c>
      <c r="C552" s="5" t="str">
        <v>Printer</v>
      </c>
      <c r="D552" s="5" t="str">
        <v>Peripherals</v>
      </c>
      <c r="E552" s="5" t="str">
        <v>West</v>
      </c>
      <c r="F552" s="5" t="str">
        <v>Jul-2025</v>
      </c>
      <c r="G552" s="5">
        <v>70955</v>
      </c>
      <c r="H552" s="5">
        <v>10</v>
      </c>
      <c r="I552" s="5">
        <v>46867</v>
      </c>
      <c r="J552" s="10"/>
    </row>
    <row r="553" spans="2:10" x14ac:dyDescent="0.3">
      <c r="B553" s="5" t="str">
        <v>ORD1846</v>
      </c>
      <c r="C553" s="5" t="str">
        <v>Headphones</v>
      </c>
      <c r="D553" s="5" t="str">
        <v>Accessories</v>
      </c>
      <c r="E553" s="5" t="str">
        <v>East</v>
      </c>
      <c r="F553" s="5" t="str">
        <v>Sep-2025</v>
      </c>
      <c r="G553" s="5">
        <v>70601</v>
      </c>
      <c r="H553" s="5">
        <v>13</v>
      </c>
      <c r="I553" s="5">
        <v>45748</v>
      </c>
      <c r="J553" s="10"/>
    </row>
    <row r="554" spans="2:10" x14ac:dyDescent="0.3">
      <c r="B554" s="5" t="str">
        <v>ORD1832</v>
      </c>
      <c r="C554" s="5" t="str">
        <v>Printer</v>
      </c>
      <c r="D554" s="5" t="str">
        <v>Peripherals</v>
      </c>
      <c r="E554" s="5" t="str">
        <v>South</v>
      </c>
      <c r="F554" s="5" t="str">
        <v>Feb-2025</v>
      </c>
      <c r="G554" s="5">
        <v>70555</v>
      </c>
      <c r="H554" s="5">
        <v>1</v>
      </c>
      <c r="I554" s="5">
        <v>44871</v>
      </c>
      <c r="J554" s="10"/>
    </row>
    <row r="555" spans="2:10" x14ac:dyDescent="0.3">
      <c r="B555" s="5" t="str">
        <v>ORD1067</v>
      </c>
      <c r="C555" s="5" t="str">
        <v>Laptop</v>
      </c>
      <c r="D555" s="5" t="str">
        <v>Electronics</v>
      </c>
      <c r="E555" s="5" t="str">
        <v>North</v>
      </c>
      <c r="F555" s="5" t="str">
        <v>Jan-2025</v>
      </c>
      <c r="G555" s="5">
        <v>70496</v>
      </c>
      <c r="H555" s="5">
        <v>13</v>
      </c>
      <c r="I555" s="5">
        <v>52515</v>
      </c>
      <c r="J555" s="10"/>
    </row>
    <row r="556" spans="2:10" x14ac:dyDescent="0.3">
      <c r="B556" s="5" t="str">
        <v>ORD1311</v>
      </c>
      <c r="C556" s="5" t="str">
        <v>Laptop</v>
      </c>
      <c r="D556" s="5" t="str">
        <v>Electronics</v>
      </c>
      <c r="E556" s="5" t="str">
        <v>West</v>
      </c>
      <c r="F556" s="5" t="str">
        <v>Mar-2025</v>
      </c>
      <c r="G556" s="5">
        <v>69874</v>
      </c>
      <c r="H556" s="5">
        <v>3</v>
      </c>
      <c r="I556" s="5">
        <v>44731</v>
      </c>
      <c r="J556" s="10"/>
    </row>
    <row r="557" spans="2:10" x14ac:dyDescent="0.3">
      <c r="B557" s="5" t="str">
        <v>ORD1374</v>
      </c>
      <c r="C557" s="5" t="str">
        <v>Headphones</v>
      </c>
      <c r="D557" s="5" t="str">
        <v>Accessories</v>
      </c>
      <c r="E557" s="5" t="str">
        <v>South</v>
      </c>
      <c r="F557" s="5" t="str">
        <v>Mar-2025</v>
      </c>
      <c r="G557" s="5">
        <v>69392</v>
      </c>
      <c r="H557" s="5">
        <v>10</v>
      </c>
      <c r="I557" s="5">
        <v>43699</v>
      </c>
      <c r="J557" s="10"/>
    </row>
    <row r="558" spans="2:10" x14ac:dyDescent="0.3">
      <c r="B558" s="5" t="str">
        <v>ORD1281</v>
      </c>
      <c r="C558" s="5" t="str">
        <v>Keyboard</v>
      </c>
      <c r="D558" s="5" t="str">
        <v>Peripherals</v>
      </c>
      <c r="E558" s="5" t="str">
        <v>West</v>
      </c>
      <c r="F558" s="5" t="str">
        <v>Aug-2025</v>
      </c>
      <c r="G558" s="5">
        <v>69329</v>
      </c>
      <c r="H558" s="5">
        <v>12</v>
      </c>
      <c r="I558" s="5">
        <v>46103</v>
      </c>
      <c r="J558" s="10"/>
    </row>
    <row r="559" spans="2:10" x14ac:dyDescent="0.3">
      <c r="B559" s="5" t="str">
        <v>ORD1331</v>
      </c>
      <c r="C559" s="5" t="str">
        <v>Printer</v>
      </c>
      <c r="D559" s="5" t="str">
        <v>Peripherals</v>
      </c>
      <c r="E559" s="5" t="str">
        <v>North</v>
      </c>
      <c r="F559" s="5" t="str">
        <v>Jan-2025</v>
      </c>
      <c r="G559" s="5">
        <v>69317</v>
      </c>
      <c r="H559" s="5">
        <v>3</v>
      </c>
      <c r="I559" s="5">
        <v>41802</v>
      </c>
      <c r="J559" s="10"/>
    </row>
    <row r="560" spans="2:10" x14ac:dyDescent="0.3">
      <c r="B560" s="5" t="str">
        <v>ORD1944</v>
      </c>
      <c r="C560" s="5" t="str">
        <v>Laptop</v>
      </c>
      <c r="D560" s="5" t="str">
        <v>Electronics</v>
      </c>
      <c r="E560" s="5" t="str">
        <v>South</v>
      </c>
      <c r="F560" s="5" t="str">
        <v>Oct-2025</v>
      </c>
      <c r="G560" s="5">
        <v>69313</v>
      </c>
      <c r="H560" s="5">
        <v>11</v>
      </c>
      <c r="I560" s="5">
        <v>48867</v>
      </c>
      <c r="J560" s="10"/>
    </row>
    <row r="561" spans="2:10" x14ac:dyDescent="0.3">
      <c r="B561" s="5" t="str">
        <v>ORD1948</v>
      </c>
      <c r="C561" s="5" t="str">
        <v>Phone</v>
      </c>
      <c r="D561" s="5" t="str">
        <v>Electronics</v>
      </c>
      <c r="E561" s="5" t="str">
        <v>South</v>
      </c>
      <c r="F561" s="5" t="str">
        <v>Aug-2025</v>
      </c>
      <c r="G561" s="5">
        <v>68780</v>
      </c>
      <c r="H561" s="5">
        <v>13</v>
      </c>
      <c r="I561" s="5">
        <v>46622</v>
      </c>
      <c r="J561" s="10"/>
    </row>
    <row r="562" spans="2:10" x14ac:dyDescent="0.3">
      <c r="B562" s="5" t="str">
        <v>ORD1682</v>
      </c>
      <c r="C562" s="5" t="str">
        <v>Keyboard</v>
      </c>
      <c r="D562" s="5" t="str">
        <v>Peripherals</v>
      </c>
      <c r="E562" s="5" t="str">
        <v>South</v>
      </c>
      <c r="F562" s="5" t="str">
        <v>Jan-2025</v>
      </c>
      <c r="G562" s="5">
        <v>68652</v>
      </c>
      <c r="H562" s="5">
        <v>15</v>
      </c>
      <c r="I562" s="5">
        <v>41225</v>
      </c>
      <c r="J562" s="10"/>
    </row>
    <row r="563" spans="2:10" x14ac:dyDescent="0.3">
      <c r="B563" s="5" t="str">
        <v>ORD1506</v>
      </c>
      <c r="C563" s="5" t="str">
        <v>Printer</v>
      </c>
      <c r="D563" s="5" t="str">
        <v>Peripherals</v>
      </c>
      <c r="E563" s="5" t="str">
        <v>East</v>
      </c>
      <c r="F563" s="5" t="str">
        <v>Jan-2025</v>
      </c>
      <c r="G563" s="5">
        <v>68525</v>
      </c>
      <c r="H563" s="5">
        <v>15</v>
      </c>
      <c r="I563" s="5">
        <v>45118</v>
      </c>
      <c r="J563" s="10"/>
    </row>
    <row r="564" spans="2:10" x14ac:dyDescent="0.3">
      <c r="B564" s="5" t="str">
        <v>ORD1882</v>
      </c>
      <c r="C564" s="5" t="str">
        <v>Printer</v>
      </c>
      <c r="D564" s="5" t="str">
        <v>Peripherals</v>
      </c>
      <c r="E564" s="5" t="str">
        <v>East</v>
      </c>
      <c r="F564" s="5" t="str">
        <v>Nov-2025</v>
      </c>
      <c r="G564" s="5">
        <v>68410</v>
      </c>
      <c r="H564" s="5">
        <v>2</v>
      </c>
      <c r="I564" s="5">
        <v>51276</v>
      </c>
      <c r="J564" s="10"/>
    </row>
    <row r="565" spans="2:10" x14ac:dyDescent="0.3">
      <c r="B565" s="5" t="str">
        <v>ORD1930</v>
      </c>
      <c r="C565" s="5" t="str">
        <v>Monitor</v>
      </c>
      <c r="D565" s="5" t="str">
        <v>Peripherals</v>
      </c>
      <c r="E565" s="5" t="str">
        <v>East</v>
      </c>
      <c r="F565" s="5" t="str">
        <v>Feb-2025</v>
      </c>
      <c r="G565" s="5">
        <v>68078</v>
      </c>
      <c r="H565" s="5">
        <v>5</v>
      </c>
      <c r="I565" s="5">
        <v>50709</v>
      </c>
      <c r="J565" s="10"/>
    </row>
    <row r="566" spans="2:10" x14ac:dyDescent="0.3">
      <c r="B566" s="5" t="str">
        <v>ORD1001</v>
      </c>
      <c r="C566" s="5" t="str">
        <v>Keyboard</v>
      </c>
      <c r="D566" s="5" t="str">
        <v>Peripherals</v>
      </c>
      <c r="E566" s="5" t="str">
        <v>East</v>
      </c>
      <c r="F566" s="5" t="str">
        <v>Apr-2025</v>
      </c>
      <c r="G566" s="5">
        <v>68043</v>
      </c>
      <c r="H566" s="5">
        <v>4</v>
      </c>
      <c r="I566" s="5">
        <v>49221</v>
      </c>
      <c r="J566" s="10"/>
    </row>
    <row r="567" spans="2:10" x14ac:dyDescent="0.3">
      <c r="B567" s="5" t="str">
        <v>ORD1124</v>
      </c>
      <c r="C567" s="5" t="str">
        <v>Phone</v>
      </c>
      <c r="D567" s="5" t="str">
        <v>Electronics</v>
      </c>
      <c r="E567" s="5" t="str">
        <v>West</v>
      </c>
      <c r="F567" s="5" t="str">
        <v>Apr-2025</v>
      </c>
      <c r="G567" s="5">
        <v>68009</v>
      </c>
      <c r="H567" s="5">
        <v>5</v>
      </c>
      <c r="I567" s="5">
        <v>47692</v>
      </c>
      <c r="J567" s="10"/>
    </row>
    <row r="568" spans="2:10" x14ac:dyDescent="0.3">
      <c r="B568" s="5" t="str">
        <v>ORD1709</v>
      </c>
      <c r="C568" s="5" t="str">
        <v>Keyboard</v>
      </c>
      <c r="D568" s="5" t="str">
        <v>Peripherals</v>
      </c>
      <c r="E568" s="5" t="str">
        <v>West</v>
      </c>
      <c r="F568" s="5" t="str">
        <v>Aug-2025</v>
      </c>
      <c r="G568" s="5">
        <v>67887</v>
      </c>
      <c r="H568" s="5">
        <v>10</v>
      </c>
      <c r="I568" s="5">
        <v>46531</v>
      </c>
      <c r="J568" s="10"/>
    </row>
    <row r="569" spans="2:10" x14ac:dyDescent="0.3">
      <c r="B569" s="5" t="str">
        <v>ORD1280</v>
      </c>
      <c r="C569" s="5" t="str">
        <v>Mouse</v>
      </c>
      <c r="D569" s="5" t="str">
        <v>Accessories</v>
      </c>
      <c r="E569" s="5" t="str">
        <v>East</v>
      </c>
      <c r="F569" s="5" t="str">
        <v>Aug-2025</v>
      </c>
      <c r="G569" s="5">
        <v>67874</v>
      </c>
      <c r="H569" s="5">
        <v>5</v>
      </c>
      <c r="I569" s="5">
        <v>46939</v>
      </c>
      <c r="J569" s="10"/>
    </row>
    <row r="570" spans="2:10" x14ac:dyDescent="0.3">
      <c r="B570" s="5" t="str">
        <v>ORD1534</v>
      </c>
      <c r="C570" s="5" t="str">
        <v>Tablet</v>
      </c>
      <c r="D570" s="5" t="str">
        <v>Electronics</v>
      </c>
      <c r="E570" s="5" t="str">
        <v>East</v>
      </c>
      <c r="F570" s="5" t="str">
        <v>Jun-2025</v>
      </c>
      <c r="G570" s="5">
        <v>67645</v>
      </c>
      <c r="H570" s="5">
        <v>4</v>
      </c>
      <c r="I570" s="5">
        <v>48041</v>
      </c>
      <c r="J570" s="10"/>
    </row>
    <row r="571" spans="2:10" x14ac:dyDescent="0.3">
      <c r="B571" s="5" t="str">
        <v>ORD1909</v>
      </c>
      <c r="C571" s="5" t="str">
        <v>Laptop</v>
      </c>
      <c r="D571" s="5" t="str">
        <v>Electronics</v>
      </c>
      <c r="E571" s="5" t="str">
        <v>North</v>
      </c>
      <c r="F571" s="5" t="str">
        <v>Jul-2025</v>
      </c>
      <c r="G571" s="5">
        <v>67422</v>
      </c>
      <c r="H571" s="5">
        <v>9</v>
      </c>
      <c r="I571" s="5">
        <v>42302</v>
      </c>
      <c r="J571" s="10"/>
    </row>
    <row r="572" spans="2:10" x14ac:dyDescent="0.3">
      <c r="B572" s="5" t="str">
        <v>ORD1002</v>
      </c>
      <c r="C572" s="5" t="str">
        <v>Phone</v>
      </c>
      <c r="D572" s="5" t="str">
        <v>Electronics</v>
      </c>
      <c r="E572" s="5" t="str">
        <v>East</v>
      </c>
      <c r="F572" s="5" t="str">
        <v>Aug-2025</v>
      </c>
      <c r="G572" s="5">
        <v>67340</v>
      </c>
      <c r="H572" s="5">
        <v>3</v>
      </c>
      <c r="I572" s="5">
        <v>46019</v>
      </c>
      <c r="J572" s="10"/>
    </row>
    <row r="573" spans="2:10" x14ac:dyDescent="0.3">
      <c r="B573" s="5" t="str">
        <v>ORD1975</v>
      </c>
      <c r="C573" s="5" t="str">
        <v>Mouse</v>
      </c>
      <c r="D573" s="5" t="str">
        <v>Accessories</v>
      </c>
      <c r="E573" s="5" t="str">
        <v>West</v>
      </c>
      <c r="F573" s="5" t="str">
        <v>Jun-2025</v>
      </c>
      <c r="G573" s="5">
        <v>67262</v>
      </c>
      <c r="H573" s="5">
        <v>4</v>
      </c>
      <c r="I573" s="5">
        <v>49630</v>
      </c>
      <c r="J573" s="10"/>
    </row>
    <row r="574" spans="2:10" x14ac:dyDescent="0.3">
      <c r="B574" s="5" t="str">
        <v>ORD1157</v>
      </c>
      <c r="C574" s="5" t="str">
        <v>Phone</v>
      </c>
      <c r="D574" s="5" t="str">
        <v>Electronics</v>
      </c>
      <c r="E574" s="5" t="str">
        <v>East</v>
      </c>
      <c r="F574" s="5" t="str">
        <v>Feb-2025</v>
      </c>
      <c r="G574" s="5">
        <v>66939</v>
      </c>
      <c r="H574" s="5">
        <v>1</v>
      </c>
      <c r="I574" s="5">
        <v>45274</v>
      </c>
      <c r="J574" s="10"/>
    </row>
    <row r="575" spans="2:10" x14ac:dyDescent="0.3">
      <c r="B575" s="5" t="str">
        <v>ORD1285</v>
      </c>
      <c r="C575" s="5" t="str">
        <v>Laptop</v>
      </c>
      <c r="D575" s="5" t="str">
        <v>Electronics</v>
      </c>
      <c r="E575" s="5" t="str">
        <v>West</v>
      </c>
      <c r="F575" s="5" t="str">
        <v>Apr-2025</v>
      </c>
      <c r="G575" s="5">
        <v>66908</v>
      </c>
      <c r="H575" s="5">
        <v>13</v>
      </c>
      <c r="I575" s="5">
        <v>47349</v>
      </c>
      <c r="J575" s="10"/>
    </row>
    <row r="576" spans="2:10" x14ac:dyDescent="0.3">
      <c r="B576" s="5" t="str">
        <v>ORD1115</v>
      </c>
      <c r="C576" s="5" t="str">
        <v>Laptop</v>
      </c>
      <c r="D576" s="5" t="str">
        <v>Electronics</v>
      </c>
      <c r="E576" s="5" t="str">
        <v>East</v>
      </c>
      <c r="F576" s="5" t="str">
        <v>Apr-2025</v>
      </c>
      <c r="G576" s="5">
        <v>66890</v>
      </c>
      <c r="H576" s="5">
        <v>7</v>
      </c>
      <c r="I576" s="5">
        <v>40339</v>
      </c>
      <c r="J576" s="10"/>
    </row>
    <row r="577" spans="2:10" x14ac:dyDescent="0.3">
      <c r="B577" s="5" t="str">
        <v>ORD1348</v>
      </c>
      <c r="C577" s="5" t="str">
        <v>Monitor</v>
      </c>
      <c r="D577" s="5" t="str">
        <v>Peripherals</v>
      </c>
      <c r="E577" s="5" t="str">
        <v>North</v>
      </c>
      <c r="F577" s="5" t="str">
        <v>Jul-2025</v>
      </c>
      <c r="G577" s="5">
        <v>66673</v>
      </c>
      <c r="H577" s="5">
        <v>11</v>
      </c>
      <c r="I577" s="5">
        <v>42362</v>
      </c>
      <c r="J577" s="10"/>
    </row>
    <row r="578" spans="2:10" x14ac:dyDescent="0.3">
      <c r="B578" s="5" t="str">
        <v>ORD1610</v>
      </c>
      <c r="C578" s="5" t="str">
        <v>Printer</v>
      </c>
      <c r="D578" s="5" t="str">
        <v>Peripherals</v>
      </c>
      <c r="E578" s="5" t="str">
        <v>South</v>
      </c>
      <c r="F578" s="5" t="str">
        <v>Jun-2025</v>
      </c>
      <c r="G578" s="5">
        <v>66260</v>
      </c>
      <c r="H578" s="5">
        <v>13</v>
      </c>
      <c r="I578" s="5">
        <v>42338</v>
      </c>
      <c r="J578" s="10"/>
    </row>
    <row r="579" spans="2:10" x14ac:dyDescent="0.3">
      <c r="B579" s="5" t="str">
        <v>ORD1886</v>
      </c>
      <c r="C579" s="5" t="str">
        <v>Phone</v>
      </c>
      <c r="D579" s="5" t="str">
        <v>Electronics</v>
      </c>
      <c r="E579" s="5" t="str">
        <v>North</v>
      </c>
      <c r="F579" s="5" t="str">
        <v>Apr-2025</v>
      </c>
      <c r="G579" s="5">
        <v>65971</v>
      </c>
      <c r="H579" s="5">
        <v>9</v>
      </c>
      <c r="I579" s="5">
        <v>43460</v>
      </c>
      <c r="J579" s="10"/>
    </row>
    <row r="580" spans="2:10" x14ac:dyDescent="0.3">
      <c r="B580" s="5" t="str">
        <v>ORD1582</v>
      </c>
      <c r="C580" s="5" t="str">
        <v>Printer</v>
      </c>
      <c r="D580" s="5" t="str">
        <v>Peripherals</v>
      </c>
      <c r="E580" s="5" t="str">
        <v>South</v>
      </c>
      <c r="F580" s="5" t="str">
        <v>Aug-2025</v>
      </c>
      <c r="G580" s="5">
        <v>65970</v>
      </c>
      <c r="H580" s="5">
        <v>13</v>
      </c>
      <c r="I580" s="5">
        <v>48905</v>
      </c>
      <c r="J580" s="10"/>
    </row>
    <row r="581" spans="2:10" x14ac:dyDescent="0.3">
      <c r="B581" s="5" t="str">
        <v>ORD1965</v>
      </c>
      <c r="C581" s="5" t="str">
        <v>Headphones</v>
      </c>
      <c r="D581" s="5" t="str">
        <v>Accessories</v>
      </c>
      <c r="E581" s="5" t="str">
        <v>North</v>
      </c>
      <c r="F581" s="5" t="str">
        <v>Dec-2025</v>
      </c>
      <c r="G581" s="5">
        <v>65904</v>
      </c>
      <c r="H581" s="5">
        <v>2</v>
      </c>
      <c r="I581" s="5">
        <v>45954</v>
      </c>
      <c r="J581" s="10"/>
    </row>
    <row r="582" spans="2:10" x14ac:dyDescent="0.3">
      <c r="B582" s="5" t="str">
        <v>ORD1129</v>
      </c>
      <c r="C582" s="5" t="str">
        <v>Tablet</v>
      </c>
      <c r="D582" s="5" t="str">
        <v>Electronics</v>
      </c>
      <c r="E582" s="5" t="str">
        <v>North</v>
      </c>
      <c r="F582" s="5" t="str">
        <v>Nov-2025</v>
      </c>
      <c r="G582" s="5">
        <v>65794</v>
      </c>
      <c r="H582" s="5">
        <v>13</v>
      </c>
      <c r="I582" s="5">
        <v>47067</v>
      </c>
      <c r="J582" s="10"/>
    </row>
    <row r="583" spans="2:10" x14ac:dyDescent="0.3">
      <c r="B583" s="5" t="str">
        <v>ORD1221</v>
      </c>
      <c r="C583" s="5" t="str">
        <v>Keyboard</v>
      </c>
      <c r="D583" s="5" t="str">
        <v>Peripherals</v>
      </c>
      <c r="E583" s="5" t="str">
        <v>West</v>
      </c>
      <c r="F583" s="5" t="str">
        <v>Jan-2025</v>
      </c>
      <c r="G583" s="5">
        <v>65710</v>
      </c>
      <c r="H583" s="5">
        <v>12</v>
      </c>
      <c r="I583" s="5">
        <v>44649</v>
      </c>
      <c r="J583" s="10"/>
    </row>
    <row r="584" spans="2:10" x14ac:dyDescent="0.3">
      <c r="B584" s="5" t="str">
        <v>ORD1319</v>
      </c>
      <c r="C584" s="5" t="str">
        <v>Keyboard</v>
      </c>
      <c r="D584" s="5" t="str">
        <v>Peripherals</v>
      </c>
      <c r="E584" s="5" t="str">
        <v>West</v>
      </c>
      <c r="F584" s="5" t="str">
        <v>Dec-2025</v>
      </c>
      <c r="G584" s="5">
        <v>65643</v>
      </c>
      <c r="H584" s="5">
        <v>13</v>
      </c>
      <c r="I584" s="5">
        <v>40685</v>
      </c>
      <c r="J584" s="10"/>
    </row>
    <row r="585" spans="2:10" x14ac:dyDescent="0.3">
      <c r="B585" s="5" t="str">
        <v>ORD1140</v>
      </c>
      <c r="C585" s="5" t="str">
        <v>Tablet</v>
      </c>
      <c r="D585" s="5" t="str">
        <v>Electronics</v>
      </c>
      <c r="E585" s="5" t="str">
        <v>West</v>
      </c>
      <c r="F585" s="5" t="str">
        <v>Jun-2025</v>
      </c>
      <c r="G585" s="5">
        <v>65579</v>
      </c>
      <c r="H585" s="5">
        <v>5</v>
      </c>
      <c r="I585" s="5">
        <v>48125</v>
      </c>
      <c r="J585" s="10"/>
    </row>
    <row r="586" spans="2:10" x14ac:dyDescent="0.3">
      <c r="B586" s="5" t="str">
        <v>ORD1094</v>
      </c>
      <c r="C586" s="5" t="str">
        <v>Monitor</v>
      </c>
      <c r="D586" s="5" t="str">
        <v>Peripherals</v>
      </c>
      <c r="E586" s="5" t="str">
        <v>North</v>
      </c>
      <c r="F586" s="5" t="str">
        <v>Feb-2025</v>
      </c>
      <c r="G586" s="5">
        <v>65551</v>
      </c>
      <c r="H586" s="5">
        <v>5</v>
      </c>
      <c r="I586" s="5">
        <v>39892</v>
      </c>
      <c r="J586" s="10"/>
    </row>
    <row r="587" spans="2:10" x14ac:dyDescent="0.3">
      <c r="B587" s="5" t="str">
        <v>ORD1659</v>
      </c>
      <c r="C587" s="5" t="str">
        <v>Phone</v>
      </c>
      <c r="D587" s="5" t="str">
        <v>Electronics</v>
      </c>
      <c r="E587" s="5" t="str">
        <v>South</v>
      </c>
      <c r="F587" s="5" t="str">
        <v>Apr-2025</v>
      </c>
      <c r="G587" s="5">
        <v>65451</v>
      </c>
      <c r="H587" s="5">
        <v>3</v>
      </c>
      <c r="I587" s="5">
        <v>42222</v>
      </c>
      <c r="J587" s="10"/>
    </row>
    <row r="588" spans="2:10" x14ac:dyDescent="0.3">
      <c r="B588" s="5" t="str">
        <v>ORD1059</v>
      </c>
      <c r="C588" s="5" t="str">
        <v>Headphones</v>
      </c>
      <c r="D588" s="5" t="str">
        <v>Accessories</v>
      </c>
      <c r="E588" s="5" t="str">
        <v>East</v>
      </c>
      <c r="F588" s="5" t="str">
        <v>Sep-2025</v>
      </c>
      <c r="G588" s="5">
        <v>65448</v>
      </c>
      <c r="H588" s="5">
        <v>10</v>
      </c>
      <c r="I588" s="5">
        <v>47912</v>
      </c>
      <c r="J588" s="10"/>
    </row>
    <row r="589" spans="2:10" x14ac:dyDescent="0.3">
      <c r="B589" s="5" t="str">
        <v>ORD1723</v>
      </c>
      <c r="C589" s="5" t="str">
        <v>Headphones</v>
      </c>
      <c r="D589" s="5" t="str">
        <v>Accessories</v>
      </c>
      <c r="E589" s="5" t="str">
        <v>North</v>
      </c>
      <c r="F589" s="5" t="str">
        <v>Feb-2025</v>
      </c>
      <c r="G589" s="5">
        <v>65308</v>
      </c>
      <c r="H589" s="5">
        <v>4</v>
      </c>
      <c r="I589" s="5">
        <v>46015</v>
      </c>
      <c r="J589" s="10"/>
    </row>
    <row r="590" spans="2:10" x14ac:dyDescent="0.3">
      <c r="B590" s="5" t="str">
        <v>ORD1255</v>
      </c>
      <c r="C590" s="5" t="str">
        <v>Laptop</v>
      </c>
      <c r="D590" s="5" t="str">
        <v>Electronics</v>
      </c>
      <c r="E590" s="5" t="str">
        <v>South</v>
      </c>
      <c r="F590" s="5" t="str">
        <v>May-2025</v>
      </c>
      <c r="G590" s="5">
        <v>65241</v>
      </c>
      <c r="H590" s="5">
        <v>10</v>
      </c>
      <c r="I590" s="5">
        <v>45576</v>
      </c>
      <c r="J590" s="10"/>
    </row>
    <row r="591" spans="2:10" x14ac:dyDescent="0.3">
      <c r="B591" s="5" t="str">
        <v>ORD1439</v>
      </c>
      <c r="C591" s="5" t="str">
        <v>Monitor</v>
      </c>
      <c r="D591" s="5" t="str">
        <v>Peripherals</v>
      </c>
      <c r="E591" s="5" t="str">
        <v>West</v>
      </c>
      <c r="F591" s="5" t="str">
        <v>Jun-2025</v>
      </c>
      <c r="G591" s="5">
        <v>65221</v>
      </c>
      <c r="H591" s="5">
        <v>11</v>
      </c>
      <c r="I591" s="5">
        <v>45305</v>
      </c>
      <c r="J591" s="10"/>
    </row>
    <row r="592" spans="2:10" x14ac:dyDescent="0.3">
      <c r="B592" s="5" t="str">
        <v>ORD1039</v>
      </c>
      <c r="C592" s="5" t="str">
        <v>Monitor</v>
      </c>
      <c r="D592" s="5" t="str">
        <v>Peripherals</v>
      </c>
      <c r="E592" s="5" t="str">
        <v>East</v>
      </c>
      <c r="F592" s="5" t="str">
        <v>Aug-2025</v>
      </c>
      <c r="G592" s="5">
        <v>65200</v>
      </c>
      <c r="H592" s="5">
        <v>4</v>
      </c>
      <c r="I592" s="5">
        <v>43873</v>
      </c>
      <c r="J592" s="10"/>
    </row>
    <row r="593" spans="2:10" x14ac:dyDescent="0.3">
      <c r="B593" s="5" t="str">
        <v>ORD1916</v>
      </c>
      <c r="C593" s="5" t="str">
        <v>Monitor</v>
      </c>
      <c r="D593" s="5" t="str">
        <v>Peripherals</v>
      </c>
      <c r="E593" s="5" t="str">
        <v>South</v>
      </c>
      <c r="F593" s="5" t="str">
        <v>Aug-2025</v>
      </c>
      <c r="G593" s="5">
        <v>65075</v>
      </c>
      <c r="H593" s="5">
        <v>15</v>
      </c>
      <c r="I593" s="5">
        <v>48530</v>
      </c>
      <c r="J593" s="10"/>
    </row>
    <row r="594" spans="2:10" x14ac:dyDescent="0.3">
      <c r="B594" s="5" t="str">
        <v>ORD1478</v>
      </c>
      <c r="C594" s="5" t="str">
        <v>Laptop</v>
      </c>
      <c r="D594" s="5" t="str">
        <v>Electronics</v>
      </c>
      <c r="E594" s="5" t="str">
        <v>East</v>
      </c>
      <c r="F594" s="5" t="str">
        <v>Dec-2025</v>
      </c>
      <c r="G594" s="5">
        <v>64780</v>
      </c>
      <c r="H594" s="5">
        <v>9</v>
      </c>
      <c r="I594" s="5">
        <v>45541</v>
      </c>
      <c r="J594" s="10"/>
    </row>
    <row r="595" spans="2:10" x14ac:dyDescent="0.3">
      <c r="B595" s="5" t="str">
        <v>ORD1160</v>
      </c>
      <c r="C595" s="5" t="str">
        <v>Printer</v>
      </c>
      <c r="D595" s="5" t="str">
        <v>Peripherals</v>
      </c>
      <c r="E595" s="5" t="str">
        <v>East</v>
      </c>
      <c r="F595" s="5" t="str">
        <v>Oct-2025</v>
      </c>
      <c r="G595" s="5">
        <v>64385</v>
      </c>
      <c r="H595" s="5">
        <v>5</v>
      </c>
      <c r="I595" s="5">
        <v>40020</v>
      </c>
      <c r="J595" s="10"/>
    </row>
    <row r="596" spans="2:10" x14ac:dyDescent="0.3">
      <c r="B596" s="5" t="str">
        <v>ORD1963</v>
      </c>
      <c r="C596" s="5" t="str">
        <v>Tablet</v>
      </c>
      <c r="D596" s="5" t="str">
        <v>Electronics</v>
      </c>
      <c r="E596" s="5" t="str">
        <v>North</v>
      </c>
      <c r="F596" s="5" t="str">
        <v>Sep-2025</v>
      </c>
      <c r="G596" s="5">
        <v>64280</v>
      </c>
      <c r="H596" s="5">
        <v>3</v>
      </c>
      <c r="I596" s="5">
        <v>46825</v>
      </c>
      <c r="J596" s="10"/>
    </row>
    <row r="597" spans="2:10" x14ac:dyDescent="0.3">
      <c r="B597" s="5" t="str">
        <v>ORD1043</v>
      </c>
      <c r="C597" s="5" t="str">
        <v>Headphones</v>
      </c>
      <c r="D597" s="5" t="str">
        <v>Accessories</v>
      </c>
      <c r="E597" s="5" t="str">
        <v>East</v>
      </c>
      <c r="F597" s="5" t="str">
        <v>Jun-2025</v>
      </c>
      <c r="G597" s="5">
        <v>64173</v>
      </c>
      <c r="H597" s="5">
        <v>3</v>
      </c>
      <c r="I597" s="5">
        <v>41822</v>
      </c>
      <c r="J597" s="10"/>
    </row>
    <row r="598" spans="2:10" x14ac:dyDescent="0.3">
      <c r="B598" s="5" t="str">
        <v>ORD1005</v>
      </c>
      <c r="C598" s="5" t="str">
        <v>Keyboard</v>
      </c>
      <c r="D598" s="5" t="str">
        <v>Peripherals</v>
      </c>
      <c r="E598" s="5" t="str">
        <v>West</v>
      </c>
      <c r="F598" s="5" t="str">
        <v>Apr-2025</v>
      </c>
      <c r="G598" s="5">
        <v>64139</v>
      </c>
      <c r="H598" s="5">
        <v>4</v>
      </c>
      <c r="I598" s="5">
        <v>39174</v>
      </c>
      <c r="J598" s="10"/>
    </row>
    <row r="599" spans="2:10" x14ac:dyDescent="0.3">
      <c r="B599" s="5" t="str">
        <v>ORD1590</v>
      </c>
      <c r="C599" s="5" t="str">
        <v>Monitor</v>
      </c>
      <c r="D599" s="5" t="str">
        <v>Peripherals</v>
      </c>
      <c r="E599" s="5" t="str">
        <v>North</v>
      </c>
      <c r="F599" s="5" t="str">
        <v>Dec-2025</v>
      </c>
      <c r="G599" s="5">
        <v>64106</v>
      </c>
      <c r="H599" s="5">
        <v>2</v>
      </c>
      <c r="I599" s="5">
        <v>42493</v>
      </c>
      <c r="J599" s="10"/>
    </row>
    <row r="600" spans="2:10" x14ac:dyDescent="0.3">
      <c r="B600" s="5" t="str">
        <v>ORD1204</v>
      </c>
      <c r="C600" s="5" t="str">
        <v>Tablet</v>
      </c>
      <c r="D600" s="5" t="str">
        <v>Electronics</v>
      </c>
      <c r="E600" s="5" t="str">
        <v>North</v>
      </c>
      <c r="F600" s="5" t="str">
        <v>Mar-2025</v>
      </c>
      <c r="G600" s="5">
        <v>63945</v>
      </c>
      <c r="H600" s="5">
        <v>7</v>
      </c>
      <c r="I600" s="5">
        <v>45703</v>
      </c>
      <c r="J600" s="10"/>
    </row>
    <row r="601" spans="2:10" x14ac:dyDescent="0.3">
      <c r="B601" s="5" t="str">
        <v>ORD1734</v>
      </c>
      <c r="C601" s="5" t="str">
        <v>Phone</v>
      </c>
      <c r="D601" s="5" t="str">
        <v>Electronics</v>
      </c>
      <c r="E601" s="5" t="str">
        <v>East</v>
      </c>
      <c r="F601" s="5" t="str">
        <v>May-2025</v>
      </c>
      <c r="G601" s="5">
        <v>63883</v>
      </c>
      <c r="H601" s="5">
        <v>7</v>
      </c>
      <c r="I601" s="5">
        <v>43048</v>
      </c>
      <c r="J601" s="10"/>
    </row>
    <row r="602" spans="2:10" x14ac:dyDescent="0.3">
      <c r="B602" s="5" t="str">
        <v>ORD1168</v>
      </c>
      <c r="C602" s="5" t="str">
        <v>Phone</v>
      </c>
      <c r="D602" s="5" t="str">
        <v>Electronics</v>
      </c>
      <c r="E602" s="5" t="str">
        <v>West</v>
      </c>
      <c r="F602" s="5" t="str">
        <v>Jun-2025</v>
      </c>
      <c r="G602" s="5">
        <v>63831</v>
      </c>
      <c r="H602" s="5">
        <v>11</v>
      </c>
      <c r="I602" s="5">
        <v>43272</v>
      </c>
      <c r="J602" s="10"/>
    </row>
    <row r="603" spans="2:10" x14ac:dyDescent="0.3">
      <c r="B603" s="5" t="str">
        <v>ORD1907</v>
      </c>
      <c r="C603" s="5" t="str">
        <v>Keyboard</v>
      </c>
      <c r="D603" s="5" t="str">
        <v>Peripherals</v>
      </c>
      <c r="E603" s="5" t="str">
        <v>North</v>
      </c>
      <c r="F603" s="5" t="str">
        <v>Sep-2025</v>
      </c>
      <c r="G603" s="5">
        <v>63545</v>
      </c>
      <c r="H603" s="5">
        <v>9</v>
      </c>
      <c r="I603" s="5">
        <v>41615</v>
      </c>
      <c r="J603" s="10"/>
    </row>
    <row r="604" spans="2:10" x14ac:dyDescent="0.3">
      <c r="B604" s="5" t="str">
        <v>ORD1262</v>
      </c>
      <c r="C604" s="5" t="str">
        <v>Keyboard</v>
      </c>
      <c r="D604" s="5" t="str">
        <v>Peripherals</v>
      </c>
      <c r="E604" s="5" t="str">
        <v>West</v>
      </c>
      <c r="F604" s="5" t="str">
        <v>Nov-2025</v>
      </c>
      <c r="G604" s="5">
        <v>63500</v>
      </c>
      <c r="H604" s="5">
        <v>6</v>
      </c>
      <c r="I604" s="5">
        <v>40335</v>
      </c>
      <c r="J604" s="10"/>
    </row>
    <row r="605" spans="2:10" x14ac:dyDescent="0.3">
      <c r="B605" s="5" t="str">
        <v>ORD1385</v>
      </c>
      <c r="C605" s="5" t="str">
        <v>Printer</v>
      </c>
      <c r="D605" s="5" t="str">
        <v>Peripherals</v>
      </c>
      <c r="E605" s="5" t="str">
        <v>West</v>
      </c>
      <c r="F605" s="5" t="str">
        <v>Jun-2025</v>
      </c>
      <c r="G605" s="5">
        <v>63471</v>
      </c>
      <c r="H605" s="5">
        <v>15</v>
      </c>
      <c r="I605" s="5">
        <v>46803</v>
      </c>
      <c r="J605" s="10"/>
    </row>
    <row r="606" spans="2:10" x14ac:dyDescent="0.3">
      <c r="B606" s="5" t="str">
        <v>ORD1657</v>
      </c>
      <c r="C606" s="5" t="str">
        <v>Headphones</v>
      </c>
      <c r="D606" s="5" t="str">
        <v>Accessories</v>
      </c>
      <c r="E606" s="5" t="str">
        <v>East</v>
      </c>
      <c r="F606" s="5" t="str">
        <v>Oct-2025</v>
      </c>
      <c r="G606" s="5">
        <v>63209</v>
      </c>
      <c r="H606" s="5">
        <v>9</v>
      </c>
      <c r="I606" s="5">
        <v>39751</v>
      </c>
      <c r="J606" s="10"/>
    </row>
    <row r="607" spans="2:10" x14ac:dyDescent="0.3">
      <c r="B607" s="5" t="str">
        <v>ORD1701</v>
      </c>
      <c r="C607" s="5" t="str">
        <v>Mouse</v>
      </c>
      <c r="D607" s="5" t="str">
        <v>Accessories</v>
      </c>
      <c r="E607" s="5" t="str">
        <v>South</v>
      </c>
      <c r="F607" s="5" t="str">
        <v>Jul-2025</v>
      </c>
      <c r="G607" s="5">
        <v>63132</v>
      </c>
      <c r="H607" s="5">
        <v>5</v>
      </c>
      <c r="I607" s="5">
        <v>41536</v>
      </c>
      <c r="J607" s="10"/>
    </row>
    <row r="608" spans="2:10" x14ac:dyDescent="0.3">
      <c r="B608" s="5" t="str">
        <v>ORD1661</v>
      </c>
      <c r="C608" s="5" t="str">
        <v>Mouse</v>
      </c>
      <c r="D608" s="5" t="str">
        <v>Accessories</v>
      </c>
      <c r="E608" s="5" t="str">
        <v>North</v>
      </c>
      <c r="F608" s="5" t="str">
        <v>Jan-2025</v>
      </c>
      <c r="G608" s="5">
        <v>63128</v>
      </c>
      <c r="H608" s="5">
        <v>5</v>
      </c>
      <c r="I608" s="5">
        <v>43596</v>
      </c>
      <c r="J608" s="10"/>
    </row>
    <row r="609" spans="2:10" x14ac:dyDescent="0.3">
      <c r="B609" s="5" t="str">
        <v>ORD1853</v>
      </c>
      <c r="C609" s="5" t="str">
        <v>Headphones</v>
      </c>
      <c r="D609" s="5" t="str">
        <v>Accessories</v>
      </c>
      <c r="E609" s="5" t="str">
        <v>East</v>
      </c>
      <c r="F609" s="5" t="str">
        <v>Mar-2025</v>
      </c>
      <c r="G609" s="5">
        <v>63047</v>
      </c>
      <c r="H609" s="5">
        <v>13</v>
      </c>
      <c r="I609" s="5">
        <v>43739</v>
      </c>
      <c r="J609" s="10"/>
    </row>
    <row r="610" spans="2:10" x14ac:dyDescent="0.3">
      <c r="B610" s="5" t="str">
        <v>ORD1793</v>
      </c>
      <c r="C610" s="5" t="str">
        <v>Printer</v>
      </c>
      <c r="D610" s="5" t="str">
        <v>Peripherals</v>
      </c>
      <c r="E610" s="5" t="str">
        <v>South</v>
      </c>
      <c r="F610" s="5" t="str">
        <v>Jul-2025</v>
      </c>
      <c r="G610" s="5">
        <v>62911</v>
      </c>
      <c r="H610" s="5">
        <v>3</v>
      </c>
      <c r="I610" s="5">
        <v>44398</v>
      </c>
      <c r="J610" s="10"/>
    </row>
    <row r="611" spans="2:10" x14ac:dyDescent="0.3">
      <c r="B611" s="5" t="str">
        <v>ORD1575</v>
      </c>
      <c r="C611" s="5" t="str">
        <v>Tablet</v>
      </c>
      <c r="D611" s="5" t="str">
        <v>Electronics</v>
      </c>
      <c r="E611" s="5" t="str">
        <v>West</v>
      </c>
      <c r="F611" s="5" t="str">
        <v>Aug-2025</v>
      </c>
      <c r="G611" s="5">
        <v>62852</v>
      </c>
      <c r="H611" s="5">
        <v>13</v>
      </c>
      <c r="I611" s="5">
        <v>45832</v>
      </c>
      <c r="J611" s="10"/>
    </row>
    <row r="612" spans="2:10" x14ac:dyDescent="0.3">
      <c r="B612" s="5" t="str">
        <v>ORD1925</v>
      </c>
      <c r="C612" s="5" t="str">
        <v>Printer</v>
      </c>
      <c r="D612" s="5" t="str">
        <v>Peripherals</v>
      </c>
      <c r="E612" s="5" t="str">
        <v>West</v>
      </c>
      <c r="F612" s="5" t="str">
        <v>Jul-2025</v>
      </c>
      <c r="G612" s="5">
        <v>62810</v>
      </c>
      <c r="H612" s="5">
        <v>5</v>
      </c>
      <c r="I612" s="5">
        <v>38055</v>
      </c>
      <c r="J612" s="10"/>
    </row>
    <row r="613" spans="2:10" x14ac:dyDescent="0.3">
      <c r="B613" s="5" t="str">
        <v>ORD1698</v>
      </c>
      <c r="C613" s="5" t="str">
        <v>Monitor</v>
      </c>
      <c r="D613" s="5" t="str">
        <v>Peripherals</v>
      </c>
      <c r="E613" s="5" t="str">
        <v>East</v>
      </c>
      <c r="F613" s="5" t="str">
        <v>Jul-2025</v>
      </c>
      <c r="G613" s="5">
        <v>62770</v>
      </c>
      <c r="H613" s="5">
        <v>11</v>
      </c>
      <c r="I613" s="5">
        <v>43017</v>
      </c>
      <c r="J613" s="10"/>
    </row>
    <row r="614" spans="2:10" x14ac:dyDescent="0.3">
      <c r="B614" s="5" t="str">
        <v>ORD1574</v>
      </c>
      <c r="C614" s="5" t="str">
        <v>Phone</v>
      </c>
      <c r="D614" s="5" t="str">
        <v>Electronics</v>
      </c>
      <c r="E614" s="5" t="str">
        <v>East</v>
      </c>
      <c r="F614" s="5" t="str">
        <v>Jul-2025</v>
      </c>
      <c r="G614" s="5">
        <v>62760</v>
      </c>
      <c r="H614" s="5">
        <v>7</v>
      </c>
      <c r="I614" s="5">
        <v>40131</v>
      </c>
      <c r="J614" s="10"/>
    </row>
    <row r="615" spans="2:10" x14ac:dyDescent="0.3">
      <c r="B615" s="5" t="str">
        <v>ORD1550</v>
      </c>
      <c r="C615" s="5" t="str">
        <v>Monitor</v>
      </c>
      <c r="D615" s="5" t="str">
        <v>Peripherals</v>
      </c>
      <c r="E615" s="5" t="str">
        <v>East</v>
      </c>
      <c r="F615" s="5" t="str">
        <v>May-2025</v>
      </c>
      <c r="G615" s="5">
        <v>62719</v>
      </c>
      <c r="H615" s="5">
        <v>14</v>
      </c>
      <c r="I615" s="5">
        <v>44841</v>
      </c>
      <c r="J615" s="10"/>
    </row>
    <row r="616" spans="2:10" x14ac:dyDescent="0.3">
      <c r="B616" s="5" t="str">
        <v>ORD1728</v>
      </c>
      <c r="C616" s="5" t="str">
        <v>Laptop</v>
      </c>
      <c r="D616" s="5" t="str">
        <v>Electronics</v>
      </c>
      <c r="E616" s="5" t="str">
        <v>North</v>
      </c>
      <c r="F616" s="5" t="str">
        <v>Sep-2025</v>
      </c>
      <c r="G616" s="5">
        <v>62343</v>
      </c>
      <c r="H616" s="5">
        <v>1</v>
      </c>
      <c r="I616" s="5">
        <v>44981</v>
      </c>
      <c r="J616" s="10"/>
    </row>
    <row r="617" spans="2:10" x14ac:dyDescent="0.3">
      <c r="B617" s="5" t="str">
        <v>ORD1998</v>
      </c>
      <c r="C617" s="5" t="str">
        <v>Mouse</v>
      </c>
      <c r="D617" s="5" t="str">
        <v>Accessories</v>
      </c>
      <c r="E617" s="5" t="str">
        <v>South</v>
      </c>
      <c r="F617" s="5" t="str">
        <v>Oct-2025</v>
      </c>
      <c r="G617" s="5">
        <v>62246</v>
      </c>
      <c r="H617" s="5">
        <v>7</v>
      </c>
      <c r="I617" s="5">
        <v>44756</v>
      </c>
      <c r="J617" s="10"/>
    </row>
    <row r="618" spans="2:10" x14ac:dyDescent="0.3">
      <c r="B618" s="5" t="str">
        <v>ORD1918</v>
      </c>
      <c r="C618" s="5" t="str">
        <v>Headphones</v>
      </c>
      <c r="D618" s="5" t="str">
        <v>Accessories</v>
      </c>
      <c r="E618" s="5" t="str">
        <v>West</v>
      </c>
      <c r="F618" s="5" t="str">
        <v>Feb-2025</v>
      </c>
      <c r="G618" s="5">
        <v>62230</v>
      </c>
      <c r="H618" s="5">
        <v>6</v>
      </c>
      <c r="I618" s="5">
        <v>46296</v>
      </c>
      <c r="J618" s="10"/>
    </row>
    <row r="619" spans="2:10" x14ac:dyDescent="0.3">
      <c r="B619" s="5" t="str">
        <v>ORD1551</v>
      </c>
      <c r="C619" s="5" t="str">
        <v>Tablet</v>
      </c>
      <c r="D619" s="5" t="str">
        <v>Electronics</v>
      </c>
      <c r="E619" s="5" t="str">
        <v>West</v>
      </c>
      <c r="F619" s="5" t="str">
        <v>Mar-2025</v>
      </c>
      <c r="G619" s="5">
        <v>62084</v>
      </c>
      <c r="H619" s="5">
        <v>12</v>
      </c>
      <c r="I619" s="5">
        <v>45147</v>
      </c>
      <c r="J619" s="10"/>
    </row>
    <row r="620" spans="2:10" x14ac:dyDescent="0.3">
      <c r="B620" s="5" t="str">
        <v>ORD1693</v>
      </c>
      <c r="C620" s="5" t="str">
        <v>Headphones</v>
      </c>
      <c r="D620" s="5" t="str">
        <v>Accessories</v>
      </c>
      <c r="E620" s="5" t="str">
        <v>East</v>
      </c>
      <c r="F620" s="5" t="str">
        <v>Mar-2025</v>
      </c>
      <c r="G620" s="5">
        <v>62005</v>
      </c>
      <c r="H620" s="5">
        <v>9</v>
      </c>
      <c r="I620" s="5">
        <v>39960</v>
      </c>
      <c r="J620" s="10"/>
    </row>
    <row r="621" spans="2:10" x14ac:dyDescent="0.3">
      <c r="B621" s="5" t="str">
        <v>ORD1857</v>
      </c>
      <c r="C621" s="5" t="str">
        <v>Headphones</v>
      </c>
      <c r="D621" s="5" t="str">
        <v>Accessories</v>
      </c>
      <c r="E621" s="5" t="str">
        <v>North</v>
      </c>
      <c r="F621" s="5" t="str">
        <v>Nov-2025</v>
      </c>
      <c r="G621" s="5">
        <v>61923</v>
      </c>
      <c r="H621" s="5">
        <v>2</v>
      </c>
      <c r="I621" s="5">
        <v>41727</v>
      </c>
      <c r="J621" s="10"/>
    </row>
    <row r="622" spans="2:10" x14ac:dyDescent="0.3">
      <c r="B622" s="5" t="str">
        <v>ORD1903</v>
      </c>
      <c r="C622" s="5" t="str">
        <v>Tablet</v>
      </c>
      <c r="D622" s="5" t="str">
        <v>Electronics</v>
      </c>
      <c r="E622" s="5" t="str">
        <v>West</v>
      </c>
      <c r="F622" s="5" t="str">
        <v>Feb-2025</v>
      </c>
      <c r="G622" s="5">
        <v>61515</v>
      </c>
      <c r="H622" s="5">
        <v>8</v>
      </c>
      <c r="I622" s="5">
        <v>41841</v>
      </c>
      <c r="J622" s="10"/>
    </row>
    <row r="623" spans="2:10" x14ac:dyDescent="0.3">
      <c r="B623" s="5" t="str">
        <v>ORD1946</v>
      </c>
      <c r="C623" s="5" t="str">
        <v>Headphones</v>
      </c>
      <c r="D623" s="5" t="str">
        <v>Accessories</v>
      </c>
      <c r="E623" s="5" t="str">
        <v>North</v>
      </c>
      <c r="F623" s="5" t="str">
        <v>Jun-2025</v>
      </c>
      <c r="G623" s="5">
        <v>61414</v>
      </c>
      <c r="H623" s="5">
        <v>5</v>
      </c>
      <c r="I623" s="5">
        <v>42926</v>
      </c>
      <c r="J623" s="10"/>
    </row>
    <row r="624" spans="2:10" x14ac:dyDescent="0.3">
      <c r="B624" s="5" t="str">
        <v>ORD1724</v>
      </c>
      <c r="C624" s="5" t="str">
        <v>Monitor</v>
      </c>
      <c r="D624" s="5" t="str">
        <v>Peripherals</v>
      </c>
      <c r="E624" s="5" t="str">
        <v>East</v>
      </c>
      <c r="F624" s="5" t="str">
        <v>Feb-2025</v>
      </c>
      <c r="G624" s="5">
        <v>61269</v>
      </c>
      <c r="H624" s="5">
        <v>13</v>
      </c>
      <c r="I624" s="5">
        <v>37439</v>
      </c>
      <c r="J624" s="10"/>
    </row>
    <row r="625" spans="2:10" x14ac:dyDescent="0.3">
      <c r="B625" s="5" t="str">
        <v>ORD1559</v>
      </c>
      <c r="C625" s="5" t="str">
        <v>Keyboard</v>
      </c>
      <c r="D625" s="5" t="str">
        <v>Peripherals</v>
      </c>
      <c r="E625" s="5" t="str">
        <v>East</v>
      </c>
      <c r="F625" s="5" t="str">
        <v>Jul-2025</v>
      </c>
      <c r="G625" s="5">
        <v>60978</v>
      </c>
      <c r="H625" s="5">
        <v>14</v>
      </c>
      <c r="I625" s="5">
        <v>37756</v>
      </c>
      <c r="J625" s="10"/>
    </row>
    <row r="626" spans="2:10" x14ac:dyDescent="0.3">
      <c r="B626" s="5" t="str">
        <v>ORD1060</v>
      </c>
      <c r="C626" s="5" t="str">
        <v>Laptop</v>
      </c>
      <c r="D626" s="5" t="str">
        <v>Electronics</v>
      </c>
      <c r="E626" s="5" t="str">
        <v>South</v>
      </c>
      <c r="F626" s="5" t="str">
        <v>Mar-2025</v>
      </c>
      <c r="G626" s="5">
        <v>60834</v>
      </c>
      <c r="H626" s="5">
        <v>5</v>
      </c>
      <c r="I626" s="5">
        <v>39700</v>
      </c>
      <c r="J626" s="10"/>
    </row>
    <row r="627" spans="2:10" x14ac:dyDescent="0.3">
      <c r="B627" s="5" t="str">
        <v>ORD1995</v>
      </c>
      <c r="C627" s="5" t="str">
        <v>Tablet</v>
      </c>
      <c r="D627" s="5" t="str">
        <v>Electronics</v>
      </c>
      <c r="E627" s="5" t="str">
        <v>West</v>
      </c>
      <c r="F627" s="5" t="str">
        <v>Mar-2025</v>
      </c>
      <c r="G627" s="5">
        <v>60790</v>
      </c>
      <c r="H627" s="5">
        <v>8</v>
      </c>
      <c r="I627" s="5">
        <v>42598</v>
      </c>
      <c r="J627" s="10"/>
    </row>
    <row r="628" spans="2:10" x14ac:dyDescent="0.3">
      <c r="B628" s="5" t="str">
        <v>ORD1865</v>
      </c>
      <c r="C628" s="5" t="str">
        <v>Phone</v>
      </c>
      <c r="D628" s="5" t="str">
        <v>Electronics</v>
      </c>
      <c r="E628" s="5" t="str">
        <v>North</v>
      </c>
      <c r="F628" s="5" t="str">
        <v>Apr-2025</v>
      </c>
      <c r="G628" s="5">
        <v>60700</v>
      </c>
      <c r="H628" s="5">
        <v>5</v>
      </c>
      <c r="I628" s="5">
        <v>38890</v>
      </c>
      <c r="J628" s="10"/>
    </row>
    <row r="629" spans="2:10" x14ac:dyDescent="0.3">
      <c r="B629" s="5" t="str">
        <v>ORD1373</v>
      </c>
      <c r="C629" s="5" t="str">
        <v>Headphones</v>
      </c>
      <c r="D629" s="5" t="str">
        <v>Accessories</v>
      </c>
      <c r="E629" s="5" t="str">
        <v>South</v>
      </c>
      <c r="F629" s="5" t="str">
        <v>Jun-2025</v>
      </c>
      <c r="G629" s="5">
        <v>60696</v>
      </c>
      <c r="H629" s="5">
        <v>15</v>
      </c>
      <c r="I629" s="5">
        <v>43460</v>
      </c>
      <c r="J629" s="10"/>
    </row>
    <row r="630" spans="2:10" x14ac:dyDescent="0.3">
      <c r="B630" s="5" t="str">
        <v>ORD1617</v>
      </c>
      <c r="C630" s="5" t="str">
        <v>Headphones</v>
      </c>
      <c r="D630" s="5" t="str">
        <v>Accessories</v>
      </c>
      <c r="E630" s="5" t="str">
        <v>East</v>
      </c>
      <c r="F630" s="5" t="str">
        <v>Jul-2025</v>
      </c>
      <c r="G630" s="5">
        <v>60643</v>
      </c>
      <c r="H630" s="5">
        <v>9</v>
      </c>
      <c r="I630" s="5">
        <v>38809</v>
      </c>
      <c r="J630" s="10"/>
    </row>
    <row r="631" spans="2:10" x14ac:dyDescent="0.3">
      <c r="B631" s="5" t="str">
        <v>ORD1113</v>
      </c>
      <c r="C631" s="5" t="str">
        <v>Mouse</v>
      </c>
      <c r="D631" s="5" t="str">
        <v>Accessories</v>
      </c>
      <c r="E631" s="5" t="str">
        <v>South</v>
      </c>
      <c r="F631" s="5" t="str">
        <v>Dec-2025</v>
      </c>
      <c r="G631" s="5">
        <v>60597</v>
      </c>
      <c r="H631" s="5">
        <v>10</v>
      </c>
      <c r="I631" s="5">
        <v>41440</v>
      </c>
      <c r="J631" s="10"/>
    </row>
    <row r="632" spans="2:10" x14ac:dyDescent="0.3">
      <c r="B632" s="5" t="str">
        <v>ORD1742</v>
      </c>
      <c r="C632" s="5" t="str">
        <v>Printer</v>
      </c>
      <c r="D632" s="5" t="str">
        <v>Peripherals</v>
      </c>
      <c r="E632" s="5" t="str">
        <v>North</v>
      </c>
      <c r="F632" s="5" t="str">
        <v>Aug-2025</v>
      </c>
      <c r="G632" s="5">
        <v>60530</v>
      </c>
      <c r="H632" s="5">
        <v>2</v>
      </c>
      <c r="I632" s="5">
        <v>42801</v>
      </c>
      <c r="J632" s="10"/>
    </row>
    <row r="633" spans="2:10" x14ac:dyDescent="0.3">
      <c r="B633" s="5" t="str">
        <v>ORD1966</v>
      </c>
      <c r="C633" s="5" t="str">
        <v>Laptop</v>
      </c>
      <c r="D633" s="5" t="str">
        <v>Electronics</v>
      </c>
      <c r="E633" s="5" t="str">
        <v>North</v>
      </c>
      <c r="F633" s="5" t="str">
        <v>Jul-2025</v>
      </c>
      <c r="G633" s="5">
        <v>60465</v>
      </c>
      <c r="H633" s="5">
        <v>13</v>
      </c>
      <c r="I633" s="5">
        <v>36928</v>
      </c>
      <c r="J633" s="10"/>
    </row>
    <row r="634" spans="2:10" x14ac:dyDescent="0.3">
      <c r="B634" s="5" t="str">
        <v>ORD1881</v>
      </c>
      <c r="C634" s="5" t="str">
        <v>Printer</v>
      </c>
      <c r="D634" s="5" t="str">
        <v>Peripherals</v>
      </c>
      <c r="E634" s="5" t="str">
        <v>North</v>
      </c>
      <c r="F634" s="5" t="str">
        <v>Jan-2025</v>
      </c>
      <c r="G634" s="5">
        <v>60266</v>
      </c>
      <c r="H634" s="5">
        <v>6</v>
      </c>
      <c r="I634" s="5">
        <v>43055</v>
      </c>
      <c r="J634" s="10"/>
    </row>
    <row r="635" spans="2:10" x14ac:dyDescent="0.3">
      <c r="B635" s="5" t="str">
        <v>ORD1018</v>
      </c>
      <c r="C635" s="5" t="str">
        <v>Tablet</v>
      </c>
      <c r="D635" s="5" t="str">
        <v>Electronics</v>
      </c>
      <c r="E635" s="5" t="str">
        <v>South</v>
      </c>
      <c r="F635" s="5" t="str">
        <v>May-2025</v>
      </c>
      <c r="G635" s="5">
        <v>60032</v>
      </c>
      <c r="H635" s="5">
        <v>13</v>
      </c>
      <c r="I635" s="5">
        <v>43561</v>
      </c>
      <c r="J635" s="10"/>
    </row>
    <row r="636" spans="2:10" x14ac:dyDescent="0.3">
      <c r="B636" s="5" t="str">
        <v>ORD1703</v>
      </c>
      <c r="C636" s="5" t="str">
        <v>Phone</v>
      </c>
      <c r="D636" s="5" t="str">
        <v>Electronics</v>
      </c>
      <c r="E636" s="5" t="str">
        <v>South</v>
      </c>
      <c r="F636" s="5" t="str">
        <v>Mar-2025</v>
      </c>
      <c r="G636" s="5">
        <v>59660</v>
      </c>
      <c r="H636" s="5">
        <v>15</v>
      </c>
      <c r="I636" s="5">
        <v>40359</v>
      </c>
      <c r="J636" s="10"/>
    </row>
    <row r="637" spans="2:10" x14ac:dyDescent="0.3">
      <c r="B637" s="5" t="str">
        <v>ORD1524</v>
      </c>
      <c r="C637" s="5" t="str">
        <v>Headphones</v>
      </c>
      <c r="D637" s="5" t="str">
        <v>Accessories</v>
      </c>
      <c r="E637" s="5" t="str">
        <v>South</v>
      </c>
      <c r="F637" s="5" t="str">
        <v>Feb-2025</v>
      </c>
      <c r="G637" s="5">
        <v>59443</v>
      </c>
      <c r="H637" s="5">
        <v>6</v>
      </c>
      <c r="I637" s="5">
        <v>37084</v>
      </c>
      <c r="J637" s="10"/>
    </row>
    <row r="638" spans="2:10" x14ac:dyDescent="0.3">
      <c r="B638" s="5" t="str">
        <v>ORD1725</v>
      </c>
      <c r="C638" s="5" t="str">
        <v>Printer</v>
      </c>
      <c r="D638" s="5" t="str">
        <v>Peripherals</v>
      </c>
      <c r="E638" s="5" t="str">
        <v>East</v>
      </c>
      <c r="F638" s="5" t="str">
        <v>Aug-2025</v>
      </c>
      <c r="G638" s="5">
        <v>59397</v>
      </c>
      <c r="H638" s="5">
        <v>10</v>
      </c>
      <c r="I638" s="5">
        <v>43024</v>
      </c>
      <c r="J638" s="10"/>
    </row>
    <row r="639" spans="2:10" x14ac:dyDescent="0.3">
      <c r="B639" s="5" t="str">
        <v>ORD1655</v>
      </c>
      <c r="C639" s="5" t="str">
        <v>Headphones</v>
      </c>
      <c r="D639" s="5" t="str">
        <v>Accessories</v>
      </c>
      <c r="E639" s="5" t="str">
        <v>South</v>
      </c>
      <c r="F639" s="5" t="str">
        <v>Jul-2025</v>
      </c>
      <c r="G639" s="5">
        <v>59321</v>
      </c>
      <c r="H639" s="5">
        <v>7</v>
      </c>
      <c r="I639" s="5">
        <v>38105</v>
      </c>
      <c r="J639" s="10"/>
    </row>
    <row r="640" spans="2:10" x14ac:dyDescent="0.3">
      <c r="B640" s="5" t="str">
        <v>ORD1790</v>
      </c>
      <c r="C640" s="5" t="str">
        <v>Phone</v>
      </c>
      <c r="D640" s="5" t="str">
        <v>Electronics</v>
      </c>
      <c r="E640" s="5" t="str">
        <v>West</v>
      </c>
      <c r="F640" s="5" t="str">
        <v>Dec-2025</v>
      </c>
      <c r="G640" s="5">
        <v>59089</v>
      </c>
      <c r="H640" s="5">
        <v>9</v>
      </c>
      <c r="I640" s="5">
        <v>40341</v>
      </c>
      <c r="J640" s="10"/>
    </row>
    <row r="641" spans="2:10" x14ac:dyDescent="0.3">
      <c r="B641" s="5" t="str">
        <v>ORD1068</v>
      </c>
      <c r="C641" s="5" t="str">
        <v>Laptop</v>
      </c>
      <c r="D641" s="5" t="str">
        <v>Electronics</v>
      </c>
      <c r="E641" s="5" t="str">
        <v>West</v>
      </c>
      <c r="F641" s="5" t="str">
        <v>Feb-2025</v>
      </c>
      <c r="G641" s="5">
        <v>58987</v>
      </c>
      <c r="H641" s="5">
        <v>12</v>
      </c>
      <c r="I641" s="5">
        <v>41993</v>
      </c>
      <c r="J641" s="10"/>
    </row>
    <row r="642" spans="2:10" x14ac:dyDescent="0.3">
      <c r="B642" s="5" t="str">
        <v>ORD1601</v>
      </c>
      <c r="C642" s="5" t="str">
        <v>Monitor</v>
      </c>
      <c r="D642" s="5" t="str">
        <v>Peripherals</v>
      </c>
      <c r="E642" s="5" t="str">
        <v>North</v>
      </c>
      <c r="F642" s="5" t="str">
        <v>Apr-2025</v>
      </c>
      <c r="G642" s="5">
        <v>58816</v>
      </c>
      <c r="H642" s="5">
        <v>10</v>
      </c>
      <c r="I642" s="5">
        <v>39563</v>
      </c>
      <c r="J642" s="10"/>
    </row>
    <row r="643" spans="2:10" x14ac:dyDescent="0.3">
      <c r="B643" s="5" t="str">
        <v>ORD1563</v>
      </c>
      <c r="C643" s="5" t="str">
        <v>Tablet</v>
      </c>
      <c r="D643" s="5" t="str">
        <v>Electronics</v>
      </c>
      <c r="E643" s="5" t="str">
        <v>South</v>
      </c>
      <c r="F643" s="5" t="str">
        <v>Aug-2025</v>
      </c>
      <c r="G643" s="5">
        <v>58813</v>
      </c>
      <c r="H643" s="5">
        <v>2</v>
      </c>
      <c r="I643" s="5">
        <v>43802</v>
      </c>
      <c r="J643" s="10"/>
    </row>
    <row r="644" spans="2:10" x14ac:dyDescent="0.3">
      <c r="B644" s="5" t="str">
        <v>ORD1240</v>
      </c>
      <c r="C644" s="5" t="str">
        <v>Keyboard</v>
      </c>
      <c r="D644" s="5" t="str">
        <v>Peripherals</v>
      </c>
      <c r="E644" s="5" t="str">
        <v>West</v>
      </c>
      <c r="F644" s="5" t="str">
        <v>Mar-2025</v>
      </c>
      <c r="G644" s="5">
        <v>58775</v>
      </c>
      <c r="H644" s="5">
        <v>3</v>
      </c>
      <c r="I644" s="5">
        <v>38183</v>
      </c>
      <c r="J644" s="10"/>
    </row>
    <row r="645" spans="2:10" x14ac:dyDescent="0.3">
      <c r="B645" s="5" t="str">
        <v>ORD1923</v>
      </c>
      <c r="C645" s="5" t="str">
        <v>Printer</v>
      </c>
      <c r="D645" s="5" t="str">
        <v>Peripherals</v>
      </c>
      <c r="E645" s="5" t="str">
        <v>South</v>
      </c>
      <c r="F645" s="5" t="str">
        <v>Oct-2025</v>
      </c>
      <c r="G645" s="5">
        <v>58704</v>
      </c>
      <c r="H645" s="5">
        <v>9</v>
      </c>
      <c r="I645" s="5">
        <v>35838</v>
      </c>
      <c r="J645" s="10"/>
    </row>
    <row r="646" spans="2:10" x14ac:dyDescent="0.3">
      <c r="B646" s="5" t="str">
        <v>ORD1897</v>
      </c>
      <c r="C646" s="5" t="str">
        <v>Headphones</v>
      </c>
      <c r="D646" s="5" t="str">
        <v>Accessories</v>
      </c>
      <c r="E646" s="5" t="str">
        <v>West</v>
      </c>
      <c r="F646" s="5" t="str">
        <v>May-2025</v>
      </c>
      <c r="G646" s="5">
        <v>58700</v>
      </c>
      <c r="H646" s="5">
        <v>11</v>
      </c>
      <c r="I646" s="5">
        <v>40158</v>
      </c>
      <c r="J646" s="10"/>
    </row>
    <row r="647" spans="2:10" x14ac:dyDescent="0.3">
      <c r="B647" s="5" t="str">
        <v>ORD1679</v>
      </c>
      <c r="C647" s="5" t="str">
        <v>Tablet</v>
      </c>
      <c r="D647" s="5" t="str">
        <v>Electronics</v>
      </c>
      <c r="E647" s="5" t="str">
        <v>West</v>
      </c>
      <c r="F647" s="5" t="str">
        <v>Oct-2025</v>
      </c>
      <c r="G647" s="5">
        <v>58369</v>
      </c>
      <c r="H647" s="5">
        <v>5</v>
      </c>
      <c r="I647" s="5">
        <v>38052</v>
      </c>
      <c r="J647" s="10"/>
    </row>
    <row r="648" spans="2:10" x14ac:dyDescent="0.3">
      <c r="B648" s="5" t="str">
        <v>ORD1362</v>
      </c>
      <c r="C648" s="5" t="str">
        <v>Headphones</v>
      </c>
      <c r="D648" s="5" t="str">
        <v>Accessories</v>
      </c>
      <c r="E648" s="5" t="str">
        <v>West</v>
      </c>
      <c r="F648" s="5" t="str">
        <v>Oct-2025</v>
      </c>
      <c r="G648" s="5">
        <v>58254</v>
      </c>
      <c r="H648" s="5">
        <v>8</v>
      </c>
      <c r="I648" s="5">
        <v>35232</v>
      </c>
      <c r="J648" s="10"/>
    </row>
    <row r="649" spans="2:10" x14ac:dyDescent="0.3">
      <c r="B649" s="5" t="str">
        <v>ORD1098</v>
      </c>
      <c r="C649" s="5" t="str">
        <v>Keyboard</v>
      </c>
      <c r="D649" s="5" t="str">
        <v>Peripherals</v>
      </c>
      <c r="E649" s="5" t="str">
        <v>East</v>
      </c>
      <c r="F649" s="5" t="str">
        <v>Feb-2025</v>
      </c>
      <c r="G649" s="5">
        <v>58156</v>
      </c>
      <c r="H649" s="5">
        <v>15</v>
      </c>
      <c r="I649" s="5">
        <v>42594</v>
      </c>
      <c r="J649" s="10"/>
    </row>
    <row r="650" spans="2:10" x14ac:dyDescent="0.3">
      <c r="B650" s="5" t="str">
        <v>ORD1898</v>
      </c>
      <c r="C650" s="5" t="str">
        <v>Laptop</v>
      </c>
      <c r="D650" s="5" t="str">
        <v>Electronics</v>
      </c>
      <c r="E650" s="5" t="str">
        <v>East</v>
      </c>
      <c r="F650" s="5" t="str">
        <v>Mar-2025</v>
      </c>
      <c r="G650" s="5">
        <v>57684</v>
      </c>
      <c r="H650" s="5">
        <v>6</v>
      </c>
      <c r="I650" s="5">
        <v>40527</v>
      </c>
      <c r="J650" s="10"/>
    </row>
    <row r="651" spans="2:10" x14ac:dyDescent="0.3">
      <c r="B651" s="5" t="str">
        <v>ORD1149</v>
      </c>
      <c r="C651" s="5" t="str">
        <v>Mouse</v>
      </c>
      <c r="D651" s="5" t="str">
        <v>Accessories</v>
      </c>
      <c r="E651" s="5" t="str">
        <v>North</v>
      </c>
      <c r="F651" s="5" t="str">
        <v>Jan-2025</v>
      </c>
      <c r="G651" s="5">
        <v>57679</v>
      </c>
      <c r="H651" s="5">
        <v>13</v>
      </c>
      <c r="I651" s="5">
        <v>42902</v>
      </c>
      <c r="J651" s="10"/>
    </row>
    <row r="652" spans="2:10" x14ac:dyDescent="0.3">
      <c r="B652" s="5" t="str">
        <v>ORD1516</v>
      </c>
      <c r="C652" s="5" t="str">
        <v>Phone</v>
      </c>
      <c r="D652" s="5" t="str">
        <v>Electronics</v>
      </c>
      <c r="E652" s="5" t="str">
        <v>East</v>
      </c>
      <c r="F652" s="5" t="str">
        <v>Oct-2025</v>
      </c>
      <c r="G652" s="5">
        <v>57421</v>
      </c>
      <c r="H652" s="5">
        <v>6</v>
      </c>
      <c r="I652" s="5">
        <v>40376</v>
      </c>
      <c r="J652" s="10"/>
    </row>
    <row r="653" spans="2:10" x14ac:dyDescent="0.3">
      <c r="B653" s="5" t="str">
        <v>ORD1802</v>
      </c>
      <c r="C653" s="5" t="str">
        <v>Keyboard</v>
      </c>
      <c r="D653" s="5" t="str">
        <v>Peripherals</v>
      </c>
      <c r="E653" s="5" t="str">
        <v>East</v>
      </c>
      <c r="F653" s="5" t="str">
        <v>Aug-2025</v>
      </c>
      <c r="G653" s="5">
        <v>57375</v>
      </c>
      <c r="H653" s="5">
        <v>3</v>
      </c>
      <c r="I653" s="5">
        <v>36349</v>
      </c>
      <c r="J653" s="10"/>
    </row>
    <row r="654" spans="2:10" x14ac:dyDescent="0.3">
      <c r="B654" s="5" t="str">
        <v>ORD1748</v>
      </c>
      <c r="C654" s="5" t="str">
        <v>Printer</v>
      </c>
      <c r="D654" s="5" t="str">
        <v>Peripherals</v>
      </c>
      <c r="E654" s="5" t="str">
        <v>North</v>
      </c>
      <c r="F654" s="5" t="str">
        <v>Dec-2025</v>
      </c>
      <c r="G654" s="5">
        <v>57346</v>
      </c>
      <c r="H654" s="5">
        <v>12</v>
      </c>
      <c r="I654" s="5">
        <v>36484</v>
      </c>
      <c r="J654" s="10"/>
    </row>
    <row r="655" spans="2:10" x14ac:dyDescent="0.3">
      <c r="B655" s="5" t="str">
        <v>ORD1224</v>
      </c>
      <c r="C655" s="5" t="str">
        <v>Laptop</v>
      </c>
      <c r="D655" s="5" t="str">
        <v>Electronics</v>
      </c>
      <c r="E655" s="5" t="str">
        <v>North</v>
      </c>
      <c r="F655" s="5" t="str">
        <v>Feb-2025</v>
      </c>
      <c r="G655" s="5">
        <v>57299</v>
      </c>
      <c r="H655" s="5">
        <v>14</v>
      </c>
      <c r="I655" s="5">
        <v>42701</v>
      </c>
      <c r="J655" s="10"/>
    </row>
    <row r="656" spans="2:10" x14ac:dyDescent="0.3">
      <c r="B656" s="5" t="str">
        <v>ORD1707</v>
      </c>
      <c r="C656" s="5" t="str">
        <v>Phone</v>
      </c>
      <c r="D656" s="5" t="str">
        <v>Electronics</v>
      </c>
      <c r="E656" s="5" t="str">
        <v>South</v>
      </c>
      <c r="F656" s="5" t="str">
        <v>Feb-2025</v>
      </c>
      <c r="G656" s="5">
        <v>57219</v>
      </c>
      <c r="H656" s="5">
        <v>3</v>
      </c>
      <c r="I656" s="5">
        <v>35270</v>
      </c>
      <c r="J656" s="10"/>
    </row>
    <row r="657" spans="2:10" x14ac:dyDescent="0.3">
      <c r="B657" s="5" t="str">
        <v>ORD1256</v>
      </c>
      <c r="C657" s="5" t="str">
        <v>Headphones</v>
      </c>
      <c r="D657" s="5" t="str">
        <v>Accessories</v>
      </c>
      <c r="E657" s="5" t="str">
        <v>East</v>
      </c>
      <c r="F657" s="5" t="str">
        <v>Mar-2025</v>
      </c>
      <c r="G657" s="5">
        <v>57215</v>
      </c>
      <c r="H657" s="5">
        <v>14</v>
      </c>
      <c r="I657" s="5">
        <v>41639</v>
      </c>
      <c r="J657" s="10"/>
    </row>
    <row r="658" spans="2:10" x14ac:dyDescent="0.3">
      <c r="B658" s="5" t="str">
        <v>ORD1720</v>
      </c>
      <c r="C658" s="5" t="str">
        <v>Tablet</v>
      </c>
      <c r="D658" s="5" t="str">
        <v>Electronics</v>
      </c>
      <c r="E658" s="5" t="str">
        <v>North</v>
      </c>
      <c r="F658" s="5" t="str">
        <v>Feb-2025</v>
      </c>
      <c r="G658" s="5">
        <v>56820</v>
      </c>
      <c r="H658" s="5">
        <v>9</v>
      </c>
      <c r="I658" s="5">
        <v>37556</v>
      </c>
      <c r="J658" s="10"/>
    </row>
    <row r="659" spans="2:10" x14ac:dyDescent="0.3">
      <c r="B659" s="5" t="str">
        <v>ORD1525</v>
      </c>
      <c r="C659" s="5" t="str">
        <v>Keyboard</v>
      </c>
      <c r="D659" s="5" t="str">
        <v>Peripherals</v>
      </c>
      <c r="E659" s="5" t="str">
        <v>East</v>
      </c>
      <c r="F659" s="5" t="str">
        <v>Apr-2025</v>
      </c>
      <c r="G659" s="5">
        <v>56522</v>
      </c>
      <c r="H659" s="5">
        <v>1</v>
      </c>
      <c r="I659" s="5">
        <v>41599</v>
      </c>
      <c r="J659" s="10"/>
    </row>
    <row r="660" spans="2:10" x14ac:dyDescent="0.3">
      <c r="B660" s="5" t="str">
        <v>ORD1974</v>
      </c>
      <c r="C660" s="5" t="str">
        <v>Printer</v>
      </c>
      <c r="D660" s="5" t="str">
        <v>Peripherals</v>
      </c>
      <c r="E660" s="5" t="str">
        <v>North</v>
      </c>
      <c r="F660" s="5" t="str">
        <v>Aug-2025</v>
      </c>
      <c r="G660" s="5">
        <v>56412</v>
      </c>
      <c r="H660" s="5">
        <v>5</v>
      </c>
      <c r="I660" s="5">
        <v>37150</v>
      </c>
      <c r="J660" s="10"/>
    </row>
    <row r="661" spans="2:10" x14ac:dyDescent="0.3">
      <c r="B661" s="5" t="str">
        <v>ORD1940</v>
      </c>
      <c r="C661" s="5" t="str">
        <v>Phone</v>
      </c>
      <c r="D661" s="5" t="str">
        <v>Electronics</v>
      </c>
      <c r="E661" s="5" t="str">
        <v>North</v>
      </c>
      <c r="F661" s="5" t="str">
        <v>Mar-2025</v>
      </c>
      <c r="G661" s="5">
        <v>56354</v>
      </c>
      <c r="H661" s="5">
        <v>2</v>
      </c>
      <c r="I661" s="5">
        <v>35475</v>
      </c>
      <c r="J661" s="10"/>
    </row>
    <row r="662" spans="2:10" x14ac:dyDescent="0.3">
      <c r="B662" s="5" t="str">
        <v>ORD1329</v>
      </c>
      <c r="C662" s="5" t="str">
        <v>Monitor</v>
      </c>
      <c r="D662" s="5" t="str">
        <v>Peripherals</v>
      </c>
      <c r="E662" s="5" t="str">
        <v>South</v>
      </c>
      <c r="F662" s="5" t="str">
        <v>Aug-2025</v>
      </c>
      <c r="G662" s="5">
        <v>56331</v>
      </c>
      <c r="H662" s="5">
        <v>7</v>
      </c>
      <c r="I662" s="5">
        <v>35020</v>
      </c>
      <c r="J662" s="10"/>
    </row>
    <row r="663" spans="2:10" x14ac:dyDescent="0.3">
      <c r="B663" s="5" t="str">
        <v>ORD1040</v>
      </c>
      <c r="C663" s="5" t="str">
        <v>Mouse</v>
      </c>
      <c r="D663" s="5" t="str">
        <v>Accessories</v>
      </c>
      <c r="E663" s="5" t="str">
        <v>West</v>
      </c>
      <c r="F663" s="5" t="str">
        <v>Dec-2025</v>
      </c>
      <c r="G663" s="5">
        <v>56280</v>
      </c>
      <c r="H663" s="5">
        <v>7</v>
      </c>
      <c r="I663" s="5">
        <v>39646</v>
      </c>
      <c r="J663" s="10"/>
    </row>
    <row r="664" spans="2:10" x14ac:dyDescent="0.3">
      <c r="B664" s="5" t="str">
        <v>ORD1561</v>
      </c>
      <c r="C664" s="5" t="str">
        <v>Monitor</v>
      </c>
      <c r="D664" s="5" t="str">
        <v>Peripherals</v>
      </c>
      <c r="E664" s="5" t="str">
        <v>East</v>
      </c>
      <c r="F664" s="5" t="str">
        <v>Jul-2025</v>
      </c>
      <c r="G664" s="5">
        <v>56237</v>
      </c>
      <c r="H664" s="5">
        <v>15</v>
      </c>
      <c r="I664" s="5">
        <v>35931</v>
      </c>
      <c r="J664" s="10"/>
    </row>
    <row r="665" spans="2:10" x14ac:dyDescent="0.3">
      <c r="B665" s="5" t="str">
        <v>ORD1447</v>
      </c>
      <c r="C665" s="5" t="str">
        <v>Keyboard</v>
      </c>
      <c r="D665" s="5" t="str">
        <v>Peripherals</v>
      </c>
      <c r="E665" s="5" t="str">
        <v>West</v>
      </c>
      <c r="F665" s="5" t="str">
        <v>Mar-2025</v>
      </c>
      <c r="G665" s="5">
        <v>56182</v>
      </c>
      <c r="H665" s="5">
        <v>9</v>
      </c>
      <c r="I665" s="5">
        <v>41482</v>
      </c>
      <c r="J665" s="10"/>
    </row>
    <row r="666" spans="2:10" x14ac:dyDescent="0.3">
      <c r="B666" s="5" t="str">
        <v>ORD1212</v>
      </c>
      <c r="C666" s="5" t="str">
        <v>Mouse</v>
      </c>
      <c r="D666" s="5" t="str">
        <v>Accessories</v>
      </c>
      <c r="E666" s="5" t="str">
        <v>East</v>
      </c>
      <c r="F666" s="5" t="str">
        <v>Sep-2025</v>
      </c>
      <c r="G666" s="5">
        <v>56122</v>
      </c>
      <c r="H666" s="5">
        <v>1</v>
      </c>
      <c r="I666" s="5">
        <v>40582</v>
      </c>
      <c r="J666" s="10"/>
    </row>
    <row r="667" spans="2:10" x14ac:dyDescent="0.3">
      <c r="B667" s="5" t="str">
        <v>ORD1027</v>
      </c>
      <c r="C667" s="5" t="str">
        <v>Phone</v>
      </c>
      <c r="D667" s="5" t="str">
        <v>Electronics</v>
      </c>
      <c r="E667" s="5" t="str">
        <v>East</v>
      </c>
      <c r="F667" s="5" t="str">
        <v>Jun-2025</v>
      </c>
      <c r="G667" s="5">
        <v>55810</v>
      </c>
      <c r="H667" s="5">
        <v>13</v>
      </c>
      <c r="I667" s="5">
        <v>35838</v>
      </c>
      <c r="J667" s="10"/>
    </row>
    <row r="668" spans="2:10" x14ac:dyDescent="0.3">
      <c r="B668" s="5" t="str">
        <v>ORD1762</v>
      </c>
      <c r="C668" s="5" t="str">
        <v>Phone</v>
      </c>
      <c r="D668" s="5" t="str">
        <v>Electronics</v>
      </c>
      <c r="E668" s="5" t="str">
        <v>West</v>
      </c>
      <c r="F668" s="5" t="str">
        <v>Nov-2025</v>
      </c>
      <c r="G668" s="5">
        <v>55689</v>
      </c>
      <c r="H668" s="5">
        <v>11</v>
      </c>
      <c r="I668" s="5">
        <v>38288</v>
      </c>
      <c r="J668" s="10"/>
    </row>
    <row r="669" spans="2:10" x14ac:dyDescent="0.3">
      <c r="B669" s="5" t="str">
        <v>ORD1266</v>
      </c>
      <c r="C669" s="5" t="str">
        <v>Tablet</v>
      </c>
      <c r="D669" s="5" t="str">
        <v>Electronics</v>
      </c>
      <c r="E669" s="5" t="str">
        <v>South</v>
      </c>
      <c r="F669" s="5" t="str">
        <v>Feb-2025</v>
      </c>
      <c r="G669" s="5">
        <v>55546</v>
      </c>
      <c r="H669" s="5">
        <v>4</v>
      </c>
      <c r="I669" s="5">
        <v>35635</v>
      </c>
      <c r="J669" s="10"/>
    </row>
    <row r="670" spans="2:10" x14ac:dyDescent="0.3">
      <c r="B670" s="5" t="str">
        <v>ORD1355</v>
      </c>
      <c r="C670" s="5" t="str">
        <v>Keyboard</v>
      </c>
      <c r="D670" s="5" t="str">
        <v>Peripherals</v>
      </c>
      <c r="E670" s="5" t="str">
        <v>South</v>
      </c>
      <c r="F670" s="5" t="str">
        <v>Feb-2025</v>
      </c>
      <c r="G670" s="5">
        <v>55287</v>
      </c>
      <c r="H670" s="5">
        <v>14</v>
      </c>
      <c r="I670" s="5">
        <v>40903</v>
      </c>
      <c r="J670" s="10"/>
    </row>
    <row r="671" spans="2:10" x14ac:dyDescent="0.3">
      <c r="B671" s="5" t="str">
        <v>ORD1130</v>
      </c>
      <c r="C671" s="5" t="str">
        <v>Laptop</v>
      </c>
      <c r="D671" s="5" t="str">
        <v>Electronics</v>
      </c>
      <c r="E671" s="5" t="str">
        <v>East</v>
      </c>
      <c r="F671" s="5" t="str">
        <v>Jul-2025</v>
      </c>
      <c r="G671" s="5">
        <v>55186</v>
      </c>
      <c r="H671" s="5">
        <v>13</v>
      </c>
      <c r="I671" s="5">
        <v>41211</v>
      </c>
      <c r="J671" s="10"/>
    </row>
    <row r="672" spans="2:10" x14ac:dyDescent="0.3">
      <c r="B672" s="5" t="str">
        <v>ORD1497</v>
      </c>
      <c r="C672" s="5" t="str">
        <v>Phone</v>
      </c>
      <c r="D672" s="5" t="str">
        <v>Electronics</v>
      </c>
      <c r="E672" s="5" t="str">
        <v>South</v>
      </c>
      <c r="F672" s="5" t="str">
        <v>Feb-2025</v>
      </c>
      <c r="G672" s="5">
        <v>55152</v>
      </c>
      <c r="H672" s="5">
        <v>7</v>
      </c>
      <c r="I672" s="5">
        <v>34933</v>
      </c>
      <c r="J672" s="10"/>
    </row>
    <row r="673" spans="2:10" x14ac:dyDescent="0.3">
      <c r="B673" s="5" t="str">
        <v>ORD1252</v>
      </c>
      <c r="C673" s="5" t="str">
        <v>Printer</v>
      </c>
      <c r="D673" s="5" t="str">
        <v>Peripherals</v>
      </c>
      <c r="E673" s="5" t="str">
        <v>West</v>
      </c>
      <c r="F673" s="5" t="str">
        <v>Jan-2025</v>
      </c>
      <c r="G673" s="5">
        <v>55033</v>
      </c>
      <c r="H673" s="5">
        <v>1</v>
      </c>
      <c r="I673" s="5">
        <v>35934</v>
      </c>
      <c r="J673" s="10"/>
    </row>
    <row r="674" spans="2:10" x14ac:dyDescent="0.3">
      <c r="B674" s="5" t="str">
        <v>ORD1332</v>
      </c>
      <c r="C674" s="5" t="str">
        <v>Mouse</v>
      </c>
      <c r="D674" s="5" t="str">
        <v>Accessories</v>
      </c>
      <c r="E674" s="5" t="str">
        <v>East</v>
      </c>
      <c r="F674" s="5" t="str">
        <v>Feb-2025</v>
      </c>
      <c r="G674" s="5">
        <v>54867</v>
      </c>
      <c r="H674" s="5">
        <v>12</v>
      </c>
      <c r="I674" s="5">
        <v>33146</v>
      </c>
      <c r="J674" s="10"/>
    </row>
    <row r="675" spans="2:10" x14ac:dyDescent="0.3">
      <c r="B675" s="5" t="str">
        <v>ORD1469</v>
      </c>
      <c r="C675" s="5" t="str">
        <v>Mouse</v>
      </c>
      <c r="D675" s="5" t="str">
        <v>Accessories</v>
      </c>
      <c r="E675" s="5" t="str">
        <v>North</v>
      </c>
      <c r="F675" s="5" t="str">
        <v>Sep-2025</v>
      </c>
      <c r="G675" s="5">
        <v>54784</v>
      </c>
      <c r="H675" s="5">
        <v>7</v>
      </c>
      <c r="I675" s="5">
        <v>37608</v>
      </c>
      <c r="J675" s="10"/>
    </row>
    <row r="676" spans="2:10" x14ac:dyDescent="0.3">
      <c r="B676" s="5" t="str">
        <v>ORD1437</v>
      </c>
      <c r="C676" s="5" t="str">
        <v>Mouse</v>
      </c>
      <c r="D676" s="5" t="str">
        <v>Accessories</v>
      </c>
      <c r="E676" s="5" t="str">
        <v>North</v>
      </c>
      <c r="F676" s="5" t="str">
        <v>Mar-2025</v>
      </c>
      <c r="G676" s="5">
        <v>54696</v>
      </c>
      <c r="H676" s="5">
        <v>12</v>
      </c>
      <c r="I676" s="5">
        <v>38708</v>
      </c>
      <c r="J676" s="10"/>
    </row>
    <row r="677" spans="2:10" x14ac:dyDescent="0.3">
      <c r="B677" s="5" t="str">
        <v>ORD1888</v>
      </c>
      <c r="C677" s="5" t="str">
        <v>Monitor</v>
      </c>
      <c r="D677" s="5" t="str">
        <v>Peripherals</v>
      </c>
      <c r="E677" s="5" t="str">
        <v>West</v>
      </c>
      <c r="F677" s="5" t="str">
        <v>Mar-2025</v>
      </c>
      <c r="G677" s="5">
        <v>54613</v>
      </c>
      <c r="H677" s="5">
        <v>7</v>
      </c>
      <c r="I677" s="5">
        <v>40580</v>
      </c>
      <c r="J677" s="10"/>
    </row>
    <row r="678" spans="2:10" x14ac:dyDescent="0.3">
      <c r="B678" s="5" t="str">
        <v>ORD1562</v>
      </c>
      <c r="C678" s="5" t="str">
        <v>Headphones</v>
      </c>
      <c r="D678" s="5" t="str">
        <v>Accessories</v>
      </c>
      <c r="E678" s="5" t="str">
        <v>North</v>
      </c>
      <c r="F678" s="5" t="str">
        <v>Aug-2025</v>
      </c>
      <c r="G678" s="5">
        <v>54484</v>
      </c>
      <c r="H678" s="5">
        <v>13</v>
      </c>
      <c r="I678" s="5">
        <v>39715</v>
      </c>
      <c r="J678" s="10"/>
    </row>
    <row r="679" spans="2:10" x14ac:dyDescent="0.3">
      <c r="B679" s="5" t="str">
        <v>ORD1838</v>
      </c>
      <c r="C679" s="5" t="str">
        <v>Phone</v>
      </c>
      <c r="D679" s="5" t="str">
        <v>Electronics</v>
      </c>
      <c r="E679" s="5" t="str">
        <v>North</v>
      </c>
      <c r="F679" s="5" t="str">
        <v>Oct-2025</v>
      </c>
      <c r="G679" s="5">
        <v>54455</v>
      </c>
      <c r="H679" s="5">
        <v>3</v>
      </c>
      <c r="I679" s="5">
        <v>36788</v>
      </c>
      <c r="J679" s="10"/>
    </row>
    <row r="680" spans="2:10" x14ac:dyDescent="0.3">
      <c r="B680" s="5" t="str">
        <v>ORD1920</v>
      </c>
      <c r="C680" s="5" t="str">
        <v>Tablet</v>
      </c>
      <c r="D680" s="5" t="str">
        <v>Electronics</v>
      </c>
      <c r="E680" s="5" t="str">
        <v>North</v>
      </c>
      <c r="F680" s="5" t="str">
        <v>Jul-2025</v>
      </c>
      <c r="G680" s="5">
        <v>54376</v>
      </c>
      <c r="H680" s="5">
        <v>13</v>
      </c>
      <c r="I680" s="5">
        <v>40014</v>
      </c>
      <c r="J680" s="10"/>
    </row>
    <row r="681" spans="2:10" x14ac:dyDescent="0.3">
      <c r="B681" s="5" t="str">
        <v>ORD1979</v>
      </c>
      <c r="C681" s="5" t="str">
        <v>Mouse</v>
      </c>
      <c r="D681" s="5" t="str">
        <v>Accessories</v>
      </c>
      <c r="E681" s="5" t="str">
        <v>West</v>
      </c>
      <c r="F681" s="5" t="str">
        <v>Oct-2025</v>
      </c>
      <c r="G681" s="5">
        <v>54036</v>
      </c>
      <c r="H681" s="5">
        <v>11</v>
      </c>
      <c r="I681" s="5">
        <v>33406</v>
      </c>
      <c r="J681" s="10"/>
    </row>
    <row r="682" spans="2:10" x14ac:dyDescent="0.3">
      <c r="B682" s="5" t="str">
        <v>ORD1654</v>
      </c>
      <c r="C682" s="5" t="str">
        <v>Keyboard</v>
      </c>
      <c r="D682" s="5" t="str">
        <v>Peripherals</v>
      </c>
      <c r="E682" s="5" t="str">
        <v>East</v>
      </c>
      <c r="F682" s="5" t="str">
        <v>Oct-2025</v>
      </c>
      <c r="G682" s="5">
        <v>53972</v>
      </c>
      <c r="H682" s="5">
        <v>10</v>
      </c>
      <c r="I682" s="5">
        <v>34144</v>
      </c>
      <c r="J682" s="10"/>
    </row>
    <row r="683" spans="2:10" x14ac:dyDescent="0.3">
      <c r="B683" s="5" t="str">
        <v>ORD1597</v>
      </c>
      <c r="C683" s="5" t="str">
        <v>Laptop</v>
      </c>
      <c r="D683" s="5" t="str">
        <v>Electronics</v>
      </c>
      <c r="E683" s="5" t="str">
        <v>North</v>
      </c>
      <c r="F683" s="5" t="str">
        <v>Jul-2025</v>
      </c>
      <c r="G683" s="5">
        <v>53479</v>
      </c>
      <c r="H683" s="5">
        <v>2</v>
      </c>
      <c r="I683" s="5">
        <v>39925</v>
      </c>
      <c r="J683" s="10"/>
    </row>
    <row r="684" spans="2:10" x14ac:dyDescent="0.3">
      <c r="B684" s="5" t="str">
        <v>ORD1993</v>
      </c>
      <c r="C684" s="5" t="str">
        <v>Laptop</v>
      </c>
      <c r="D684" s="5" t="str">
        <v>Electronics</v>
      </c>
      <c r="E684" s="5" t="str">
        <v>North</v>
      </c>
      <c r="F684" s="5" t="str">
        <v>Jun-2025</v>
      </c>
      <c r="G684" s="5">
        <v>53321</v>
      </c>
      <c r="H684" s="5">
        <v>3</v>
      </c>
      <c r="I684" s="5">
        <v>32658</v>
      </c>
      <c r="J684" s="10"/>
    </row>
    <row r="685" spans="2:10" x14ac:dyDescent="0.3">
      <c r="B685" s="5" t="str">
        <v>ORD1987</v>
      </c>
      <c r="C685" s="5" t="str">
        <v>Phone</v>
      </c>
      <c r="D685" s="5" t="str">
        <v>Electronics</v>
      </c>
      <c r="E685" s="5" t="str">
        <v>East</v>
      </c>
      <c r="F685" s="5" t="str">
        <v>Sep-2025</v>
      </c>
      <c r="G685" s="5">
        <v>53137</v>
      </c>
      <c r="H685" s="5">
        <v>2</v>
      </c>
      <c r="I685" s="5">
        <v>36170</v>
      </c>
      <c r="J685" s="10"/>
    </row>
    <row r="686" spans="2:10" x14ac:dyDescent="0.3">
      <c r="B686" s="5" t="str">
        <v>ORD1674</v>
      </c>
      <c r="C686" s="5" t="str">
        <v>Keyboard</v>
      </c>
      <c r="D686" s="5" t="str">
        <v>Peripherals</v>
      </c>
      <c r="E686" s="5" t="str">
        <v>South</v>
      </c>
      <c r="F686" s="5" t="str">
        <v>Nov-2025</v>
      </c>
      <c r="G686" s="5">
        <v>52830</v>
      </c>
      <c r="H686" s="5">
        <v>4</v>
      </c>
      <c r="I686" s="5">
        <v>31860</v>
      </c>
      <c r="J686" s="10"/>
    </row>
    <row r="687" spans="2:10" x14ac:dyDescent="0.3">
      <c r="B687" s="5" t="str">
        <v>ORD1404</v>
      </c>
      <c r="C687" s="5" t="str">
        <v>Printer</v>
      </c>
      <c r="D687" s="5" t="str">
        <v>Peripherals</v>
      </c>
      <c r="E687" s="5" t="str">
        <v>West</v>
      </c>
      <c r="F687" s="5" t="str">
        <v>May-2025</v>
      </c>
      <c r="G687" s="5">
        <v>52716</v>
      </c>
      <c r="H687" s="5">
        <v>10</v>
      </c>
      <c r="I687" s="5">
        <v>37317</v>
      </c>
      <c r="J687" s="10"/>
    </row>
    <row r="688" spans="2:10" x14ac:dyDescent="0.3">
      <c r="B688" s="5" t="str">
        <v>ORD1721</v>
      </c>
      <c r="C688" s="5" t="str">
        <v>Keyboard</v>
      </c>
      <c r="D688" s="5" t="str">
        <v>Peripherals</v>
      </c>
      <c r="E688" s="5" t="str">
        <v>North</v>
      </c>
      <c r="F688" s="5" t="str">
        <v>Nov-2025</v>
      </c>
      <c r="G688" s="5">
        <v>52495</v>
      </c>
      <c r="H688" s="5">
        <v>6</v>
      </c>
      <c r="I688" s="5">
        <v>35835</v>
      </c>
      <c r="J688" s="10"/>
    </row>
    <row r="689" spans="2:10" x14ac:dyDescent="0.3">
      <c r="B689" s="5" t="str">
        <v>ORD1714</v>
      </c>
      <c r="C689" s="5" t="str">
        <v>Phone</v>
      </c>
      <c r="D689" s="5" t="str">
        <v>Electronics</v>
      </c>
      <c r="E689" s="5" t="str">
        <v>North</v>
      </c>
      <c r="F689" s="5" t="str">
        <v>Jul-2025</v>
      </c>
      <c r="G689" s="5">
        <v>52219</v>
      </c>
      <c r="H689" s="5">
        <v>6</v>
      </c>
      <c r="I689" s="5">
        <v>34401</v>
      </c>
      <c r="J689" s="10"/>
    </row>
    <row r="690" spans="2:10" x14ac:dyDescent="0.3">
      <c r="B690" s="5" t="str">
        <v>ORD1822</v>
      </c>
      <c r="C690" s="5" t="str">
        <v>Printer</v>
      </c>
      <c r="D690" s="5" t="str">
        <v>Peripherals</v>
      </c>
      <c r="E690" s="5" t="str">
        <v>West</v>
      </c>
      <c r="F690" s="5" t="str">
        <v>Nov-2025</v>
      </c>
      <c r="G690" s="5">
        <v>51834</v>
      </c>
      <c r="H690" s="5">
        <v>8</v>
      </c>
      <c r="I690" s="5">
        <v>38436</v>
      </c>
      <c r="J690" s="10"/>
    </row>
    <row r="691" spans="2:10" x14ac:dyDescent="0.3">
      <c r="B691" s="5" t="str">
        <v>ORD1806</v>
      </c>
      <c r="C691" s="5" t="str">
        <v>Headphones</v>
      </c>
      <c r="D691" s="5" t="str">
        <v>Accessories</v>
      </c>
      <c r="E691" s="5" t="str">
        <v>West</v>
      </c>
      <c r="F691" s="5" t="str">
        <v>Jul-2025</v>
      </c>
      <c r="G691" s="5">
        <v>51727</v>
      </c>
      <c r="H691" s="5">
        <v>3</v>
      </c>
      <c r="I691" s="5">
        <v>33730</v>
      </c>
      <c r="J691" s="10"/>
    </row>
    <row r="692" spans="2:10" x14ac:dyDescent="0.3">
      <c r="B692" s="5" t="str">
        <v>ORD1251</v>
      </c>
      <c r="C692" s="5" t="str">
        <v>Headphones</v>
      </c>
      <c r="D692" s="5" t="str">
        <v>Accessories</v>
      </c>
      <c r="E692" s="5" t="str">
        <v>West</v>
      </c>
      <c r="F692" s="5" t="str">
        <v>Feb-2025</v>
      </c>
      <c r="G692" s="5">
        <v>51497</v>
      </c>
      <c r="H692" s="5">
        <v>11</v>
      </c>
      <c r="I692" s="5">
        <v>35680</v>
      </c>
      <c r="J692" s="10"/>
    </row>
    <row r="693" spans="2:10" x14ac:dyDescent="0.3">
      <c r="B693" s="5" t="str">
        <v>ORD1807</v>
      </c>
      <c r="C693" s="5" t="str">
        <v>Headphones</v>
      </c>
      <c r="D693" s="5" t="str">
        <v>Accessories</v>
      </c>
      <c r="E693" s="5" t="str">
        <v>East</v>
      </c>
      <c r="F693" s="5" t="str">
        <v>Sep-2025</v>
      </c>
      <c r="G693" s="5">
        <v>51489</v>
      </c>
      <c r="H693" s="5">
        <v>2</v>
      </c>
      <c r="I693" s="5">
        <v>32934</v>
      </c>
      <c r="J693" s="10"/>
    </row>
    <row r="694" spans="2:10" x14ac:dyDescent="0.3">
      <c r="B694" s="5" t="str">
        <v>ORD1981</v>
      </c>
      <c r="C694" s="5" t="str">
        <v>Mouse</v>
      </c>
      <c r="D694" s="5" t="str">
        <v>Accessories</v>
      </c>
      <c r="E694" s="5" t="str">
        <v>South</v>
      </c>
      <c r="F694" s="5" t="str">
        <v>Mar-2025</v>
      </c>
      <c r="G694" s="5">
        <v>51165</v>
      </c>
      <c r="H694" s="5">
        <v>2</v>
      </c>
      <c r="I694" s="5">
        <v>33801</v>
      </c>
      <c r="J694" s="10"/>
    </row>
    <row r="695" spans="2:10" x14ac:dyDescent="0.3">
      <c r="B695" s="5" t="str">
        <v>ORD1169</v>
      </c>
      <c r="C695" s="5" t="str">
        <v>Tablet</v>
      </c>
      <c r="D695" s="5" t="str">
        <v>Electronics</v>
      </c>
      <c r="E695" s="5" t="str">
        <v>South</v>
      </c>
      <c r="F695" s="5" t="str">
        <v>Jan-2025</v>
      </c>
      <c r="G695" s="5">
        <v>50893</v>
      </c>
      <c r="H695" s="5">
        <v>4</v>
      </c>
      <c r="I695" s="5">
        <v>31531</v>
      </c>
      <c r="J695" s="10"/>
    </row>
    <row r="696" spans="2:10" x14ac:dyDescent="0.3">
      <c r="B696" s="5" t="str">
        <v>ORD1449</v>
      </c>
      <c r="C696" s="5" t="str">
        <v>Printer</v>
      </c>
      <c r="D696" s="5" t="str">
        <v>Peripherals</v>
      </c>
      <c r="E696" s="5" t="str">
        <v>West</v>
      </c>
      <c r="F696" s="5" t="str">
        <v>Nov-2025</v>
      </c>
      <c r="G696" s="5">
        <v>50860</v>
      </c>
      <c r="H696" s="5">
        <v>5</v>
      </c>
      <c r="I696" s="5">
        <v>33414</v>
      </c>
      <c r="J696" s="10"/>
    </row>
    <row r="697" spans="2:10" x14ac:dyDescent="0.3">
      <c r="B697" s="5" t="str">
        <v>ORD1193</v>
      </c>
      <c r="C697" s="5" t="str">
        <v>Keyboard</v>
      </c>
      <c r="D697" s="5" t="str">
        <v>Peripherals</v>
      </c>
      <c r="E697" s="5" t="str">
        <v>East</v>
      </c>
      <c r="F697" s="5" t="str">
        <v>Jun-2025</v>
      </c>
      <c r="G697" s="5">
        <v>50586</v>
      </c>
      <c r="H697" s="5">
        <v>1</v>
      </c>
      <c r="I697" s="5">
        <v>31267</v>
      </c>
      <c r="J697" s="10"/>
    </row>
    <row r="698" spans="2:10" x14ac:dyDescent="0.3">
      <c r="B698" s="5" t="str">
        <v>ORD1678</v>
      </c>
      <c r="C698" s="5" t="str">
        <v>Keyboard</v>
      </c>
      <c r="D698" s="5" t="str">
        <v>Peripherals</v>
      </c>
      <c r="E698" s="5" t="str">
        <v>West</v>
      </c>
      <c r="F698" s="5" t="str">
        <v>Sep-2025</v>
      </c>
      <c r="G698" s="5">
        <v>50513</v>
      </c>
      <c r="H698" s="5">
        <v>5</v>
      </c>
      <c r="I698" s="5">
        <v>30814</v>
      </c>
      <c r="J698" s="10"/>
    </row>
    <row r="699" spans="2:10" x14ac:dyDescent="0.3">
      <c r="B699" s="5" t="str">
        <v>ORD1313</v>
      </c>
      <c r="C699" s="5" t="str">
        <v>Monitor</v>
      </c>
      <c r="D699" s="5" t="str">
        <v>Peripherals</v>
      </c>
      <c r="E699" s="5" t="str">
        <v>East</v>
      </c>
      <c r="F699" s="5" t="str">
        <v>Sep-2025</v>
      </c>
      <c r="G699" s="5">
        <v>50452</v>
      </c>
      <c r="H699" s="5">
        <v>8</v>
      </c>
      <c r="I699" s="5">
        <v>30948</v>
      </c>
      <c r="J699" s="10"/>
    </row>
    <row r="700" spans="2:10" x14ac:dyDescent="0.3">
      <c r="B700" s="5" t="str">
        <v>ORD1118</v>
      </c>
      <c r="C700" s="5" t="str">
        <v>Laptop</v>
      </c>
      <c r="D700" s="5" t="str">
        <v>Electronics</v>
      </c>
      <c r="E700" s="5" t="str">
        <v>North</v>
      </c>
      <c r="F700" s="5" t="str">
        <v>Feb-2025</v>
      </c>
      <c r="G700" s="5">
        <v>50441</v>
      </c>
      <c r="H700" s="5">
        <v>8</v>
      </c>
      <c r="I700" s="5">
        <v>37392</v>
      </c>
      <c r="J700" s="10"/>
    </row>
    <row r="701" spans="2:10" x14ac:dyDescent="0.3">
      <c r="B701" s="5" t="str">
        <v>ORD1462</v>
      </c>
      <c r="C701" s="5" t="str">
        <v>Mouse</v>
      </c>
      <c r="D701" s="5" t="str">
        <v>Accessories</v>
      </c>
      <c r="E701" s="5" t="str">
        <v>South</v>
      </c>
      <c r="F701" s="5" t="str">
        <v>Sep-2025</v>
      </c>
      <c r="G701" s="5">
        <v>50430</v>
      </c>
      <c r="H701" s="5">
        <v>12</v>
      </c>
      <c r="I701" s="5">
        <v>36402</v>
      </c>
      <c r="J701" s="10"/>
    </row>
    <row r="702" spans="2:10" x14ac:dyDescent="0.3">
      <c r="B702" s="5" t="str">
        <v>ORD1368</v>
      </c>
      <c r="C702" s="5" t="str">
        <v>Keyboard</v>
      </c>
      <c r="D702" s="5" t="str">
        <v>Peripherals</v>
      </c>
      <c r="E702" s="5" t="str">
        <v>North</v>
      </c>
      <c r="F702" s="5" t="str">
        <v>Aug-2025</v>
      </c>
      <c r="G702" s="5">
        <v>50373</v>
      </c>
      <c r="H702" s="5">
        <v>2</v>
      </c>
      <c r="I702" s="5">
        <v>34524</v>
      </c>
      <c r="J702" s="10"/>
    </row>
    <row r="703" spans="2:10" x14ac:dyDescent="0.3">
      <c r="B703" s="5" t="str">
        <v>ORD1686</v>
      </c>
      <c r="C703" s="5" t="str">
        <v>Monitor</v>
      </c>
      <c r="D703" s="5" t="str">
        <v>Peripherals</v>
      </c>
      <c r="E703" s="5" t="str">
        <v>South</v>
      </c>
      <c r="F703" s="5" t="str">
        <v>May-2025</v>
      </c>
      <c r="G703" s="5">
        <v>49680</v>
      </c>
      <c r="H703" s="5">
        <v>5</v>
      </c>
      <c r="I703" s="5">
        <v>30902</v>
      </c>
      <c r="J703" s="10"/>
    </row>
    <row r="704" spans="2:10" x14ac:dyDescent="0.3">
      <c r="B704" s="5" t="str">
        <v>ORD1513</v>
      </c>
      <c r="C704" s="5" t="str">
        <v>Monitor</v>
      </c>
      <c r="D704" s="5" t="str">
        <v>Peripherals</v>
      </c>
      <c r="E704" s="5" t="str">
        <v>North</v>
      </c>
      <c r="F704" s="5" t="str">
        <v>Oct-2025</v>
      </c>
      <c r="G704" s="5">
        <v>49643</v>
      </c>
      <c r="H704" s="5">
        <v>10</v>
      </c>
      <c r="I704" s="5">
        <v>36873</v>
      </c>
      <c r="J704" s="10"/>
    </row>
    <row r="705" spans="2:10" x14ac:dyDescent="0.3">
      <c r="B705" s="5" t="str">
        <v>ORD1072</v>
      </c>
      <c r="C705" s="5" t="str">
        <v>Laptop</v>
      </c>
      <c r="D705" s="5" t="str">
        <v>Electronics</v>
      </c>
      <c r="E705" s="5" t="str">
        <v>North</v>
      </c>
      <c r="F705" s="5" t="str">
        <v>Jan-2025</v>
      </c>
      <c r="G705" s="5">
        <v>49568</v>
      </c>
      <c r="H705" s="5">
        <v>1</v>
      </c>
      <c r="I705" s="5">
        <v>36977</v>
      </c>
      <c r="J705" s="10"/>
    </row>
    <row r="706" spans="2:10" x14ac:dyDescent="0.3">
      <c r="B706" s="5" t="str">
        <v>ORD1956</v>
      </c>
      <c r="C706" s="5" t="str">
        <v>Tablet</v>
      </c>
      <c r="D706" s="5" t="str">
        <v>Electronics</v>
      </c>
      <c r="E706" s="5" t="str">
        <v>North</v>
      </c>
      <c r="F706" s="5" t="str">
        <v>Mar-2025</v>
      </c>
      <c r="G706" s="5">
        <v>49493</v>
      </c>
      <c r="H706" s="5">
        <v>3</v>
      </c>
      <c r="I706" s="5">
        <v>33597</v>
      </c>
      <c r="J706" s="10"/>
    </row>
    <row r="707" spans="2:10" x14ac:dyDescent="0.3">
      <c r="B707" s="5" t="str">
        <v>ORD1708</v>
      </c>
      <c r="C707" s="5" t="str">
        <v>Mouse</v>
      </c>
      <c r="D707" s="5" t="str">
        <v>Accessories</v>
      </c>
      <c r="E707" s="5" t="str">
        <v>South</v>
      </c>
      <c r="F707" s="5" t="str">
        <v>Jan-2025</v>
      </c>
      <c r="G707" s="5">
        <v>49444</v>
      </c>
      <c r="H707" s="5">
        <v>3</v>
      </c>
      <c r="I707" s="5">
        <v>34150</v>
      </c>
      <c r="J707" s="10"/>
    </row>
    <row r="708" spans="2:10" x14ac:dyDescent="0.3">
      <c r="B708" s="5" t="str">
        <v>ORD1396</v>
      </c>
      <c r="C708" s="5" t="str">
        <v>Tablet</v>
      </c>
      <c r="D708" s="5" t="str">
        <v>Electronics</v>
      </c>
      <c r="E708" s="5" t="str">
        <v>South</v>
      </c>
      <c r="F708" s="5" t="str">
        <v>Oct-2025</v>
      </c>
      <c r="G708" s="5">
        <v>49279</v>
      </c>
      <c r="H708" s="5">
        <v>12</v>
      </c>
      <c r="I708" s="5">
        <v>30684</v>
      </c>
      <c r="J708" s="10"/>
    </row>
    <row r="709" spans="2:10" x14ac:dyDescent="0.3">
      <c r="B709" s="5" t="str">
        <v>ORD1743</v>
      </c>
      <c r="C709" s="5" t="str">
        <v>Tablet</v>
      </c>
      <c r="D709" s="5" t="str">
        <v>Electronics</v>
      </c>
      <c r="E709" s="5" t="str">
        <v>East</v>
      </c>
      <c r="F709" s="5" t="str">
        <v>May-2025</v>
      </c>
      <c r="G709" s="5">
        <v>49275</v>
      </c>
      <c r="H709" s="5">
        <v>7</v>
      </c>
      <c r="I709" s="5">
        <v>36116</v>
      </c>
      <c r="J709" s="10"/>
    </row>
    <row r="710" spans="2:10" x14ac:dyDescent="0.3">
      <c r="B710" s="5" t="str">
        <v>ORD1770</v>
      </c>
      <c r="C710" s="5" t="str">
        <v>Tablet</v>
      </c>
      <c r="D710" s="5" t="str">
        <v>Electronics</v>
      </c>
      <c r="E710" s="5" t="str">
        <v>South</v>
      </c>
      <c r="F710" s="5" t="str">
        <v>Dec-2025</v>
      </c>
      <c r="G710" s="5">
        <v>49244</v>
      </c>
      <c r="H710" s="5">
        <v>3</v>
      </c>
      <c r="I710" s="5">
        <v>32665</v>
      </c>
      <c r="J710" s="10"/>
    </row>
    <row r="711" spans="2:10" x14ac:dyDescent="0.3">
      <c r="B711" s="5" t="str">
        <v>ORD1798</v>
      </c>
      <c r="C711" s="5" t="str">
        <v>Mouse</v>
      </c>
      <c r="D711" s="5" t="str">
        <v>Accessories</v>
      </c>
      <c r="E711" s="5" t="str">
        <v>South</v>
      </c>
      <c r="F711" s="5" t="str">
        <v>Aug-2025</v>
      </c>
      <c r="G711" s="5">
        <v>48897</v>
      </c>
      <c r="H711" s="5">
        <v>13</v>
      </c>
      <c r="I711" s="5">
        <v>30098</v>
      </c>
      <c r="J711" s="10"/>
    </row>
    <row r="712" spans="2:10" x14ac:dyDescent="0.3">
      <c r="B712" s="5" t="str">
        <v>ORD1519</v>
      </c>
      <c r="C712" s="5" t="str">
        <v>Keyboard</v>
      </c>
      <c r="D712" s="5" t="str">
        <v>Peripherals</v>
      </c>
      <c r="E712" s="5" t="str">
        <v>West</v>
      </c>
      <c r="F712" s="5" t="str">
        <v>Aug-2025</v>
      </c>
      <c r="G712" s="5">
        <v>48738</v>
      </c>
      <c r="H712" s="5">
        <v>4</v>
      </c>
      <c r="I712" s="5">
        <v>33544</v>
      </c>
      <c r="J712" s="10"/>
    </row>
    <row r="713" spans="2:10" x14ac:dyDescent="0.3">
      <c r="B713" s="5" t="str">
        <v>ORD1482</v>
      </c>
      <c r="C713" s="5" t="str">
        <v>Headphones</v>
      </c>
      <c r="D713" s="5" t="str">
        <v>Accessories</v>
      </c>
      <c r="E713" s="5" t="str">
        <v>North</v>
      </c>
      <c r="F713" s="5" t="str">
        <v>Jan-2025</v>
      </c>
      <c r="G713" s="5">
        <v>48610</v>
      </c>
      <c r="H713" s="5">
        <v>4</v>
      </c>
      <c r="I713" s="5">
        <v>29999</v>
      </c>
      <c r="J713" s="10"/>
    </row>
    <row r="714" spans="2:10" x14ac:dyDescent="0.3">
      <c r="B714" s="5" t="str">
        <v>ORD1605</v>
      </c>
      <c r="C714" s="5" t="str">
        <v>Printer</v>
      </c>
      <c r="D714" s="5" t="str">
        <v>Peripherals</v>
      </c>
      <c r="E714" s="5" t="str">
        <v>East</v>
      </c>
      <c r="F714" s="5" t="str">
        <v>Mar-2025</v>
      </c>
      <c r="G714" s="5">
        <v>48564</v>
      </c>
      <c r="H714" s="5">
        <v>6</v>
      </c>
      <c r="I714" s="5">
        <v>33043</v>
      </c>
      <c r="J714" s="10"/>
    </row>
    <row r="715" spans="2:10" x14ac:dyDescent="0.3">
      <c r="B715" s="5" t="str">
        <v>ORD1583</v>
      </c>
      <c r="C715" s="5" t="str">
        <v>Phone</v>
      </c>
      <c r="D715" s="5" t="str">
        <v>Electronics</v>
      </c>
      <c r="E715" s="5" t="str">
        <v>East</v>
      </c>
      <c r="F715" s="5" t="str">
        <v>Aug-2025</v>
      </c>
      <c r="G715" s="5">
        <v>48468</v>
      </c>
      <c r="H715" s="5">
        <v>5</v>
      </c>
      <c r="I715" s="5">
        <v>33694</v>
      </c>
      <c r="J715" s="10"/>
    </row>
    <row r="716" spans="2:10" x14ac:dyDescent="0.3">
      <c r="B716" s="5" t="str">
        <v>ORD1624</v>
      </c>
      <c r="C716" s="5" t="str">
        <v>Tablet</v>
      </c>
      <c r="D716" s="5" t="str">
        <v>Electronics</v>
      </c>
      <c r="E716" s="5" t="str">
        <v>North</v>
      </c>
      <c r="F716" s="5" t="str">
        <v>Jul-2025</v>
      </c>
      <c r="G716" s="5">
        <v>48020</v>
      </c>
      <c r="H716" s="5">
        <v>4</v>
      </c>
      <c r="I716" s="5">
        <v>28974</v>
      </c>
      <c r="J716" s="10"/>
    </row>
    <row r="717" spans="2:10" x14ac:dyDescent="0.3">
      <c r="B717" s="5" t="str">
        <v>ORD1839</v>
      </c>
      <c r="C717" s="5" t="str">
        <v>Tablet</v>
      </c>
      <c r="D717" s="5" t="str">
        <v>Electronics</v>
      </c>
      <c r="E717" s="5" t="str">
        <v>North</v>
      </c>
      <c r="F717" s="5" t="str">
        <v>Oct-2025</v>
      </c>
      <c r="G717" s="5">
        <v>47989</v>
      </c>
      <c r="H717" s="5">
        <v>2</v>
      </c>
      <c r="I717" s="5">
        <v>31871</v>
      </c>
      <c r="J717" s="10"/>
    </row>
    <row r="718" spans="2:10" x14ac:dyDescent="0.3">
      <c r="B718" s="5" t="str">
        <v>ORD1384</v>
      </c>
      <c r="C718" s="5" t="str">
        <v>Printer</v>
      </c>
      <c r="D718" s="5" t="str">
        <v>Peripherals</v>
      </c>
      <c r="E718" s="5" t="str">
        <v>West</v>
      </c>
      <c r="F718" s="5" t="str">
        <v>Jun-2025</v>
      </c>
      <c r="G718" s="5">
        <v>47982</v>
      </c>
      <c r="H718" s="5">
        <v>4</v>
      </c>
      <c r="I718" s="5">
        <v>33897</v>
      </c>
      <c r="J718" s="10"/>
    </row>
    <row r="719" spans="2:10" x14ac:dyDescent="0.3">
      <c r="B719" s="5" t="str">
        <v>ORD1932</v>
      </c>
      <c r="C719" s="5" t="str">
        <v>Monitor</v>
      </c>
      <c r="D719" s="5" t="str">
        <v>Peripherals</v>
      </c>
      <c r="E719" s="5" t="str">
        <v>North</v>
      </c>
      <c r="F719" s="5" t="str">
        <v>Feb-2025</v>
      </c>
      <c r="G719" s="5">
        <v>47759</v>
      </c>
      <c r="H719" s="5">
        <v>3</v>
      </c>
      <c r="I719" s="5">
        <v>34805</v>
      </c>
      <c r="J719" s="10"/>
    </row>
    <row r="720" spans="2:10" x14ac:dyDescent="0.3">
      <c r="B720" s="5" t="str">
        <v>ORD1238</v>
      </c>
      <c r="C720" s="5" t="str">
        <v>Phone</v>
      </c>
      <c r="D720" s="5" t="str">
        <v>Electronics</v>
      </c>
      <c r="E720" s="5" t="str">
        <v>North</v>
      </c>
      <c r="F720" s="5" t="str">
        <v>Nov-2025</v>
      </c>
      <c r="G720" s="5">
        <v>47612</v>
      </c>
      <c r="H720" s="5">
        <v>3</v>
      </c>
      <c r="I720" s="5">
        <v>33524</v>
      </c>
      <c r="J720" s="10"/>
    </row>
    <row r="721" spans="2:10" x14ac:dyDescent="0.3">
      <c r="B721" s="5" t="str">
        <v>ORD1815</v>
      </c>
      <c r="C721" s="5" t="str">
        <v>Tablet</v>
      </c>
      <c r="D721" s="5" t="str">
        <v>Electronics</v>
      </c>
      <c r="E721" s="5" t="str">
        <v>South</v>
      </c>
      <c r="F721" s="5" t="str">
        <v>Jan-2025</v>
      </c>
      <c r="G721" s="5">
        <v>47397</v>
      </c>
      <c r="H721" s="5">
        <v>1</v>
      </c>
      <c r="I721" s="5">
        <v>33539</v>
      </c>
      <c r="J721" s="10"/>
    </row>
    <row r="722" spans="2:10" x14ac:dyDescent="0.3">
      <c r="B722" s="5" t="str">
        <v>ORD1652</v>
      </c>
      <c r="C722" s="5" t="str">
        <v>Printer</v>
      </c>
      <c r="D722" s="5" t="str">
        <v>Peripherals</v>
      </c>
      <c r="E722" s="5" t="str">
        <v>North</v>
      </c>
      <c r="F722" s="5" t="str">
        <v>Jan-2025</v>
      </c>
      <c r="G722" s="5">
        <v>47330</v>
      </c>
      <c r="H722" s="5">
        <v>12</v>
      </c>
      <c r="I722" s="5">
        <v>29716</v>
      </c>
      <c r="J722" s="10"/>
    </row>
    <row r="723" spans="2:10" x14ac:dyDescent="0.3">
      <c r="B723" s="5" t="str">
        <v>ORD1684</v>
      </c>
      <c r="C723" s="5" t="str">
        <v>Printer</v>
      </c>
      <c r="D723" s="5" t="str">
        <v>Peripherals</v>
      </c>
      <c r="E723" s="5" t="str">
        <v>East</v>
      </c>
      <c r="F723" s="5" t="str">
        <v>Mar-2025</v>
      </c>
      <c r="G723" s="5">
        <v>47297</v>
      </c>
      <c r="H723" s="5">
        <v>13</v>
      </c>
      <c r="I723" s="5">
        <v>29531</v>
      </c>
      <c r="J723" s="10"/>
    </row>
    <row r="724" spans="2:10" x14ac:dyDescent="0.3">
      <c r="B724" s="5" t="str">
        <v>ORD1032</v>
      </c>
      <c r="C724" s="5" t="str">
        <v>Phone</v>
      </c>
      <c r="D724" s="5" t="str">
        <v>Electronics</v>
      </c>
      <c r="E724" s="5" t="str">
        <v>South</v>
      </c>
      <c r="F724" s="5" t="str">
        <v>May-2025</v>
      </c>
      <c r="G724" s="5">
        <v>47191</v>
      </c>
      <c r="H724" s="5">
        <v>11</v>
      </c>
      <c r="I724" s="5">
        <v>35173</v>
      </c>
      <c r="J724" s="10"/>
    </row>
    <row r="725" spans="2:10" x14ac:dyDescent="0.3">
      <c r="B725" s="5" t="str">
        <v>ORD1101</v>
      </c>
      <c r="C725" s="5" t="str">
        <v>Mouse</v>
      </c>
      <c r="D725" s="5" t="str">
        <v>Accessories</v>
      </c>
      <c r="E725" s="5" t="str">
        <v>East</v>
      </c>
      <c r="F725" s="5" t="str">
        <v>Apr-2025</v>
      </c>
      <c r="G725" s="5">
        <v>47100</v>
      </c>
      <c r="H725" s="5">
        <v>10</v>
      </c>
      <c r="I725" s="5">
        <v>29812</v>
      </c>
      <c r="J725" s="10"/>
    </row>
    <row r="726" spans="2:10" x14ac:dyDescent="0.3">
      <c r="B726" s="5" t="str">
        <v>ORD1578</v>
      </c>
      <c r="C726" s="5" t="str">
        <v>Mouse</v>
      </c>
      <c r="D726" s="5" t="str">
        <v>Accessories</v>
      </c>
      <c r="E726" s="5" t="str">
        <v>East</v>
      </c>
      <c r="F726" s="5" t="str">
        <v>Jun-2025</v>
      </c>
      <c r="G726" s="5">
        <v>47048</v>
      </c>
      <c r="H726" s="5">
        <v>15</v>
      </c>
      <c r="I726" s="5">
        <v>35171</v>
      </c>
      <c r="J726" s="10"/>
    </row>
    <row r="727" spans="2:10" x14ac:dyDescent="0.3">
      <c r="B727" s="5" t="str">
        <v>ORD1527</v>
      </c>
      <c r="C727" s="5" t="str">
        <v>Mouse</v>
      </c>
      <c r="D727" s="5" t="str">
        <v>Accessories</v>
      </c>
      <c r="E727" s="5" t="str">
        <v>South</v>
      </c>
      <c r="F727" s="5" t="str">
        <v>Jan-2025</v>
      </c>
      <c r="G727" s="5">
        <v>46996</v>
      </c>
      <c r="H727" s="5">
        <v>10</v>
      </c>
      <c r="I727" s="5">
        <v>31565</v>
      </c>
      <c r="J727" s="10"/>
    </row>
    <row r="728" spans="2:10" x14ac:dyDescent="0.3">
      <c r="B728" s="5" t="str">
        <v>ORD1532</v>
      </c>
      <c r="C728" s="5" t="str">
        <v>Laptop</v>
      </c>
      <c r="D728" s="5" t="str">
        <v>Electronics</v>
      </c>
      <c r="E728" s="5" t="str">
        <v>North</v>
      </c>
      <c r="F728" s="5" t="str">
        <v>Jun-2025</v>
      </c>
      <c r="G728" s="5">
        <v>46435</v>
      </c>
      <c r="H728" s="5">
        <v>2</v>
      </c>
      <c r="I728" s="5">
        <v>31869</v>
      </c>
      <c r="J728" s="10"/>
    </row>
    <row r="729" spans="2:10" x14ac:dyDescent="0.3">
      <c r="B729" s="5" t="str">
        <v>ORD1508</v>
      </c>
      <c r="C729" s="5" t="str">
        <v>Mouse</v>
      </c>
      <c r="D729" s="5" t="str">
        <v>Accessories</v>
      </c>
      <c r="E729" s="5" t="str">
        <v>North</v>
      </c>
      <c r="F729" s="5" t="str">
        <v>Aug-2025</v>
      </c>
      <c r="G729" s="5">
        <v>46250</v>
      </c>
      <c r="H729" s="5">
        <v>15</v>
      </c>
      <c r="I729" s="5">
        <v>30780</v>
      </c>
      <c r="J729" s="10"/>
    </row>
    <row r="730" spans="2:10" x14ac:dyDescent="0.3">
      <c r="B730" s="5" t="str">
        <v>ORD1239</v>
      </c>
      <c r="C730" s="5" t="str">
        <v>Tablet</v>
      </c>
      <c r="D730" s="5" t="str">
        <v>Electronics</v>
      </c>
      <c r="E730" s="5" t="str">
        <v>West</v>
      </c>
      <c r="F730" s="5" t="str">
        <v>Oct-2025</v>
      </c>
      <c r="G730" s="5">
        <v>46173</v>
      </c>
      <c r="H730" s="5">
        <v>7</v>
      </c>
      <c r="I730" s="5">
        <v>28392</v>
      </c>
      <c r="J730" s="10"/>
    </row>
    <row r="731" spans="2:10" x14ac:dyDescent="0.3">
      <c r="B731" s="5" t="str">
        <v>ORD1213</v>
      </c>
      <c r="C731" s="5" t="str">
        <v>Printer</v>
      </c>
      <c r="D731" s="5" t="str">
        <v>Peripherals</v>
      </c>
      <c r="E731" s="5" t="str">
        <v>South</v>
      </c>
      <c r="F731" s="5" t="str">
        <v>Nov-2025</v>
      </c>
      <c r="G731" s="5">
        <v>46095</v>
      </c>
      <c r="H731" s="5">
        <v>2</v>
      </c>
      <c r="I731" s="5">
        <v>32518</v>
      </c>
      <c r="J731" s="10"/>
    </row>
    <row r="732" spans="2:10" x14ac:dyDescent="0.3">
      <c r="B732" s="5" t="str">
        <v>ORD1501</v>
      </c>
      <c r="C732" s="5" t="str">
        <v>Tablet</v>
      </c>
      <c r="D732" s="5" t="str">
        <v>Electronics</v>
      </c>
      <c r="E732" s="5" t="str">
        <v>West</v>
      </c>
      <c r="F732" s="5" t="str">
        <v>Dec-2025</v>
      </c>
      <c r="G732" s="5">
        <v>46041</v>
      </c>
      <c r="H732" s="5">
        <v>6</v>
      </c>
      <c r="I732" s="5">
        <v>29650</v>
      </c>
      <c r="J732" s="10"/>
    </row>
    <row r="733" spans="2:10" x14ac:dyDescent="0.3">
      <c r="B733" s="5" t="str">
        <v>ORD1641</v>
      </c>
      <c r="C733" s="5" t="str">
        <v>Keyboard</v>
      </c>
      <c r="D733" s="5" t="str">
        <v>Peripherals</v>
      </c>
      <c r="E733" s="5" t="str">
        <v>West</v>
      </c>
      <c r="F733" s="5" t="str">
        <v>Dec-2025</v>
      </c>
      <c r="G733" s="5">
        <v>45844</v>
      </c>
      <c r="H733" s="5">
        <v>10</v>
      </c>
      <c r="I733" s="5">
        <v>32720</v>
      </c>
      <c r="J733" s="10"/>
    </row>
    <row r="734" spans="2:10" x14ac:dyDescent="0.3">
      <c r="B734" s="5" t="str">
        <v>ORD1427</v>
      </c>
      <c r="C734" s="5" t="str">
        <v>Laptop</v>
      </c>
      <c r="D734" s="5" t="str">
        <v>Electronics</v>
      </c>
      <c r="E734" s="5" t="str">
        <v>East</v>
      </c>
      <c r="F734" s="5" t="str">
        <v>Oct-2025</v>
      </c>
      <c r="G734" s="5">
        <v>45790</v>
      </c>
      <c r="H734" s="5">
        <v>12</v>
      </c>
      <c r="I734" s="5">
        <v>32825</v>
      </c>
      <c r="J734" s="10"/>
    </row>
    <row r="735" spans="2:10" x14ac:dyDescent="0.3">
      <c r="B735" s="5" t="str">
        <v>ORD1929</v>
      </c>
      <c r="C735" s="5" t="str">
        <v>Headphones</v>
      </c>
      <c r="D735" s="5" t="str">
        <v>Accessories</v>
      </c>
      <c r="E735" s="5" t="str">
        <v>East</v>
      </c>
      <c r="F735" s="5" t="str">
        <v>Nov-2025</v>
      </c>
      <c r="G735" s="5">
        <v>45763</v>
      </c>
      <c r="H735" s="5">
        <v>8</v>
      </c>
      <c r="I735" s="5">
        <v>29714</v>
      </c>
      <c r="J735" s="10"/>
    </row>
    <row r="736" spans="2:10" x14ac:dyDescent="0.3">
      <c r="B736" s="5" t="str">
        <v>ORD1967</v>
      </c>
      <c r="C736" s="5" t="str">
        <v>Tablet</v>
      </c>
      <c r="D736" s="5" t="str">
        <v>Electronics</v>
      </c>
      <c r="E736" s="5" t="str">
        <v>West</v>
      </c>
      <c r="F736" s="5" t="str">
        <v>Jun-2025</v>
      </c>
      <c r="G736" s="5">
        <v>45731</v>
      </c>
      <c r="H736" s="5">
        <v>5</v>
      </c>
      <c r="I736" s="5">
        <v>29154</v>
      </c>
      <c r="J736" s="10"/>
    </row>
    <row r="737" spans="2:10" x14ac:dyDescent="0.3">
      <c r="B737" s="5" t="str">
        <v>ORD1776</v>
      </c>
      <c r="C737" s="5" t="str">
        <v>Tablet</v>
      </c>
      <c r="D737" s="5" t="str">
        <v>Electronics</v>
      </c>
      <c r="E737" s="5" t="str">
        <v>South</v>
      </c>
      <c r="F737" s="5" t="str">
        <v>Apr-2025</v>
      </c>
      <c r="G737" s="5">
        <v>45713</v>
      </c>
      <c r="H737" s="5">
        <v>2</v>
      </c>
      <c r="I737" s="5">
        <v>31401</v>
      </c>
      <c r="J737" s="10"/>
    </row>
    <row r="738" spans="2:10" x14ac:dyDescent="0.3">
      <c r="B738" s="5" t="str">
        <v>ORD1746</v>
      </c>
      <c r="C738" s="5" t="str">
        <v>Laptop</v>
      </c>
      <c r="D738" s="5" t="str">
        <v>Electronics</v>
      </c>
      <c r="E738" s="5" t="str">
        <v>South</v>
      </c>
      <c r="F738" s="5" t="str">
        <v>Aug-2025</v>
      </c>
      <c r="G738" s="5">
        <v>45642</v>
      </c>
      <c r="H738" s="5">
        <v>9</v>
      </c>
      <c r="I738" s="5">
        <v>32919</v>
      </c>
      <c r="J738" s="10"/>
    </row>
    <row r="739" spans="2:10" x14ac:dyDescent="0.3">
      <c r="B739" s="5" t="str">
        <v>ORD1638</v>
      </c>
      <c r="C739" s="5" t="str">
        <v>Monitor</v>
      </c>
      <c r="D739" s="5" t="str">
        <v>Peripherals</v>
      </c>
      <c r="E739" s="5" t="str">
        <v>East</v>
      </c>
      <c r="F739" s="5" t="str">
        <v>Apr-2025</v>
      </c>
      <c r="G739" s="5">
        <v>45607</v>
      </c>
      <c r="H739" s="5">
        <v>3</v>
      </c>
      <c r="I739" s="5">
        <v>28984</v>
      </c>
      <c r="J739" s="10"/>
    </row>
    <row r="740" spans="2:10" x14ac:dyDescent="0.3">
      <c r="B740" s="5" t="str">
        <v>ORD1507</v>
      </c>
      <c r="C740" s="5" t="str">
        <v>Laptop</v>
      </c>
      <c r="D740" s="5" t="str">
        <v>Electronics</v>
      </c>
      <c r="E740" s="5" t="str">
        <v>South</v>
      </c>
      <c r="F740" s="5" t="str">
        <v>Nov-2025</v>
      </c>
      <c r="G740" s="5">
        <v>45540</v>
      </c>
      <c r="H740" s="5">
        <v>7</v>
      </c>
      <c r="I740" s="5">
        <v>31672</v>
      </c>
      <c r="J740" s="10"/>
    </row>
    <row r="741" spans="2:10" x14ac:dyDescent="0.3">
      <c r="B741" s="5" t="str">
        <v>ORD1630</v>
      </c>
      <c r="C741" s="5" t="str">
        <v>Mouse</v>
      </c>
      <c r="D741" s="5" t="str">
        <v>Accessories</v>
      </c>
      <c r="E741" s="5" t="str">
        <v>North</v>
      </c>
      <c r="F741" s="5" t="str">
        <v>Nov-2025</v>
      </c>
      <c r="G741" s="5">
        <v>45521</v>
      </c>
      <c r="H741" s="5">
        <v>12</v>
      </c>
      <c r="I741" s="5">
        <v>31204</v>
      </c>
      <c r="J741" s="10"/>
    </row>
    <row r="742" spans="2:10" x14ac:dyDescent="0.3">
      <c r="B742" s="5" t="str">
        <v>ORD1816</v>
      </c>
      <c r="C742" s="5" t="str">
        <v>Headphones</v>
      </c>
      <c r="D742" s="5" t="str">
        <v>Accessories</v>
      </c>
      <c r="E742" s="5" t="str">
        <v>South</v>
      </c>
      <c r="F742" s="5" t="str">
        <v>Jun-2025</v>
      </c>
      <c r="G742" s="5">
        <v>45306</v>
      </c>
      <c r="H742" s="5">
        <v>8</v>
      </c>
      <c r="I742" s="5">
        <v>32738</v>
      </c>
      <c r="J742" s="10"/>
    </row>
    <row r="743" spans="2:10" x14ac:dyDescent="0.3">
      <c r="B743" s="5" t="str">
        <v>ORD1960</v>
      </c>
      <c r="C743" s="5" t="str">
        <v>Phone</v>
      </c>
      <c r="D743" s="5" t="str">
        <v>Electronics</v>
      </c>
      <c r="E743" s="5" t="str">
        <v>East</v>
      </c>
      <c r="F743" s="5" t="str">
        <v>Aug-2025</v>
      </c>
      <c r="G743" s="5">
        <v>45039</v>
      </c>
      <c r="H743" s="5">
        <v>8</v>
      </c>
      <c r="I743" s="5">
        <v>29561</v>
      </c>
      <c r="J743" s="10"/>
    </row>
    <row r="744" spans="2:10" x14ac:dyDescent="0.3">
      <c r="B744" s="5" t="str">
        <v>ORD1900</v>
      </c>
      <c r="C744" s="5" t="str">
        <v>Headphones</v>
      </c>
      <c r="D744" s="5" t="str">
        <v>Accessories</v>
      </c>
      <c r="E744" s="5" t="str">
        <v>South</v>
      </c>
      <c r="F744" s="5" t="str">
        <v>Aug-2025</v>
      </c>
      <c r="G744" s="5">
        <v>44861</v>
      </c>
      <c r="H744" s="5">
        <v>11</v>
      </c>
      <c r="I744" s="5">
        <v>28764</v>
      </c>
      <c r="J744" s="10"/>
    </row>
    <row r="745" spans="2:10" x14ac:dyDescent="0.3">
      <c r="B745" s="5" t="str">
        <v>ORD1273</v>
      </c>
      <c r="C745" s="5" t="str">
        <v>Monitor</v>
      </c>
      <c r="D745" s="5" t="str">
        <v>Peripherals</v>
      </c>
      <c r="E745" s="5" t="str">
        <v>East</v>
      </c>
      <c r="F745" s="5" t="str">
        <v>Apr-2025</v>
      </c>
      <c r="G745" s="5">
        <v>44713</v>
      </c>
      <c r="H745" s="5">
        <v>14</v>
      </c>
      <c r="I745" s="5">
        <v>31982</v>
      </c>
      <c r="J745" s="10"/>
    </row>
    <row r="746" spans="2:10" x14ac:dyDescent="0.3">
      <c r="B746" s="5" t="str">
        <v>ORD1230</v>
      </c>
      <c r="C746" s="5" t="str">
        <v>Keyboard</v>
      </c>
      <c r="D746" s="5" t="str">
        <v>Peripherals</v>
      </c>
      <c r="E746" s="5" t="str">
        <v>North</v>
      </c>
      <c r="F746" s="5" t="str">
        <v>Jun-2025</v>
      </c>
      <c r="G746" s="5">
        <v>44669</v>
      </c>
      <c r="H746" s="5">
        <v>8</v>
      </c>
      <c r="I746" s="5">
        <v>31889</v>
      </c>
      <c r="J746" s="10"/>
    </row>
    <row r="747" spans="2:10" x14ac:dyDescent="0.3">
      <c r="B747" s="5" t="str">
        <v>ORD1640</v>
      </c>
      <c r="C747" s="5" t="str">
        <v>Phone</v>
      </c>
      <c r="D747" s="5" t="str">
        <v>Electronics</v>
      </c>
      <c r="E747" s="5" t="str">
        <v>South</v>
      </c>
      <c r="F747" s="5" t="str">
        <v>Sep-2025</v>
      </c>
      <c r="G747" s="5">
        <v>44492</v>
      </c>
      <c r="H747" s="5">
        <v>10</v>
      </c>
      <c r="I747" s="5">
        <v>27324</v>
      </c>
      <c r="J747" s="10"/>
    </row>
    <row r="748" spans="2:10" x14ac:dyDescent="0.3">
      <c r="B748" s="5" t="str">
        <v>ORD1673</v>
      </c>
      <c r="C748" s="5" t="str">
        <v>Printer</v>
      </c>
      <c r="D748" s="5" t="str">
        <v>Peripherals</v>
      </c>
      <c r="E748" s="5" t="str">
        <v>North</v>
      </c>
      <c r="F748" s="5" t="str">
        <v>May-2025</v>
      </c>
      <c r="G748" s="5">
        <v>44386</v>
      </c>
      <c r="H748" s="5">
        <v>15</v>
      </c>
      <c r="I748" s="5">
        <v>26899</v>
      </c>
      <c r="J748" s="10"/>
    </row>
    <row r="749" spans="2:10" x14ac:dyDescent="0.3">
      <c r="B749" s="5" t="str">
        <v>ORD1635</v>
      </c>
      <c r="C749" s="5" t="str">
        <v>Printer</v>
      </c>
      <c r="D749" s="5" t="str">
        <v>Peripherals</v>
      </c>
      <c r="E749" s="5" t="str">
        <v>South</v>
      </c>
      <c r="F749" s="5" t="str">
        <v>Jun-2025</v>
      </c>
      <c r="G749" s="5">
        <v>44143</v>
      </c>
      <c r="H749" s="5">
        <v>2</v>
      </c>
      <c r="I749" s="5">
        <v>32180</v>
      </c>
      <c r="J749" s="10"/>
    </row>
    <row r="750" spans="2:10" x14ac:dyDescent="0.3">
      <c r="B750" s="5" t="str">
        <v>ORD1197</v>
      </c>
      <c r="C750" s="5" t="str">
        <v>Printer</v>
      </c>
      <c r="D750" s="5" t="str">
        <v>Peripherals</v>
      </c>
      <c r="E750" s="5" t="str">
        <v>North</v>
      </c>
      <c r="F750" s="5" t="str">
        <v>Jan-2025</v>
      </c>
      <c r="G750" s="5">
        <v>44103</v>
      </c>
      <c r="H750" s="5">
        <v>10</v>
      </c>
      <c r="I750" s="5">
        <v>30153</v>
      </c>
      <c r="J750" s="10"/>
    </row>
    <row r="751" spans="2:10" x14ac:dyDescent="0.3">
      <c r="B751" s="5" t="str">
        <v>ORD1034</v>
      </c>
      <c r="C751" s="5" t="str">
        <v>Laptop</v>
      </c>
      <c r="D751" s="5" t="str">
        <v>Electronics</v>
      </c>
      <c r="E751" s="5" t="str">
        <v>North</v>
      </c>
      <c r="F751" s="5" t="str">
        <v>Aug-2025</v>
      </c>
      <c r="G751" s="5">
        <v>44018</v>
      </c>
      <c r="H751" s="5">
        <v>8</v>
      </c>
      <c r="I751" s="5">
        <v>29082</v>
      </c>
      <c r="J751" s="10"/>
    </row>
    <row r="752" spans="2:10" x14ac:dyDescent="0.3">
      <c r="B752" s="5" t="str">
        <v>ORD1938</v>
      </c>
      <c r="C752" s="5" t="str">
        <v>Printer</v>
      </c>
      <c r="D752" s="5" t="str">
        <v>Peripherals</v>
      </c>
      <c r="E752" s="5" t="str">
        <v>West</v>
      </c>
      <c r="F752" s="5" t="str">
        <v>Sep-2025</v>
      </c>
      <c r="G752" s="5">
        <v>43930</v>
      </c>
      <c r="H752" s="5">
        <v>5</v>
      </c>
      <c r="I752" s="5">
        <v>29547</v>
      </c>
      <c r="J752" s="10"/>
    </row>
    <row r="753" spans="2:10" x14ac:dyDescent="0.3">
      <c r="B753" s="5" t="str">
        <v>ORD1399</v>
      </c>
      <c r="C753" s="5" t="str">
        <v>Laptop</v>
      </c>
      <c r="D753" s="5" t="str">
        <v>Electronics</v>
      </c>
      <c r="E753" s="5" t="str">
        <v>East</v>
      </c>
      <c r="F753" s="5" t="str">
        <v>Mar-2025</v>
      </c>
      <c r="G753" s="5">
        <v>43762</v>
      </c>
      <c r="H753" s="5">
        <v>12</v>
      </c>
      <c r="I753" s="5">
        <v>32684</v>
      </c>
      <c r="J753" s="10"/>
    </row>
    <row r="754" spans="2:10" x14ac:dyDescent="0.3">
      <c r="B754" s="5" t="str">
        <v>ORD1161</v>
      </c>
      <c r="C754" s="5" t="str">
        <v>Headphones</v>
      </c>
      <c r="D754" s="5" t="str">
        <v>Accessories</v>
      </c>
      <c r="E754" s="5" t="str">
        <v>North</v>
      </c>
      <c r="F754" s="5" t="str">
        <v>Mar-2025</v>
      </c>
      <c r="G754" s="5">
        <v>43728</v>
      </c>
      <c r="H754" s="5">
        <v>10</v>
      </c>
      <c r="I754" s="5">
        <v>29021</v>
      </c>
      <c r="J754" s="10"/>
    </row>
    <row r="755" spans="2:10" x14ac:dyDescent="0.3">
      <c r="B755" s="5" t="str">
        <v>ORD1741</v>
      </c>
      <c r="C755" s="5" t="str">
        <v>Tablet</v>
      </c>
      <c r="D755" s="5" t="str">
        <v>Electronics</v>
      </c>
      <c r="E755" s="5" t="str">
        <v>East</v>
      </c>
      <c r="F755" s="5" t="str">
        <v>Sep-2025</v>
      </c>
      <c r="G755" s="5">
        <v>43630</v>
      </c>
      <c r="H755" s="5">
        <v>6</v>
      </c>
      <c r="I755" s="5">
        <v>27145</v>
      </c>
      <c r="J755" s="10"/>
    </row>
    <row r="756" spans="2:10" x14ac:dyDescent="0.3">
      <c r="B756" s="5" t="str">
        <v>ORD1535</v>
      </c>
      <c r="C756" s="5" t="str">
        <v>Mouse</v>
      </c>
      <c r="D756" s="5" t="str">
        <v>Accessories</v>
      </c>
      <c r="E756" s="5" t="str">
        <v>West</v>
      </c>
      <c r="F756" s="5" t="str">
        <v>Apr-2025</v>
      </c>
      <c r="G756" s="5">
        <v>43392</v>
      </c>
      <c r="H756" s="5">
        <v>1</v>
      </c>
      <c r="I756" s="5">
        <v>28453</v>
      </c>
      <c r="J756" s="10"/>
    </row>
    <row r="757" spans="2:10" x14ac:dyDescent="0.3">
      <c r="B757" s="5" t="str">
        <v>ORD1363</v>
      </c>
      <c r="C757" s="5" t="str">
        <v>Tablet</v>
      </c>
      <c r="D757" s="5" t="str">
        <v>Electronics</v>
      </c>
      <c r="E757" s="5" t="str">
        <v>West</v>
      </c>
      <c r="F757" s="5" t="str">
        <v>Mar-2025</v>
      </c>
      <c r="G757" s="5">
        <v>43200</v>
      </c>
      <c r="H757" s="5">
        <v>7</v>
      </c>
      <c r="I757" s="5">
        <v>29675</v>
      </c>
      <c r="J757" s="10"/>
    </row>
    <row r="758" spans="2:10" x14ac:dyDescent="0.3">
      <c r="B758" s="5" t="str">
        <v>ORD1092</v>
      </c>
      <c r="C758" s="5" t="str">
        <v>Keyboard</v>
      </c>
      <c r="D758" s="5" t="str">
        <v>Peripherals</v>
      </c>
      <c r="E758" s="5" t="str">
        <v>West</v>
      </c>
      <c r="F758" s="5" t="str">
        <v>May-2025</v>
      </c>
      <c r="G758" s="5">
        <v>43194</v>
      </c>
      <c r="H758" s="5">
        <v>15</v>
      </c>
      <c r="I758" s="5">
        <v>29316</v>
      </c>
      <c r="J758" s="10"/>
    </row>
    <row r="759" spans="2:10" x14ac:dyDescent="0.3">
      <c r="B759" s="5" t="str">
        <v>ORD1658</v>
      </c>
      <c r="C759" s="5" t="str">
        <v>Tablet</v>
      </c>
      <c r="D759" s="5" t="str">
        <v>Electronics</v>
      </c>
      <c r="E759" s="5" t="str">
        <v>East</v>
      </c>
      <c r="F759" s="5" t="str">
        <v>Jul-2025</v>
      </c>
      <c r="G759" s="5">
        <v>43161</v>
      </c>
      <c r="H759" s="5">
        <v>14</v>
      </c>
      <c r="I759" s="5">
        <v>26290</v>
      </c>
      <c r="J759" s="10"/>
    </row>
    <row r="760" spans="2:10" x14ac:dyDescent="0.3">
      <c r="B760" s="5" t="str">
        <v>ORD1179</v>
      </c>
      <c r="C760" s="5" t="str">
        <v>Laptop</v>
      </c>
      <c r="D760" s="5" t="str">
        <v>Electronics</v>
      </c>
      <c r="E760" s="5" t="str">
        <v>North</v>
      </c>
      <c r="F760" s="5" t="str">
        <v>Feb-2025</v>
      </c>
      <c r="G760" s="5">
        <v>42826</v>
      </c>
      <c r="H760" s="5">
        <v>13</v>
      </c>
      <c r="I760" s="5">
        <v>26166</v>
      </c>
      <c r="J760" s="10"/>
    </row>
    <row r="761" spans="2:10" x14ac:dyDescent="0.3">
      <c r="B761" s="5" t="str">
        <v>ORD1606</v>
      </c>
      <c r="C761" s="5" t="str">
        <v>Phone</v>
      </c>
      <c r="D761" s="5" t="str">
        <v>Electronics</v>
      </c>
      <c r="E761" s="5" t="str">
        <v>South</v>
      </c>
      <c r="F761" s="5" t="str">
        <v>Apr-2025</v>
      </c>
      <c r="G761" s="5">
        <v>42749</v>
      </c>
      <c r="H761" s="5">
        <v>14</v>
      </c>
      <c r="I761" s="5">
        <v>26913</v>
      </c>
      <c r="J761" s="10"/>
    </row>
    <row r="762" spans="2:10" x14ac:dyDescent="0.3">
      <c r="B762" s="5" t="str">
        <v>ORD1745</v>
      </c>
      <c r="C762" s="5" t="str">
        <v>Tablet</v>
      </c>
      <c r="D762" s="5" t="str">
        <v>Electronics</v>
      </c>
      <c r="E762" s="5" t="str">
        <v>North</v>
      </c>
      <c r="F762" s="5" t="str">
        <v>May-2025</v>
      </c>
      <c r="G762" s="5">
        <v>42660</v>
      </c>
      <c r="H762" s="5">
        <v>7</v>
      </c>
      <c r="I762" s="5">
        <v>29815</v>
      </c>
      <c r="J762" s="10"/>
    </row>
    <row r="763" spans="2:10" x14ac:dyDescent="0.3">
      <c r="B763" s="5" t="str">
        <v>ORD1608</v>
      </c>
      <c r="C763" s="5" t="str">
        <v>Laptop</v>
      </c>
      <c r="D763" s="5" t="str">
        <v>Electronics</v>
      </c>
      <c r="E763" s="5" t="str">
        <v>West</v>
      </c>
      <c r="F763" s="5" t="str">
        <v>Apr-2025</v>
      </c>
      <c r="G763" s="5">
        <v>42582</v>
      </c>
      <c r="H763" s="5">
        <v>15</v>
      </c>
      <c r="I763" s="5">
        <v>26590</v>
      </c>
      <c r="J763" s="10"/>
    </row>
    <row r="764" spans="2:10" x14ac:dyDescent="0.3">
      <c r="B764" s="5" t="str">
        <v>ORD1247</v>
      </c>
      <c r="C764" s="5" t="str">
        <v>Mouse</v>
      </c>
      <c r="D764" s="5" t="str">
        <v>Accessories</v>
      </c>
      <c r="E764" s="5" t="str">
        <v>North</v>
      </c>
      <c r="F764" s="5" t="str">
        <v>Feb-2025</v>
      </c>
      <c r="G764" s="5">
        <v>42569</v>
      </c>
      <c r="H764" s="5">
        <v>11</v>
      </c>
      <c r="I764" s="5">
        <v>31323</v>
      </c>
      <c r="J764" s="10"/>
    </row>
    <row r="765" spans="2:10" x14ac:dyDescent="0.3">
      <c r="B765" s="5" t="str">
        <v>ORD1788</v>
      </c>
      <c r="C765" s="5" t="str">
        <v>Mouse</v>
      </c>
      <c r="D765" s="5" t="str">
        <v>Accessories</v>
      </c>
      <c r="E765" s="5" t="str">
        <v>East</v>
      </c>
      <c r="F765" s="5" t="str">
        <v>Jul-2025</v>
      </c>
      <c r="G765" s="5">
        <v>42488</v>
      </c>
      <c r="H765" s="5">
        <v>4</v>
      </c>
      <c r="I765" s="5">
        <v>27896</v>
      </c>
      <c r="J765" s="10"/>
    </row>
    <row r="766" spans="2:10" x14ac:dyDescent="0.3">
      <c r="B766" s="5" t="str">
        <v>ORD1023</v>
      </c>
      <c r="C766" s="5" t="str">
        <v>Laptop</v>
      </c>
      <c r="D766" s="5" t="str">
        <v>Electronics</v>
      </c>
      <c r="E766" s="5" t="str">
        <v>North</v>
      </c>
      <c r="F766" s="5" t="str">
        <v>Dec-2025</v>
      </c>
      <c r="G766" s="5">
        <v>42047</v>
      </c>
      <c r="H766" s="5">
        <v>1</v>
      </c>
      <c r="I766" s="5">
        <v>25795</v>
      </c>
      <c r="J766" s="10"/>
    </row>
    <row r="767" spans="2:10" x14ac:dyDescent="0.3">
      <c r="B767" s="5" t="str">
        <v>ORD1487</v>
      </c>
      <c r="C767" s="5" t="str">
        <v>Keyboard</v>
      </c>
      <c r="D767" s="5" t="str">
        <v>Peripherals</v>
      </c>
      <c r="E767" s="5" t="str">
        <v>South</v>
      </c>
      <c r="F767" s="5" t="str">
        <v>Jun-2025</v>
      </c>
      <c r="G767" s="5">
        <v>41978</v>
      </c>
      <c r="H767" s="5">
        <v>1</v>
      </c>
      <c r="I767" s="5">
        <v>29368</v>
      </c>
      <c r="J767" s="10"/>
    </row>
    <row r="768" spans="2:10" x14ac:dyDescent="0.3">
      <c r="B768" s="5" t="str">
        <v>ORD1189</v>
      </c>
      <c r="C768" s="5" t="str">
        <v>Phone</v>
      </c>
      <c r="D768" s="5" t="str">
        <v>Electronics</v>
      </c>
      <c r="E768" s="5" t="str">
        <v>East</v>
      </c>
      <c r="F768" s="5" t="str">
        <v>Oct-2025</v>
      </c>
      <c r="G768" s="5">
        <v>41651</v>
      </c>
      <c r="H768" s="5">
        <v>8</v>
      </c>
      <c r="I768" s="5">
        <v>28711</v>
      </c>
      <c r="J768" s="10"/>
    </row>
    <row r="769" spans="2:10" x14ac:dyDescent="0.3">
      <c r="B769" s="5" t="str">
        <v>ORD1366</v>
      </c>
      <c r="C769" s="5" t="str">
        <v>Monitor</v>
      </c>
      <c r="D769" s="5" t="str">
        <v>Peripherals</v>
      </c>
      <c r="E769" s="5" t="str">
        <v>South</v>
      </c>
      <c r="F769" s="5" t="str">
        <v>Feb-2025</v>
      </c>
      <c r="G769" s="5">
        <v>41389</v>
      </c>
      <c r="H769" s="5">
        <v>7</v>
      </c>
      <c r="I769" s="5">
        <v>26904</v>
      </c>
      <c r="J769" s="10"/>
    </row>
    <row r="770" spans="2:10" x14ac:dyDescent="0.3">
      <c r="B770" s="5" t="str">
        <v>ORD1323</v>
      </c>
      <c r="C770" s="5" t="str">
        <v>Phone</v>
      </c>
      <c r="D770" s="5" t="str">
        <v>Electronics</v>
      </c>
      <c r="E770" s="5" t="str">
        <v>South</v>
      </c>
      <c r="F770" s="5" t="str">
        <v>Sep-2025</v>
      </c>
      <c r="G770" s="5">
        <v>41286</v>
      </c>
      <c r="H770" s="5">
        <v>8</v>
      </c>
      <c r="I770" s="5">
        <v>27456</v>
      </c>
      <c r="J770" s="10"/>
    </row>
    <row r="771" spans="2:10" x14ac:dyDescent="0.3">
      <c r="B771" s="5" t="str">
        <v>ORD1457</v>
      </c>
      <c r="C771" s="5" t="str">
        <v>Phone</v>
      </c>
      <c r="D771" s="5" t="str">
        <v>Electronics</v>
      </c>
      <c r="E771" s="5" t="str">
        <v>East</v>
      </c>
      <c r="F771" s="5" t="str">
        <v>Feb-2025</v>
      </c>
      <c r="G771" s="5">
        <v>41206</v>
      </c>
      <c r="H771" s="5">
        <v>6</v>
      </c>
      <c r="I771" s="5">
        <v>27881</v>
      </c>
      <c r="J771" s="10"/>
    </row>
    <row r="772" spans="2:10" x14ac:dyDescent="0.3">
      <c r="B772" s="5" t="str">
        <v>ORD1468</v>
      </c>
      <c r="C772" s="5" t="str">
        <v>Printer</v>
      </c>
      <c r="D772" s="5" t="str">
        <v>Peripherals</v>
      </c>
      <c r="E772" s="5" t="str">
        <v>North</v>
      </c>
      <c r="F772" s="5" t="str">
        <v>Feb-2025</v>
      </c>
      <c r="G772" s="5">
        <v>41121</v>
      </c>
      <c r="H772" s="5">
        <v>3</v>
      </c>
      <c r="I772" s="5">
        <v>27346</v>
      </c>
      <c r="J772" s="10"/>
    </row>
    <row r="773" spans="2:10" x14ac:dyDescent="0.3">
      <c r="B773" s="5" t="str">
        <v>ORD1176</v>
      </c>
      <c r="C773" s="5" t="str">
        <v>Laptop</v>
      </c>
      <c r="D773" s="5" t="str">
        <v>Electronics</v>
      </c>
      <c r="E773" s="5" t="str">
        <v>North</v>
      </c>
      <c r="F773" s="5" t="str">
        <v>Feb-2025</v>
      </c>
      <c r="G773" s="5">
        <v>40584</v>
      </c>
      <c r="H773" s="5">
        <v>8</v>
      </c>
      <c r="I773" s="5">
        <v>27527</v>
      </c>
      <c r="J773" s="10"/>
    </row>
    <row r="774" spans="2:10" x14ac:dyDescent="0.3">
      <c r="B774" s="5" t="str">
        <v>ORD1737</v>
      </c>
      <c r="C774" s="5" t="str">
        <v>Laptop</v>
      </c>
      <c r="D774" s="5" t="str">
        <v>Electronics</v>
      </c>
      <c r="E774" s="5" t="str">
        <v>North</v>
      </c>
      <c r="F774" s="5" t="str">
        <v>Jun-2025</v>
      </c>
      <c r="G774" s="5">
        <v>40547</v>
      </c>
      <c r="H774" s="5">
        <v>5</v>
      </c>
      <c r="I774" s="5">
        <v>28262</v>
      </c>
      <c r="J774" s="10"/>
    </row>
    <row r="775" spans="2:10" x14ac:dyDescent="0.3">
      <c r="B775" s="5" t="str">
        <v>ORD1359</v>
      </c>
      <c r="C775" s="5" t="str">
        <v>Monitor</v>
      </c>
      <c r="D775" s="5" t="str">
        <v>Peripherals</v>
      </c>
      <c r="E775" s="5" t="str">
        <v>North</v>
      </c>
      <c r="F775" s="5" t="str">
        <v>Oct-2025</v>
      </c>
      <c r="G775" s="5">
        <v>40534</v>
      </c>
      <c r="H775" s="5">
        <v>13</v>
      </c>
      <c r="I775" s="5">
        <v>26648</v>
      </c>
      <c r="J775" s="10"/>
    </row>
    <row r="776" spans="2:10" x14ac:dyDescent="0.3">
      <c r="B776" s="5" t="str">
        <v>ORD1165</v>
      </c>
      <c r="C776" s="5" t="str">
        <v>Headphones</v>
      </c>
      <c r="D776" s="5" t="str">
        <v>Accessories</v>
      </c>
      <c r="E776" s="5" t="str">
        <v>South</v>
      </c>
      <c r="F776" s="5" t="str">
        <v>Dec-2025</v>
      </c>
      <c r="G776" s="5">
        <v>40374</v>
      </c>
      <c r="H776" s="5">
        <v>2</v>
      </c>
      <c r="I776" s="5">
        <v>28478</v>
      </c>
      <c r="J776" s="10"/>
    </row>
    <row r="777" spans="2:10" x14ac:dyDescent="0.3">
      <c r="B777" s="5" t="str">
        <v>ORD1667</v>
      </c>
      <c r="C777" s="5" t="str">
        <v>Mouse</v>
      </c>
      <c r="D777" s="5" t="str">
        <v>Accessories</v>
      </c>
      <c r="E777" s="5" t="str">
        <v>West</v>
      </c>
      <c r="F777" s="5" t="str">
        <v>Jan-2025</v>
      </c>
      <c r="G777" s="5">
        <v>40329</v>
      </c>
      <c r="H777" s="5">
        <v>4</v>
      </c>
      <c r="I777" s="5">
        <v>25960</v>
      </c>
      <c r="J777" s="10"/>
    </row>
    <row r="778" spans="2:10" x14ac:dyDescent="0.3">
      <c r="B778" s="5" t="str">
        <v>ORD1958</v>
      </c>
      <c r="C778" s="5" t="str">
        <v>Phone</v>
      </c>
      <c r="D778" s="5" t="str">
        <v>Electronics</v>
      </c>
      <c r="E778" s="5" t="str">
        <v>East</v>
      </c>
      <c r="F778" s="5" t="str">
        <v>Jun-2025</v>
      </c>
      <c r="G778" s="5">
        <v>40112</v>
      </c>
      <c r="H778" s="5">
        <v>1</v>
      </c>
      <c r="I778" s="5">
        <v>24919</v>
      </c>
      <c r="J778" s="10"/>
    </row>
    <row r="779" spans="2:10" x14ac:dyDescent="0.3">
      <c r="B779" s="5" t="str">
        <v>ORD1111</v>
      </c>
      <c r="C779" s="5" t="str">
        <v>Laptop</v>
      </c>
      <c r="D779" s="5" t="str">
        <v>Electronics</v>
      </c>
      <c r="E779" s="5" t="str">
        <v>South</v>
      </c>
      <c r="F779" s="5" t="str">
        <v>Jul-2025</v>
      </c>
      <c r="G779" s="5">
        <v>39934</v>
      </c>
      <c r="H779" s="5">
        <v>7</v>
      </c>
      <c r="I779" s="5">
        <v>26237</v>
      </c>
      <c r="J779" s="10"/>
    </row>
    <row r="780" spans="2:10" x14ac:dyDescent="0.3">
      <c r="B780" s="5" t="str">
        <v>ORD1126</v>
      </c>
      <c r="C780" s="5" t="str">
        <v>Tablet</v>
      </c>
      <c r="D780" s="5" t="str">
        <v>Electronics</v>
      </c>
      <c r="E780" s="5" t="str">
        <v>South</v>
      </c>
      <c r="F780" s="5" t="str">
        <v>Mar-2025</v>
      </c>
      <c r="G780" s="5">
        <v>39888</v>
      </c>
      <c r="H780" s="5">
        <v>9</v>
      </c>
      <c r="I780" s="5">
        <v>26920</v>
      </c>
      <c r="J780" s="10"/>
    </row>
    <row r="781" spans="2:10" x14ac:dyDescent="0.3">
      <c r="B781" s="5" t="str">
        <v>ORD1695</v>
      </c>
      <c r="C781" s="5" t="str">
        <v>Printer</v>
      </c>
      <c r="D781" s="5" t="str">
        <v>Peripherals</v>
      </c>
      <c r="E781" s="5" t="str">
        <v>East</v>
      </c>
      <c r="F781" s="5" t="str">
        <v>Dec-2025</v>
      </c>
      <c r="G781" s="5">
        <v>39880</v>
      </c>
      <c r="H781" s="5">
        <v>8</v>
      </c>
      <c r="I781" s="5">
        <v>24711</v>
      </c>
      <c r="J781" s="10"/>
    </row>
    <row r="782" spans="2:10" x14ac:dyDescent="0.3">
      <c r="B782" s="5" t="str">
        <v>ORD1215</v>
      </c>
      <c r="C782" s="5" t="str">
        <v>Monitor</v>
      </c>
      <c r="D782" s="5" t="str">
        <v>Peripherals</v>
      </c>
      <c r="E782" s="5" t="str">
        <v>West</v>
      </c>
      <c r="F782" s="5" t="str">
        <v>Jul-2025</v>
      </c>
      <c r="G782" s="5">
        <v>39852</v>
      </c>
      <c r="H782" s="5">
        <v>10</v>
      </c>
      <c r="I782" s="5">
        <v>28748</v>
      </c>
      <c r="J782" s="10"/>
    </row>
    <row r="783" spans="2:10" x14ac:dyDescent="0.3">
      <c r="B783" s="5" t="str">
        <v>ORD1203</v>
      </c>
      <c r="C783" s="5" t="str">
        <v>Tablet</v>
      </c>
      <c r="D783" s="5" t="str">
        <v>Electronics</v>
      </c>
      <c r="E783" s="5" t="str">
        <v>East</v>
      </c>
      <c r="F783" s="5" t="str">
        <v>May-2025</v>
      </c>
      <c r="G783" s="5">
        <v>39816</v>
      </c>
      <c r="H783" s="5">
        <v>15</v>
      </c>
      <c r="I783" s="5">
        <v>25135</v>
      </c>
      <c r="J783" s="10"/>
    </row>
    <row r="784" spans="2:10" x14ac:dyDescent="0.3">
      <c r="B784" s="5" t="str">
        <v>ORD2000</v>
      </c>
      <c r="C784" s="5" t="str">
        <v>Monitor</v>
      </c>
      <c r="D784" s="5" t="str">
        <v>Peripherals</v>
      </c>
      <c r="E784" s="5" t="str">
        <v>East</v>
      </c>
      <c r="F784" s="5" t="str">
        <v>Dec-2025</v>
      </c>
      <c r="G784" s="5">
        <v>39762</v>
      </c>
      <c r="H784" s="5">
        <v>2</v>
      </c>
      <c r="I784" s="5">
        <v>28798</v>
      </c>
      <c r="J784" s="10"/>
    </row>
    <row r="785" spans="2:10" x14ac:dyDescent="0.3">
      <c r="B785" s="5" t="str">
        <v>ORD1566</v>
      </c>
      <c r="C785" s="5" t="str">
        <v>Tablet</v>
      </c>
      <c r="D785" s="5" t="str">
        <v>Electronics</v>
      </c>
      <c r="E785" s="5" t="str">
        <v>West</v>
      </c>
      <c r="F785" s="5" t="str">
        <v>Aug-2025</v>
      </c>
      <c r="G785" s="5">
        <v>39691</v>
      </c>
      <c r="H785" s="5">
        <v>1</v>
      </c>
      <c r="I785" s="5">
        <v>29305</v>
      </c>
      <c r="J785" s="10"/>
    </row>
    <row r="786" spans="2:10" x14ac:dyDescent="0.3">
      <c r="B786" s="5" t="str">
        <v>ORD1304</v>
      </c>
      <c r="C786" s="5" t="str">
        <v>Laptop</v>
      </c>
      <c r="D786" s="5" t="str">
        <v>Electronics</v>
      </c>
      <c r="E786" s="5" t="str">
        <v>West</v>
      </c>
      <c r="F786" s="5" t="str">
        <v>Jan-2025</v>
      </c>
      <c r="G786" s="5">
        <v>39383</v>
      </c>
      <c r="H786" s="5">
        <v>11</v>
      </c>
      <c r="I786" s="5">
        <v>28848</v>
      </c>
      <c r="J786" s="10"/>
    </row>
    <row r="787" spans="2:10" x14ac:dyDescent="0.3">
      <c r="B787" s="5" t="str">
        <v>ORD1536</v>
      </c>
      <c r="C787" s="5" t="str">
        <v>Laptop</v>
      </c>
      <c r="D787" s="5" t="str">
        <v>Electronics</v>
      </c>
      <c r="E787" s="5" t="str">
        <v>West</v>
      </c>
      <c r="F787" s="5" t="str">
        <v>May-2025</v>
      </c>
      <c r="G787" s="5">
        <v>39376</v>
      </c>
      <c r="H787" s="5">
        <v>7</v>
      </c>
      <c r="I787" s="5">
        <v>26594</v>
      </c>
      <c r="J787" s="10"/>
    </row>
    <row r="788" spans="2:10" x14ac:dyDescent="0.3">
      <c r="B788" s="5" t="str">
        <v>ORD1614</v>
      </c>
      <c r="C788" s="5" t="str">
        <v>Keyboard</v>
      </c>
      <c r="D788" s="5" t="str">
        <v>Peripherals</v>
      </c>
      <c r="E788" s="5" t="str">
        <v>South</v>
      </c>
      <c r="F788" s="5" t="str">
        <v>Sep-2025</v>
      </c>
      <c r="G788" s="5">
        <v>39310</v>
      </c>
      <c r="H788" s="5">
        <v>6</v>
      </c>
      <c r="I788" s="5">
        <v>25899</v>
      </c>
      <c r="J788" s="10"/>
    </row>
    <row r="789" spans="2:10" x14ac:dyDescent="0.3">
      <c r="B789" s="5" t="str">
        <v>ORD1791</v>
      </c>
      <c r="C789" s="5" t="str">
        <v>Headphones</v>
      </c>
      <c r="D789" s="5" t="str">
        <v>Accessories</v>
      </c>
      <c r="E789" s="5" t="str">
        <v>East</v>
      </c>
      <c r="F789" s="5" t="str">
        <v>Feb-2025</v>
      </c>
      <c r="G789" s="5">
        <v>39014</v>
      </c>
      <c r="H789" s="5">
        <v>4</v>
      </c>
      <c r="I789" s="5">
        <v>28388</v>
      </c>
      <c r="J789" s="10"/>
    </row>
    <row r="790" spans="2:10" x14ac:dyDescent="0.3">
      <c r="B790" s="5" t="str">
        <v>ORD1180</v>
      </c>
      <c r="C790" s="5" t="str">
        <v>Monitor</v>
      </c>
      <c r="D790" s="5" t="str">
        <v>Peripherals</v>
      </c>
      <c r="E790" s="5" t="str">
        <v>North</v>
      </c>
      <c r="F790" s="5" t="str">
        <v>Sep-2025</v>
      </c>
      <c r="G790" s="5">
        <v>38992</v>
      </c>
      <c r="H790" s="5">
        <v>10</v>
      </c>
      <c r="I790" s="5">
        <v>27197</v>
      </c>
      <c r="J790" s="10"/>
    </row>
    <row r="791" spans="2:10" x14ac:dyDescent="0.3">
      <c r="B791" s="5" t="str">
        <v>ORD1841</v>
      </c>
      <c r="C791" s="5" t="str">
        <v>Phone</v>
      </c>
      <c r="D791" s="5" t="str">
        <v>Electronics</v>
      </c>
      <c r="E791" s="5" t="str">
        <v>East</v>
      </c>
      <c r="F791" s="5" t="str">
        <v>Dec-2025</v>
      </c>
      <c r="G791" s="5">
        <v>38991</v>
      </c>
      <c r="H791" s="5">
        <v>14</v>
      </c>
      <c r="I791" s="5">
        <v>24628</v>
      </c>
      <c r="J791" s="10"/>
    </row>
    <row r="792" spans="2:10" x14ac:dyDescent="0.3">
      <c r="B792" s="5" t="str">
        <v>ORD1278</v>
      </c>
      <c r="C792" s="5" t="str">
        <v>Laptop</v>
      </c>
      <c r="D792" s="5" t="str">
        <v>Electronics</v>
      </c>
      <c r="E792" s="5" t="str">
        <v>West</v>
      </c>
      <c r="F792" s="5" t="str">
        <v>Oct-2025</v>
      </c>
      <c r="G792" s="5">
        <v>38969</v>
      </c>
      <c r="H792" s="5">
        <v>6</v>
      </c>
      <c r="I792" s="5">
        <v>23729</v>
      </c>
      <c r="J792" s="10"/>
    </row>
    <row r="793" spans="2:10" x14ac:dyDescent="0.3">
      <c r="B793" s="5" t="str">
        <v>ORD1144</v>
      </c>
      <c r="C793" s="5" t="str">
        <v>Tablet</v>
      </c>
      <c r="D793" s="5" t="str">
        <v>Electronics</v>
      </c>
      <c r="E793" s="5" t="str">
        <v>North</v>
      </c>
      <c r="F793" s="5" t="str">
        <v>Mar-2025</v>
      </c>
      <c r="G793" s="5">
        <v>38757</v>
      </c>
      <c r="H793" s="5">
        <v>1</v>
      </c>
      <c r="I793" s="5">
        <v>27980</v>
      </c>
      <c r="J793" s="10"/>
    </row>
    <row r="794" spans="2:10" x14ac:dyDescent="0.3">
      <c r="B794" s="5" t="str">
        <v>ORD1906</v>
      </c>
      <c r="C794" s="5" t="str">
        <v>Headphones</v>
      </c>
      <c r="D794" s="5" t="str">
        <v>Accessories</v>
      </c>
      <c r="E794" s="5" t="str">
        <v>North</v>
      </c>
      <c r="F794" s="5" t="str">
        <v>Nov-2025</v>
      </c>
      <c r="G794" s="5">
        <v>38560</v>
      </c>
      <c r="H794" s="5">
        <v>2</v>
      </c>
      <c r="I794" s="5">
        <v>25438</v>
      </c>
      <c r="J794" s="10"/>
    </row>
    <row r="795" spans="2:10" x14ac:dyDescent="0.3">
      <c r="B795" s="5" t="str">
        <v>ORD1083</v>
      </c>
      <c r="C795" s="5" t="str">
        <v>Keyboard</v>
      </c>
      <c r="D795" s="5" t="str">
        <v>Peripherals</v>
      </c>
      <c r="E795" s="5" t="str">
        <v>West</v>
      </c>
      <c r="F795" s="5" t="str">
        <v>Feb-2025</v>
      </c>
      <c r="G795" s="5">
        <v>38550</v>
      </c>
      <c r="H795" s="5">
        <v>11</v>
      </c>
      <c r="I795" s="5">
        <v>27612</v>
      </c>
      <c r="J795" s="10"/>
    </row>
    <row r="796" spans="2:10" x14ac:dyDescent="0.3">
      <c r="B796" s="5" t="str">
        <v>ORD1183</v>
      </c>
      <c r="C796" s="5" t="str">
        <v>Phone</v>
      </c>
      <c r="D796" s="5" t="str">
        <v>Electronics</v>
      </c>
      <c r="E796" s="5" t="str">
        <v>North</v>
      </c>
      <c r="F796" s="5" t="str">
        <v>Feb-2025</v>
      </c>
      <c r="G796" s="5">
        <v>38292</v>
      </c>
      <c r="H796" s="5">
        <v>2</v>
      </c>
      <c r="I796" s="5">
        <v>27338</v>
      </c>
      <c r="J796" s="10"/>
    </row>
    <row r="797" spans="2:10" x14ac:dyDescent="0.3">
      <c r="B797" s="5" t="str">
        <v>ORD1829</v>
      </c>
      <c r="C797" s="5" t="str">
        <v>Laptop</v>
      </c>
      <c r="D797" s="5" t="str">
        <v>Electronics</v>
      </c>
      <c r="E797" s="5" t="str">
        <v>East</v>
      </c>
      <c r="F797" s="5" t="str">
        <v>Nov-2025</v>
      </c>
      <c r="G797" s="5">
        <v>38213</v>
      </c>
      <c r="H797" s="5">
        <v>3</v>
      </c>
      <c r="I797" s="5">
        <v>26541</v>
      </c>
      <c r="J797" s="10"/>
    </row>
    <row r="798" spans="2:10" x14ac:dyDescent="0.3">
      <c r="B798" s="5" t="str">
        <v>ORD1591</v>
      </c>
      <c r="C798" s="5" t="str">
        <v>Mouse</v>
      </c>
      <c r="D798" s="5" t="str">
        <v>Accessories</v>
      </c>
      <c r="E798" s="5" t="str">
        <v>East</v>
      </c>
      <c r="F798" s="5" t="str">
        <v>Sep-2025</v>
      </c>
      <c r="G798" s="5">
        <v>38125</v>
      </c>
      <c r="H798" s="5">
        <v>15</v>
      </c>
      <c r="I798" s="5">
        <v>24921</v>
      </c>
      <c r="J798" s="10"/>
    </row>
    <row r="799" spans="2:10" x14ac:dyDescent="0.3">
      <c r="B799" s="5" t="str">
        <v>ORD1259</v>
      </c>
      <c r="C799" s="5" t="str">
        <v>Monitor</v>
      </c>
      <c r="D799" s="5" t="str">
        <v>Peripherals</v>
      </c>
      <c r="E799" s="5" t="str">
        <v>South</v>
      </c>
      <c r="F799" s="5" t="str">
        <v>Jan-2025</v>
      </c>
      <c r="G799" s="5">
        <v>37707</v>
      </c>
      <c r="H799" s="5">
        <v>12</v>
      </c>
      <c r="I799" s="5">
        <v>23968</v>
      </c>
      <c r="J799" s="10"/>
    </row>
    <row r="800" spans="2:10" x14ac:dyDescent="0.3">
      <c r="B800" s="5" t="str">
        <v>ORD1310</v>
      </c>
      <c r="C800" s="5" t="str">
        <v>Laptop</v>
      </c>
      <c r="D800" s="5" t="str">
        <v>Electronics</v>
      </c>
      <c r="E800" s="5" t="str">
        <v>South</v>
      </c>
      <c r="F800" s="5" t="str">
        <v>Dec-2025</v>
      </c>
      <c r="G800" s="5">
        <v>37068</v>
      </c>
      <c r="H800" s="5">
        <v>1</v>
      </c>
      <c r="I800" s="5">
        <v>27453</v>
      </c>
      <c r="J800" s="10"/>
    </row>
    <row r="801" spans="2:10" x14ac:dyDescent="0.3">
      <c r="B801" s="5" t="str">
        <v>ORD1114</v>
      </c>
      <c r="C801" s="5" t="str">
        <v>Tablet</v>
      </c>
      <c r="D801" s="5" t="str">
        <v>Electronics</v>
      </c>
      <c r="E801" s="5" t="str">
        <v>South</v>
      </c>
      <c r="F801" s="5" t="str">
        <v>Jul-2025</v>
      </c>
      <c r="G801" s="5">
        <v>36788</v>
      </c>
      <c r="H801" s="5">
        <v>11</v>
      </c>
      <c r="I801" s="5">
        <v>22929</v>
      </c>
      <c r="J801" s="10"/>
    </row>
    <row r="802" spans="2:10" x14ac:dyDescent="0.3">
      <c r="B802" s="5" t="str">
        <v>ORD1192</v>
      </c>
      <c r="C802" s="5" t="str">
        <v>Laptop</v>
      </c>
      <c r="D802" s="5" t="str">
        <v>Electronics</v>
      </c>
      <c r="E802" s="5" t="str">
        <v>North</v>
      </c>
      <c r="F802" s="5" t="str">
        <v>May-2025</v>
      </c>
      <c r="G802" s="5">
        <v>36559</v>
      </c>
      <c r="H802" s="5">
        <v>5</v>
      </c>
      <c r="I802" s="5">
        <v>23336</v>
      </c>
      <c r="J802" s="10"/>
    </row>
    <row r="803" spans="2:10" x14ac:dyDescent="0.3">
      <c r="B803" s="5" t="str">
        <v>ORD1856</v>
      </c>
      <c r="C803" s="5" t="str">
        <v>Mouse</v>
      </c>
      <c r="D803" s="5" t="str">
        <v>Accessories</v>
      </c>
      <c r="E803" s="5" t="str">
        <v>North</v>
      </c>
      <c r="F803" s="5" t="str">
        <v>Apr-2025</v>
      </c>
      <c r="G803" s="5">
        <v>36554</v>
      </c>
      <c r="H803" s="5">
        <v>7</v>
      </c>
      <c r="I803" s="5">
        <v>23410</v>
      </c>
      <c r="J803" s="10"/>
    </row>
    <row r="804" spans="2:10" x14ac:dyDescent="0.3">
      <c r="B804" s="5" t="str">
        <v>ORD1287</v>
      </c>
      <c r="C804" s="5" t="str">
        <v>Keyboard</v>
      </c>
      <c r="D804" s="5" t="str">
        <v>Peripherals</v>
      </c>
      <c r="E804" s="5" t="str">
        <v>South</v>
      </c>
      <c r="F804" s="5" t="str">
        <v>Dec-2025</v>
      </c>
      <c r="G804" s="5">
        <v>36417</v>
      </c>
      <c r="H804" s="5">
        <v>1</v>
      </c>
      <c r="I804" s="5">
        <v>26933</v>
      </c>
      <c r="J804" s="10"/>
    </row>
    <row r="805" spans="2:10" x14ac:dyDescent="0.3">
      <c r="B805" s="5" t="str">
        <v>ORD1598</v>
      </c>
      <c r="C805" s="5" t="str">
        <v>Laptop</v>
      </c>
      <c r="D805" s="5" t="str">
        <v>Electronics</v>
      </c>
      <c r="E805" s="5" t="str">
        <v>North</v>
      </c>
      <c r="F805" s="5" t="str">
        <v>Feb-2025</v>
      </c>
      <c r="G805" s="5">
        <v>36003</v>
      </c>
      <c r="H805" s="5">
        <v>8</v>
      </c>
      <c r="I805" s="5">
        <v>21712</v>
      </c>
      <c r="J805" s="10"/>
    </row>
    <row r="806" spans="2:10" x14ac:dyDescent="0.3">
      <c r="B806" s="5" t="str">
        <v>ORD1571</v>
      </c>
      <c r="C806" s="5" t="str">
        <v>Headphones</v>
      </c>
      <c r="D806" s="5" t="str">
        <v>Accessories</v>
      </c>
      <c r="E806" s="5" t="str">
        <v>North</v>
      </c>
      <c r="F806" s="5" t="str">
        <v>May-2025</v>
      </c>
      <c r="G806" s="5">
        <v>35785</v>
      </c>
      <c r="H806" s="5">
        <v>5</v>
      </c>
      <c r="I806" s="5">
        <v>23602</v>
      </c>
      <c r="J806" s="10"/>
    </row>
    <row r="807" spans="2:10" x14ac:dyDescent="0.3">
      <c r="B807" s="5" t="str">
        <v>ORD1070</v>
      </c>
      <c r="C807" s="5" t="str">
        <v>Keyboard</v>
      </c>
      <c r="D807" s="5" t="str">
        <v>Peripherals</v>
      </c>
      <c r="E807" s="5" t="str">
        <v>East</v>
      </c>
      <c r="F807" s="5" t="str">
        <v>Apr-2025</v>
      </c>
      <c r="G807" s="5">
        <v>35595</v>
      </c>
      <c r="H807" s="5">
        <v>11</v>
      </c>
      <c r="I807" s="5">
        <v>23137</v>
      </c>
      <c r="J807" s="10"/>
    </row>
    <row r="808" spans="2:10" x14ac:dyDescent="0.3">
      <c r="B808" s="5" t="str">
        <v>ORD1861</v>
      </c>
      <c r="C808" s="5" t="str">
        <v>Printer</v>
      </c>
      <c r="D808" s="5" t="str">
        <v>Peripherals</v>
      </c>
      <c r="E808" s="5" t="str">
        <v>East</v>
      </c>
      <c r="F808" s="5" t="str">
        <v>Oct-2025</v>
      </c>
      <c r="G808" s="5">
        <v>35351</v>
      </c>
      <c r="H808" s="5">
        <v>14</v>
      </c>
      <c r="I808" s="5">
        <v>25626</v>
      </c>
      <c r="J808" s="10"/>
    </row>
    <row r="809" spans="2:10" x14ac:dyDescent="0.3">
      <c r="B809" s="5" t="str">
        <v>ORD1398</v>
      </c>
      <c r="C809" s="5" t="str">
        <v>Laptop</v>
      </c>
      <c r="D809" s="5" t="str">
        <v>Electronics</v>
      </c>
      <c r="E809" s="5" t="str">
        <v>North</v>
      </c>
      <c r="F809" s="5" t="str">
        <v>Nov-2025</v>
      </c>
      <c r="G809" s="5">
        <v>35316</v>
      </c>
      <c r="H809" s="5">
        <v>9</v>
      </c>
      <c r="I809" s="5">
        <v>22806</v>
      </c>
      <c r="J809" s="10"/>
    </row>
    <row r="810" spans="2:10" x14ac:dyDescent="0.3">
      <c r="B810" s="5" t="str">
        <v>ORD1493</v>
      </c>
      <c r="C810" s="5" t="str">
        <v>Tablet</v>
      </c>
      <c r="D810" s="5" t="str">
        <v>Electronics</v>
      </c>
      <c r="E810" s="5" t="str">
        <v>East</v>
      </c>
      <c r="F810" s="5" t="str">
        <v>Oct-2025</v>
      </c>
      <c r="G810" s="5">
        <v>35122</v>
      </c>
      <c r="H810" s="5">
        <v>4</v>
      </c>
      <c r="I810" s="5">
        <v>22994</v>
      </c>
      <c r="J810" s="10"/>
    </row>
    <row r="811" spans="2:10" x14ac:dyDescent="0.3">
      <c r="B811" s="5" t="str">
        <v>ORD1411</v>
      </c>
      <c r="C811" s="5" t="str">
        <v>Headphones</v>
      </c>
      <c r="D811" s="5" t="str">
        <v>Accessories</v>
      </c>
      <c r="E811" s="5" t="str">
        <v>South</v>
      </c>
      <c r="F811" s="5" t="str">
        <v>Jan-2025</v>
      </c>
      <c r="G811" s="5">
        <v>34966</v>
      </c>
      <c r="H811" s="5">
        <v>7</v>
      </c>
      <c r="I811" s="5">
        <v>23564</v>
      </c>
      <c r="J811" s="10"/>
    </row>
    <row r="812" spans="2:10" x14ac:dyDescent="0.3">
      <c r="B812" s="5" t="str">
        <v>ORD1122</v>
      </c>
      <c r="C812" s="5" t="str">
        <v>Phone</v>
      </c>
      <c r="D812" s="5" t="str">
        <v>Electronics</v>
      </c>
      <c r="E812" s="5" t="str">
        <v>West</v>
      </c>
      <c r="F812" s="5" t="str">
        <v>Aug-2025</v>
      </c>
      <c r="G812" s="5">
        <v>34800</v>
      </c>
      <c r="H812" s="5">
        <v>3</v>
      </c>
      <c r="I812" s="5">
        <v>25253</v>
      </c>
      <c r="J812" s="10"/>
    </row>
    <row r="813" spans="2:10" x14ac:dyDescent="0.3">
      <c r="B813" s="5" t="str">
        <v>ORD1171</v>
      </c>
      <c r="C813" s="5" t="str">
        <v>Headphones</v>
      </c>
      <c r="D813" s="5" t="str">
        <v>Accessories</v>
      </c>
      <c r="E813" s="5" t="str">
        <v>East</v>
      </c>
      <c r="F813" s="5" t="str">
        <v>Jun-2025</v>
      </c>
      <c r="G813" s="5">
        <v>34713</v>
      </c>
      <c r="H813" s="5">
        <v>13</v>
      </c>
      <c r="I813" s="5">
        <v>24302</v>
      </c>
      <c r="J813" s="10"/>
    </row>
    <row r="814" spans="2:10" x14ac:dyDescent="0.3">
      <c r="B814" s="5" t="str">
        <v>ORD1430</v>
      </c>
      <c r="C814" s="5" t="str">
        <v>Monitor</v>
      </c>
      <c r="D814" s="5" t="str">
        <v>Peripherals</v>
      </c>
      <c r="E814" s="5" t="str">
        <v>South</v>
      </c>
      <c r="F814" s="5" t="str">
        <v>Jul-2025</v>
      </c>
      <c r="G814" s="5">
        <v>34619</v>
      </c>
      <c r="H814" s="5">
        <v>15</v>
      </c>
      <c r="I814" s="5">
        <v>23894</v>
      </c>
      <c r="J814" s="10"/>
    </row>
    <row r="815" spans="2:10" x14ac:dyDescent="0.3">
      <c r="B815" s="5" t="str">
        <v>ORD1799</v>
      </c>
      <c r="C815" s="5" t="str">
        <v>Headphones</v>
      </c>
      <c r="D815" s="5" t="str">
        <v>Accessories</v>
      </c>
      <c r="E815" s="5" t="str">
        <v>East</v>
      </c>
      <c r="F815" s="5" t="str">
        <v>Oct-2025</v>
      </c>
      <c r="G815" s="5">
        <v>34474</v>
      </c>
      <c r="H815" s="5">
        <v>10</v>
      </c>
      <c r="I815" s="5">
        <v>23020</v>
      </c>
      <c r="J815" s="10"/>
    </row>
    <row r="816" spans="2:10" x14ac:dyDescent="0.3">
      <c r="B816" s="5" t="str">
        <v>ORD1386</v>
      </c>
      <c r="C816" s="5" t="str">
        <v>Headphones</v>
      </c>
      <c r="D816" s="5" t="str">
        <v>Accessories</v>
      </c>
      <c r="E816" s="5" t="str">
        <v>North</v>
      </c>
      <c r="F816" s="5" t="str">
        <v>Jan-2025</v>
      </c>
      <c r="G816" s="5">
        <v>34391</v>
      </c>
      <c r="H816" s="5">
        <v>9</v>
      </c>
      <c r="I816" s="5">
        <v>23996</v>
      </c>
      <c r="J816" s="10"/>
    </row>
    <row r="817" spans="2:10" x14ac:dyDescent="0.3">
      <c r="B817" s="5" t="str">
        <v>ORD1784</v>
      </c>
      <c r="C817" s="5" t="str">
        <v>Laptop</v>
      </c>
      <c r="D817" s="5" t="str">
        <v>Electronics</v>
      </c>
      <c r="E817" s="5" t="str">
        <v>North</v>
      </c>
      <c r="F817" s="5" t="str">
        <v>Nov-2025</v>
      </c>
      <c r="G817" s="5">
        <v>34373</v>
      </c>
      <c r="H817" s="5">
        <v>15</v>
      </c>
      <c r="I817" s="5">
        <v>24259</v>
      </c>
      <c r="J817" s="10"/>
    </row>
    <row r="818" spans="2:10" x14ac:dyDescent="0.3">
      <c r="B818" s="5" t="str">
        <v>ORD1406</v>
      </c>
      <c r="C818" s="5" t="str">
        <v>Laptop</v>
      </c>
      <c r="D818" s="5" t="str">
        <v>Electronics</v>
      </c>
      <c r="E818" s="5" t="str">
        <v>West</v>
      </c>
      <c r="F818" s="5" t="str">
        <v>Apr-2025</v>
      </c>
      <c r="G818" s="5">
        <v>34296</v>
      </c>
      <c r="H818" s="5">
        <v>11</v>
      </c>
      <c r="I818" s="5">
        <v>22872</v>
      </c>
      <c r="J818" s="10"/>
    </row>
    <row r="819" spans="2:10" x14ac:dyDescent="0.3">
      <c r="B819" s="5" t="str">
        <v>ORD1381</v>
      </c>
      <c r="C819" s="5" t="str">
        <v>Headphones</v>
      </c>
      <c r="D819" s="5" t="str">
        <v>Accessories</v>
      </c>
      <c r="E819" s="5" t="str">
        <v>East</v>
      </c>
      <c r="F819" s="5" t="str">
        <v>Aug-2025</v>
      </c>
      <c r="G819" s="5">
        <v>34259</v>
      </c>
      <c r="H819" s="5">
        <v>10</v>
      </c>
      <c r="I819" s="5">
        <v>21101</v>
      </c>
      <c r="J819" s="10"/>
    </row>
    <row r="820" spans="2:10" x14ac:dyDescent="0.3">
      <c r="B820" s="5" t="str">
        <v>ORD1484</v>
      </c>
      <c r="C820" s="5" t="str">
        <v>Mouse</v>
      </c>
      <c r="D820" s="5" t="str">
        <v>Accessories</v>
      </c>
      <c r="E820" s="5" t="str">
        <v>North</v>
      </c>
      <c r="F820" s="5" t="str">
        <v>Jun-2025</v>
      </c>
      <c r="G820" s="5">
        <v>34215</v>
      </c>
      <c r="H820" s="5">
        <v>3</v>
      </c>
      <c r="I820" s="5">
        <v>23225</v>
      </c>
      <c r="J820" s="10"/>
    </row>
    <row r="821" spans="2:10" x14ac:dyDescent="0.3">
      <c r="B821" s="5" t="str">
        <v>ORD1830</v>
      </c>
      <c r="C821" s="5" t="str">
        <v>Mouse</v>
      </c>
      <c r="D821" s="5" t="str">
        <v>Accessories</v>
      </c>
      <c r="E821" s="5" t="str">
        <v>North</v>
      </c>
      <c r="F821" s="5" t="str">
        <v>Jun-2025</v>
      </c>
      <c r="G821" s="5">
        <v>34186</v>
      </c>
      <c r="H821" s="5">
        <v>12</v>
      </c>
      <c r="I821" s="5">
        <v>22803</v>
      </c>
      <c r="J821" s="10"/>
    </row>
    <row r="822" spans="2:10" x14ac:dyDescent="0.3">
      <c r="B822" s="5" t="str">
        <v>ORD1889</v>
      </c>
      <c r="C822" s="5" t="str">
        <v>Printer</v>
      </c>
      <c r="D822" s="5" t="str">
        <v>Peripherals</v>
      </c>
      <c r="E822" s="5" t="str">
        <v>North</v>
      </c>
      <c r="F822" s="5" t="str">
        <v>Aug-2025</v>
      </c>
      <c r="G822" s="5">
        <v>34113</v>
      </c>
      <c r="H822" s="5">
        <v>15</v>
      </c>
      <c r="I822" s="5">
        <v>23077</v>
      </c>
      <c r="J822" s="10"/>
    </row>
    <row r="823" spans="2:10" x14ac:dyDescent="0.3">
      <c r="B823" s="5" t="str">
        <v>ORD1342</v>
      </c>
      <c r="C823" s="5" t="str">
        <v>Phone</v>
      </c>
      <c r="D823" s="5" t="str">
        <v>Electronics</v>
      </c>
      <c r="E823" s="5" t="str">
        <v>East</v>
      </c>
      <c r="F823" s="5" t="str">
        <v>Dec-2025</v>
      </c>
      <c r="G823" s="5">
        <v>34103</v>
      </c>
      <c r="H823" s="5">
        <v>2</v>
      </c>
      <c r="I823" s="5">
        <v>20540</v>
      </c>
      <c r="J823" s="10"/>
    </row>
    <row r="824" spans="2:10" x14ac:dyDescent="0.3">
      <c r="B824" s="5" t="str">
        <v>ORD1969</v>
      </c>
      <c r="C824" s="5" t="str">
        <v>Tablet</v>
      </c>
      <c r="D824" s="5" t="str">
        <v>Electronics</v>
      </c>
      <c r="E824" s="5" t="str">
        <v>West</v>
      </c>
      <c r="F824" s="5" t="str">
        <v>Dec-2025</v>
      </c>
      <c r="G824" s="5">
        <v>33882</v>
      </c>
      <c r="H824" s="5">
        <v>4</v>
      </c>
      <c r="I824" s="5">
        <v>25208</v>
      </c>
      <c r="J824" s="10"/>
    </row>
    <row r="825" spans="2:10" x14ac:dyDescent="0.3">
      <c r="B825" s="5" t="str">
        <v>ORD1372</v>
      </c>
      <c r="C825" s="5" t="str">
        <v>Headphones</v>
      </c>
      <c r="D825" s="5" t="str">
        <v>Accessories</v>
      </c>
      <c r="E825" s="5" t="str">
        <v>East</v>
      </c>
      <c r="F825" s="5" t="str">
        <v>Mar-2025</v>
      </c>
      <c r="G825" s="5">
        <v>33735</v>
      </c>
      <c r="H825" s="5">
        <v>3</v>
      </c>
      <c r="I825" s="5">
        <v>24632</v>
      </c>
      <c r="J825" s="10"/>
    </row>
    <row r="826" spans="2:10" x14ac:dyDescent="0.3">
      <c r="B826" s="5" t="str">
        <v>ORD1035</v>
      </c>
      <c r="C826" s="5" t="str">
        <v>Phone</v>
      </c>
      <c r="D826" s="5" t="str">
        <v>Electronics</v>
      </c>
      <c r="E826" s="5" t="str">
        <v>West</v>
      </c>
      <c r="F826" s="5" t="str">
        <v>Jan-2025</v>
      </c>
      <c r="G826" s="5">
        <v>33723</v>
      </c>
      <c r="H826" s="5">
        <v>1</v>
      </c>
      <c r="I826" s="5">
        <v>22135</v>
      </c>
      <c r="J826" s="10"/>
    </row>
    <row r="827" spans="2:10" x14ac:dyDescent="0.3">
      <c r="B827" s="5" t="str">
        <v>ORD1548</v>
      </c>
      <c r="C827" s="5" t="str">
        <v>Monitor</v>
      </c>
      <c r="D827" s="5" t="str">
        <v>Peripherals</v>
      </c>
      <c r="E827" s="5" t="str">
        <v>East</v>
      </c>
      <c r="F827" s="5" t="str">
        <v>Mar-2025</v>
      </c>
      <c r="G827" s="5">
        <v>33713</v>
      </c>
      <c r="H827" s="5">
        <v>1</v>
      </c>
      <c r="I827" s="5">
        <v>23874</v>
      </c>
      <c r="J827" s="10"/>
    </row>
    <row r="828" spans="2:10" x14ac:dyDescent="0.3">
      <c r="B828" s="5" t="str">
        <v>ORD1416</v>
      </c>
      <c r="C828" s="5" t="str">
        <v>Mouse</v>
      </c>
      <c r="D828" s="5" t="str">
        <v>Accessories</v>
      </c>
      <c r="E828" s="5" t="str">
        <v>South</v>
      </c>
      <c r="F828" s="5" t="str">
        <v>Feb-2025</v>
      </c>
      <c r="G828" s="5">
        <v>33660</v>
      </c>
      <c r="H828" s="5">
        <v>4</v>
      </c>
      <c r="I828" s="5">
        <v>22225</v>
      </c>
      <c r="J828" s="10"/>
    </row>
    <row r="829" spans="2:10" x14ac:dyDescent="0.3">
      <c r="B829" s="5" t="str">
        <v>ORD1612</v>
      </c>
      <c r="C829" s="5" t="str">
        <v>Keyboard</v>
      </c>
      <c r="D829" s="5" t="str">
        <v>Peripherals</v>
      </c>
      <c r="E829" s="5" t="str">
        <v>West</v>
      </c>
      <c r="F829" s="5" t="str">
        <v>Jun-2025</v>
      </c>
      <c r="G829" s="5">
        <v>33448</v>
      </c>
      <c r="H829" s="5">
        <v>6</v>
      </c>
      <c r="I829" s="5">
        <v>23502</v>
      </c>
      <c r="J829" s="10"/>
    </row>
    <row r="830" spans="2:10" x14ac:dyDescent="0.3">
      <c r="B830" s="5" t="str">
        <v>ORD1902</v>
      </c>
      <c r="C830" s="5" t="str">
        <v>Phone</v>
      </c>
      <c r="D830" s="5" t="str">
        <v>Electronics</v>
      </c>
      <c r="E830" s="5" t="str">
        <v>North</v>
      </c>
      <c r="F830" s="5" t="str">
        <v>Jun-2025</v>
      </c>
      <c r="G830" s="5">
        <v>33253</v>
      </c>
      <c r="H830" s="5">
        <v>14</v>
      </c>
      <c r="I830" s="5">
        <v>24048</v>
      </c>
      <c r="J830" s="10"/>
    </row>
    <row r="831" spans="2:10" x14ac:dyDescent="0.3">
      <c r="B831" s="5" t="str">
        <v>ORD1855</v>
      </c>
      <c r="C831" s="5" t="str">
        <v>Phone</v>
      </c>
      <c r="D831" s="5" t="str">
        <v>Electronics</v>
      </c>
      <c r="E831" s="5" t="str">
        <v>West</v>
      </c>
      <c r="F831" s="5" t="str">
        <v>May-2025</v>
      </c>
      <c r="G831" s="5">
        <v>33212</v>
      </c>
      <c r="H831" s="5">
        <v>5</v>
      </c>
      <c r="I831" s="5">
        <v>24708</v>
      </c>
      <c r="J831" s="10"/>
    </row>
    <row r="832" spans="2:10" x14ac:dyDescent="0.3">
      <c r="B832" s="5" t="str">
        <v>ORD1988</v>
      </c>
      <c r="C832" s="5" t="str">
        <v>Phone</v>
      </c>
      <c r="D832" s="5" t="str">
        <v>Electronics</v>
      </c>
      <c r="E832" s="5" t="str">
        <v>West</v>
      </c>
      <c r="F832" s="5" t="str">
        <v>Jul-2025</v>
      </c>
      <c r="G832" s="5">
        <v>32802</v>
      </c>
      <c r="H832" s="5">
        <v>6</v>
      </c>
      <c r="I832" s="5">
        <v>21900</v>
      </c>
      <c r="J832" s="10"/>
    </row>
    <row r="833" spans="2:10" x14ac:dyDescent="0.3">
      <c r="B833" s="5" t="str">
        <v>ORD1911</v>
      </c>
      <c r="C833" s="5" t="str">
        <v>Laptop</v>
      </c>
      <c r="D833" s="5" t="str">
        <v>Electronics</v>
      </c>
      <c r="E833" s="5" t="str">
        <v>North</v>
      </c>
      <c r="F833" s="5" t="str">
        <v>Jan-2025</v>
      </c>
      <c r="G833" s="5">
        <v>32388</v>
      </c>
      <c r="H833" s="5">
        <v>1</v>
      </c>
      <c r="I833" s="5">
        <v>22383</v>
      </c>
      <c r="J833" s="10"/>
    </row>
    <row r="834" spans="2:10" x14ac:dyDescent="0.3">
      <c r="B834" s="5" t="str">
        <v>ORD1592</v>
      </c>
      <c r="C834" s="5" t="str">
        <v>Headphones</v>
      </c>
      <c r="D834" s="5" t="str">
        <v>Accessories</v>
      </c>
      <c r="E834" s="5" t="str">
        <v>East</v>
      </c>
      <c r="F834" s="5" t="str">
        <v>Sep-2025</v>
      </c>
      <c r="G834" s="5">
        <v>32329</v>
      </c>
      <c r="H834" s="5">
        <v>14</v>
      </c>
      <c r="I834" s="5">
        <v>23939</v>
      </c>
      <c r="J834" s="10"/>
    </row>
    <row r="835" spans="2:10" x14ac:dyDescent="0.3">
      <c r="B835" s="5" t="str">
        <v>ORD1642</v>
      </c>
      <c r="C835" s="5" t="str">
        <v>Monitor</v>
      </c>
      <c r="D835" s="5" t="str">
        <v>Peripherals</v>
      </c>
      <c r="E835" s="5" t="str">
        <v>North</v>
      </c>
      <c r="F835" s="5" t="str">
        <v>Mar-2025</v>
      </c>
      <c r="G835" s="5">
        <v>31657</v>
      </c>
      <c r="H835" s="5">
        <v>9</v>
      </c>
      <c r="I835" s="5">
        <v>19694</v>
      </c>
      <c r="J835" s="10"/>
    </row>
    <row r="836" spans="2:10" x14ac:dyDescent="0.3">
      <c r="B836" s="5" t="str">
        <v>ORD1389</v>
      </c>
      <c r="C836" s="5" t="str">
        <v>Mouse</v>
      </c>
      <c r="D836" s="5" t="str">
        <v>Accessories</v>
      </c>
      <c r="E836" s="5" t="str">
        <v>South</v>
      </c>
      <c r="F836" s="5" t="str">
        <v>Aug-2025</v>
      </c>
      <c r="G836" s="5">
        <v>30878</v>
      </c>
      <c r="H836" s="5">
        <v>7</v>
      </c>
      <c r="I836" s="5">
        <v>19906</v>
      </c>
      <c r="J836" s="10"/>
    </row>
    <row r="837" spans="2:10" x14ac:dyDescent="0.3">
      <c r="B837" s="5" t="str">
        <v>ORD1957</v>
      </c>
      <c r="C837" s="5" t="str">
        <v>Headphones</v>
      </c>
      <c r="D837" s="5" t="str">
        <v>Accessories</v>
      </c>
      <c r="E837" s="5" t="str">
        <v>South</v>
      </c>
      <c r="F837" s="5" t="str">
        <v>Mar-2025</v>
      </c>
      <c r="G837" s="5">
        <v>30221</v>
      </c>
      <c r="H837" s="5">
        <v>13</v>
      </c>
      <c r="I837" s="5">
        <v>21862</v>
      </c>
      <c r="J837" s="10"/>
    </row>
    <row r="838" spans="2:10" x14ac:dyDescent="0.3">
      <c r="B838" s="5" t="str">
        <v>ORD1074</v>
      </c>
      <c r="C838" s="5" t="str">
        <v>Keyboard</v>
      </c>
      <c r="D838" s="5" t="str">
        <v>Peripherals</v>
      </c>
      <c r="E838" s="5" t="str">
        <v>West</v>
      </c>
      <c r="F838" s="5" t="str">
        <v>Sep-2025</v>
      </c>
      <c r="G838" s="5">
        <v>30122</v>
      </c>
      <c r="H838" s="5">
        <v>10</v>
      </c>
      <c r="I838" s="5">
        <v>22389</v>
      </c>
      <c r="J838" s="10"/>
    </row>
    <row r="839" spans="2:10" x14ac:dyDescent="0.3">
      <c r="B839" s="5" t="str">
        <v>ORD1007</v>
      </c>
      <c r="C839" s="5" t="str">
        <v>Headphones</v>
      </c>
      <c r="D839" s="5" t="str">
        <v>Accessories</v>
      </c>
      <c r="E839" s="5" t="str">
        <v>East</v>
      </c>
      <c r="F839" s="5" t="str">
        <v>Feb-2025</v>
      </c>
      <c r="G839" s="5">
        <v>29883</v>
      </c>
      <c r="H839" s="5">
        <v>10</v>
      </c>
      <c r="I839" s="5">
        <v>19997</v>
      </c>
      <c r="J839" s="10"/>
    </row>
    <row r="840" spans="2:10" x14ac:dyDescent="0.3">
      <c r="B840" s="5" t="str">
        <v>ORD1095</v>
      </c>
      <c r="C840" s="5" t="str">
        <v>Phone</v>
      </c>
      <c r="D840" s="5" t="str">
        <v>Electronics</v>
      </c>
      <c r="E840" s="5" t="str">
        <v>East</v>
      </c>
      <c r="F840" s="5" t="str">
        <v>May-2025</v>
      </c>
      <c r="G840" s="5">
        <v>29719</v>
      </c>
      <c r="H840" s="5">
        <v>8</v>
      </c>
      <c r="I840" s="5">
        <v>21231</v>
      </c>
      <c r="J840" s="10"/>
    </row>
    <row r="841" spans="2:10" x14ac:dyDescent="0.3">
      <c r="B841" s="5" t="str">
        <v>ORD1666</v>
      </c>
      <c r="C841" s="5" t="str">
        <v>Phone</v>
      </c>
      <c r="D841" s="5" t="str">
        <v>Electronics</v>
      </c>
      <c r="E841" s="5" t="str">
        <v>South</v>
      </c>
      <c r="F841" s="5" t="str">
        <v>Dec-2025</v>
      </c>
      <c r="G841" s="5">
        <v>29558</v>
      </c>
      <c r="H841" s="5">
        <v>14</v>
      </c>
      <c r="I841" s="5">
        <v>19020</v>
      </c>
      <c r="J841" s="10"/>
    </row>
    <row r="842" spans="2:10" x14ac:dyDescent="0.3">
      <c r="B842" s="5" t="str">
        <v>ORD1119</v>
      </c>
      <c r="C842" s="5" t="str">
        <v>Phone</v>
      </c>
      <c r="D842" s="5" t="str">
        <v>Electronics</v>
      </c>
      <c r="E842" s="5" t="str">
        <v>East</v>
      </c>
      <c r="F842" s="5" t="str">
        <v>May-2025</v>
      </c>
      <c r="G842" s="5">
        <v>29528</v>
      </c>
      <c r="H842" s="5">
        <v>12</v>
      </c>
      <c r="I842" s="5">
        <v>19411</v>
      </c>
      <c r="J842" s="10"/>
    </row>
    <row r="843" spans="2:10" x14ac:dyDescent="0.3">
      <c r="B843" s="5" t="str">
        <v>ORD1346</v>
      </c>
      <c r="C843" s="5" t="str">
        <v>Phone</v>
      </c>
      <c r="D843" s="5" t="str">
        <v>Electronics</v>
      </c>
      <c r="E843" s="5" t="str">
        <v>South</v>
      </c>
      <c r="F843" s="5" t="str">
        <v>Aug-2025</v>
      </c>
      <c r="G843" s="5">
        <v>29518</v>
      </c>
      <c r="H843" s="5">
        <v>3</v>
      </c>
      <c r="I843" s="5">
        <v>21312</v>
      </c>
      <c r="J843" s="10"/>
    </row>
    <row r="844" spans="2:10" x14ac:dyDescent="0.3">
      <c r="B844" s="5" t="str">
        <v>ORD1352</v>
      </c>
      <c r="C844" s="5" t="str">
        <v>Keyboard</v>
      </c>
      <c r="D844" s="5" t="str">
        <v>Peripherals</v>
      </c>
      <c r="E844" s="5" t="str">
        <v>South</v>
      </c>
      <c r="F844" s="5" t="str">
        <v>Feb-2025</v>
      </c>
      <c r="G844" s="5">
        <v>29458</v>
      </c>
      <c r="H844" s="5">
        <v>3</v>
      </c>
      <c r="I844" s="5">
        <v>20030</v>
      </c>
      <c r="J844" s="10"/>
    </row>
    <row r="845" spans="2:10" x14ac:dyDescent="0.3">
      <c r="B845" s="5" t="str">
        <v>ORD1218</v>
      </c>
      <c r="C845" s="5" t="str">
        <v>Phone</v>
      </c>
      <c r="D845" s="5" t="str">
        <v>Electronics</v>
      </c>
      <c r="E845" s="5" t="str">
        <v>East</v>
      </c>
      <c r="F845" s="5" t="str">
        <v>Jan-2025</v>
      </c>
      <c r="G845" s="5">
        <v>29305</v>
      </c>
      <c r="H845" s="5">
        <v>2</v>
      </c>
      <c r="I845" s="5">
        <v>21951</v>
      </c>
      <c r="J845" s="10"/>
    </row>
    <row r="846" spans="2:10" x14ac:dyDescent="0.3">
      <c r="B846" s="5" t="str">
        <v>ORD1276</v>
      </c>
      <c r="C846" s="5" t="str">
        <v>Phone</v>
      </c>
      <c r="D846" s="5" t="str">
        <v>Electronics</v>
      </c>
      <c r="E846" s="5" t="str">
        <v>South</v>
      </c>
      <c r="F846" s="5" t="str">
        <v>May-2025</v>
      </c>
      <c r="G846" s="5">
        <v>29124</v>
      </c>
      <c r="H846" s="5">
        <v>8</v>
      </c>
      <c r="I846" s="5">
        <v>19056</v>
      </c>
      <c r="J846" s="10"/>
    </row>
    <row r="847" spans="2:10" x14ac:dyDescent="0.3">
      <c r="B847" s="5" t="str">
        <v>ORD1883</v>
      </c>
      <c r="C847" s="5" t="str">
        <v>Headphones</v>
      </c>
      <c r="D847" s="5" t="str">
        <v>Accessories</v>
      </c>
      <c r="E847" s="5" t="str">
        <v>South</v>
      </c>
      <c r="F847" s="5" t="str">
        <v>Oct-2025</v>
      </c>
      <c r="G847" s="5">
        <v>28917</v>
      </c>
      <c r="H847" s="5">
        <v>10</v>
      </c>
      <c r="I847" s="5">
        <v>20787</v>
      </c>
      <c r="J847" s="10"/>
    </row>
    <row r="848" spans="2:10" x14ac:dyDescent="0.3">
      <c r="B848" s="5" t="str">
        <v>ORD1057</v>
      </c>
      <c r="C848" s="5" t="str">
        <v>Phone</v>
      </c>
      <c r="D848" s="5" t="str">
        <v>Electronics</v>
      </c>
      <c r="E848" s="5" t="str">
        <v>West</v>
      </c>
      <c r="F848" s="5" t="str">
        <v>Jan-2025</v>
      </c>
      <c r="G848" s="5">
        <v>28804</v>
      </c>
      <c r="H848" s="5">
        <v>1</v>
      </c>
      <c r="I848" s="5">
        <v>17533</v>
      </c>
      <c r="J848" s="10"/>
    </row>
    <row r="849" spans="2:10" x14ac:dyDescent="0.3">
      <c r="B849" s="5" t="str">
        <v>ORD1220</v>
      </c>
      <c r="C849" s="5" t="str">
        <v>Laptop</v>
      </c>
      <c r="D849" s="5" t="str">
        <v>Electronics</v>
      </c>
      <c r="E849" s="5" t="str">
        <v>North</v>
      </c>
      <c r="F849" s="5" t="str">
        <v>Feb-2025</v>
      </c>
      <c r="G849" s="5">
        <v>28545</v>
      </c>
      <c r="H849" s="5">
        <v>5</v>
      </c>
      <c r="I849" s="5">
        <v>18656</v>
      </c>
      <c r="J849" s="10"/>
    </row>
    <row r="850" spans="2:10" x14ac:dyDescent="0.3">
      <c r="B850" s="5" t="str">
        <v>ORD1942</v>
      </c>
      <c r="C850" s="5" t="str">
        <v>Printer</v>
      </c>
      <c r="D850" s="5" t="str">
        <v>Peripherals</v>
      </c>
      <c r="E850" s="5" t="str">
        <v>North</v>
      </c>
      <c r="F850" s="5" t="str">
        <v>Jan-2025</v>
      </c>
      <c r="G850" s="5">
        <v>28532</v>
      </c>
      <c r="H850" s="5">
        <v>9</v>
      </c>
      <c r="I850" s="5">
        <v>18169</v>
      </c>
      <c r="J850" s="10"/>
    </row>
    <row r="851" spans="2:10" x14ac:dyDescent="0.3">
      <c r="B851" s="5" t="str">
        <v>ORD1842</v>
      </c>
      <c r="C851" s="5" t="str">
        <v>Monitor</v>
      </c>
      <c r="D851" s="5" t="str">
        <v>Peripherals</v>
      </c>
      <c r="E851" s="5" t="str">
        <v>East</v>
      </c>
      <c r="F851" s="5" t="str">
        <v>Sep-2025</v>
      </c>
      <c r="G851" s="5">
        <v>28188</v>
      </c>
      <c r="H851" s="5">
        <v>8</v>
      </c>
      <c r="I851" s="5">
        <v>20418</v>
      </c>
      <c r="J851" s="10"/>
    </row>
    <row r="852" spans="2:10" x14ac:dyDescent="0.3">
      <c r="B852" s="5" t="str">
        <v>ORD1037</v>
      </c>
      <c r="C852" s="5" t="str">
        <v>Keyboard</v>
      </c>
      <c r="D852" s="5" t="str">
        <v>Peripherals</v>
      </c>
      <c r="E852" s="5" t="str">
        <v>South</v>
      </c>
      <c r="F852" s="5" t="str">
        <v>Sep-2025</v>
      </c>
      <c r="G852" s="5">
        <v>28015</v>
      </c>
      <c r="H852" s="5">
        <v>2</v>
      </c>
      <c r="I852" s="5">
        <v>16998</v>
      </c>
      <c r="J852" s="10"/>
    </row>
    <row r="853" spans="2:10" x14ac:dyDescent="0.3">
      <c r="B853" s="5" t="str">
        <v>ORD1947</v>
      </c>
      <c r="C853" s="5" t="str">
        <v>Mouse</v>
      </c>
      <c r="D853" s="5" t="str">
        <v>Accessories</v>
      </c>
      <c r="E853" s="5" t="str">
        <v>South</v>
      </c>
      <c r="F853" s="5" t="str">
        <v>Jan-2025</v>
      </c>
      <c r="G853" s="5">
        <v>28001</v>
      </c>
      <c r="H853" s="5">
        <v>11</v>
      </c>
      <c r="I853" s="5">
        <v>19814</v>
      </c>
      <c r="J853" s="10"/>
    </row>
    <row r="854" spans="2:10" x14ac:dyDescent="0.3">
      <c r="B854" s="5" t="str">
        <v>ORD1330</v>
      </c>
      <c r="C854" s="5" t="str">
        <v>Mouse</v>
      </c>
      <c r="D854" s="5" t="str">
        <v>Accessories</v>
      </c>
      <c r="E854" s="5" t="str">
        <v>North</v>
      </c>
      <c r="F854" s="5" t="str">
        <v>Dec-2025</v>
      </c>
      <c r="G854" s="5">
        <v>27989</v>
      </c>
      <c r="H854" s="5">
        <v>4</v>
      </c>
      <c r="I854" s="5">
        <v>19913</v>
      </c>
      <c r="J854" s="10"/>
    </row>
    <row r="855" spans="2:10" x14ac:dyDescent="0.3">
      <c r="B855" s="5" t="str">
        <v>ORD1789</v>
      </c>
      <c r="C855" s="5" t="str">
        <v>Monitor</v>
      </c>
      <c r="D855" s="5" t="str">
        <v>Peripherals</v>
      </c>
      <c r="E855" s="5" t="str">
        <v>North</v>
      </c>
      <c r="F855" s="5" t="str">
        <v>Jun-2025</v>
      </c>
      <c r="G855" s="5">
        <v>27953</v>
      </c>
      <c r="H855" s="5">
        <v>13</v>
      </c>
      <c r="I855" s="5">
        <v>19385</v>
      </c>
      <c r="J855" s="10"/>
    </row>
    <row r="856" spans="2:10" x14ac:dyDescent="0.3">
      <c r="B856" s="5" t="str">
        <v>ORD1187</v>
      </c>
      <c r="C856" s="5" t="str">
        <v>Mouse</v>
      </c>
      <c r="D856" s="5" t="str">
        <v>Accessories</v>
      </c>
      <c r="E856" s="5" t="str">
        <v>East</v>
      </c>
      <c r="F856" s="5" t="str">
        <v>Jun-2025</v>
      </c>
      <c r="G856" s="5">
        <v>27857</v>
      </c>
      <c r="H856" s="5">
        <v>6</v>
      </c>
      <c r="I856" s="5">
        <v>19436</v>
      </c>
      <c r="J856" s="10"/>
    </row>
    <row r="857" spans="2:10" x14ac:dyDescent="0.3">
      <c r="B857" s="5" t="str">
        <v>ORD1479</v>
      </c>
      <c r="C857" s="5" t="str">
        <v>Phone</v>
      </c>
      <c r="D857" s="5" t="str">
        <v>Electronics</v>
      </c>
      <c r="E857" s="5" t="str">
        <v>West</v>
      </c>
      <c r="F857" s="5" t="str">
        <v>May-2025</v>
      </c>
      <c r="G857" s="5">
        <v>27810</v>
      </c>
      <c r="H857" s="5">
        <v>1</v>
      </c>
      <c r="I857" s="5">
        <v>19728</v>
      </c>
      <c r="J857" s="10"/>
    </row>
    <row r="858" spans="2:10" x14ac:dyDescent="0.3">
      <c r="B858" s="5" t="str">
        <v>ORD1771</v>
      </c>
      <c r="C858" s="5" t="str">
        <v>Headphones</v>
      </c>
      <c r="D858" s="5" t="str">
        <v>Accessories</v>
      </c>
      <c r="E858" s="5" t="str">
        <v>East</v>
      </c>
      <c r="F858" s="5" t="str">
        <v>Apr-2025</v>
      </c>
      <c r="G858" s="5">
        <v>27716</v>
      </c>
      <c r="H858" s="5">
        <v>9</v>
      </c>
      <c r="I858" s="5">
        <v>20697</v>
      </c>
      <c r="J858" s="10"/>
    </row>
    <row r="859" spans="2:10" x14ac:dyDescent="0.3">
      <c r="B859" s="5" t="str">
        <v>ORD1970</v>
      </c>
      <c r="C859" s="5" t="str">
        <v>Printer</v>
      </c>
      <c r="D859" s="5" t="str">
        <v>Peripherals</v>
      </c>
      <c r="E859" s="5" t="str">
        <v>East</v>
      </c>
      <c r="F859" s="5" t="str">
        <v>Mar-2025</v>
      </c>
      <c r="G859" s="5">
        <v>27677</v>
      </c>
      <c r="H859" s="5">
        <v>13</v>
      </c>
      <c r="I859" s="5">
        <v>19453</v>
      </c>
      <c r="J859" s="10"/>
    </row>
    <row r="860" spans="2:10" x14ac:dyDescent="0.3">
      <c r="B860" s="5" t="str">
        <v>ORD1800</v>
      </c>
      <c r="C860" s="5" t="str">
        <v>Keyboard</v>
      </c>
      <c r="D860" s="5" t="str">
        <v>Peripherals</v>
      </c>
      <c r="E860" s="5" t="str">
        <v>East</v>
      </c>
      <c r="F860" s="5" t="str">
        <v>Jul-2025</v>
      </c>
      <c r="G860" s="5">
        <v>27663</v>
      </c>
      <c r="H860" s="5">
        <v>13</v>
      </c>
      <c r="I860" s="5">
        <v>17712</v>
      </c>
      <c r="J860" s="10"/>
    </row>
    <row r="861" spans="2:10" x14ac:dyDescent="0.3">
      <c r="B861" s="5" t="str">
        <v>ORD1530</v>
      </c>
      <c r="C861" s="5" t="str">
        <v>Keyboard</v>
      </c>
      <c r="D861" s="5" t="str">
        <v>Peripherals</v>
      </c>
      <c r="E861" s="5" t="str">
        <v>West</v>
      </c>
      <c r="F861" s="5" t="str">
        <v>Feb-2025</v>
      </c>
      <c r="G861" s="5">
        <v>27627</v>
      </c>
      <c r="H861" s="5">
        <v>8</v>
      </c>
      <c r="I861" s="5">
        <v>19964</v>
      </c>
      <c r="J861" s="10"/>
    </row>
    <row r="862" spans="2:10" x14ac:dyDescent="0.3">
      <c r="B862" s="5" t="str">
        <v>ORD1713</v>
      </c>
      <c r="C862" s="5" t="str">
        <v>Printer</v>
      </c>
      <c r="D862" s="5" t="str">
        <v>Peripherals</v>
      </c>
      <c r="E862" s="5" t="str">
        <v>East</v>
      </c>
      <c r="F862" s="5" t="str">
        <v>Sep-2025</v>
      </c>
      <c r="G862" s="5">
        <v>27601</v>
      </c>
      <c r="H862" s="5">
        <v>12</v>
      </c>
      <c r="I862" s="5">
        <v>16687</v>
      </c>
      <c r="J862" s="10"/>
    </row>
    <row r="863" spans="2:10" x14ac:dyDescent="0.3">
      <c r="B863" s="5" t="str">
        <v>ORD1712</v>
      </c>
      <c r="C863" s="5" t="str">
        <v>Tablet</v>
      </c>
      <c r="D863" s="5" t="str">
        <v>Electronics</v>
      </c>
      <c r="E863" s="5" t="str">
        <v>North</v>
      </c>
      <c r="F863" s="5" t="str">
        <v>Jun-2025</v>
      </c>
      <c r="G863" s="5">
        <v>27468</v>
      </c>
      <c r="H863" s="5">
        <v>12</v>
      </c>
      <c r="I863" s="5">
        <v>16576</v>
      </c>
      <c r="J863" s="10"/>
    </row>
    <row r="864" spans="2:10" x14ac:dyDescent="0.3">
      <c r="B864" s="5" t="str">
        <v>ORD1613</v>
      </c>
      <c r="C864" s="5" t="str">
        <v>Laptop</v>
      </c>
      <c r="D864" s="5" t="str">
        <v>Electronics</v>
      </c>
      <c r="E864" s="5" t="str">
        <v>North</v>
      </c>
      <c r="F864" s="5" t="str">
        <v>Jan-2025</v>
      </c>
      <c r="G864" s="5">
        <v>27424</v>
      </c>
      <c r="H864" s="5">
        <v>1</v>
      </c>
      <c r="I864" s="5">
        <v>19304</v>
      </c>
      <c r="J864" s="10"/>
    </row>
    <row r="865" spans="2:10" x14ac:dyDescent="0.3">
      <c r="B865" s="5" t="str">
        <v>ORD1433</v>
      </c>
      <c r="C865" s="5" t="str">
        <v>Keyboard</v>
      </c>
      <c r="D865" s="5" t="str">
        <v>Peripherals</v>
      </c>
      <c r="E865" s="5" t="str">
        <v>East</v>
      </c>
      <c r="F865" s="5" t="str">
        <v>Mar-2025</v>
      </c>
      <c r="G865" s="5">
        <v>27384</v>
      </c>
      <c r="H865" s="5">
        <v>13</v>
      </c>
      <c r="I865" s="5">
        <v>18466</v>
      </c>
      <c r="J865" s="10"/>
    </row>
    <row r="866" spans="2:10" x14ac:dyDescent="0.3">
      <c r="B866" s="5" t="str">
        <v>ORD1618</v>
      </c>
      <c r="C866" s="5" t="str">
        <v>Headphones</v>
      </c>
      <c r="D866" s="5" t="str">
        <v>Accessories</v>
      </c>
      <c r="E866" s="5" t="str">
        <v>East</v>
      </c>
      <c r="F866" s="5" t="str">
        <v>Aug-2025</v>
      </c>
      <c r="G866" s="5">
        <v>27250</v>
      </c>
      <c r="H866" s="5">
        <v>6</v>
      </c>
      <c r="I866" s="5">
        <v>18666</v>
      </c>
      <c r="J866" s="10"/>
    </row>
    <row r="867" spans="2:10" x14ac:dyDescent="0.3">
      <c r="B867" s="5" t="str">
        <v>ORD1872</v>
      </c>
      <c r="C867" s="5" t="str">
        <v>Keyboard</v>
      </c>
      <c r="D867" s="5" t="str">
        <v>Peripherals</v>
      </c>
      <c r="E867" s="5" t="str">
        <v>East</v>
      </c>
      <c r="F867" s="5" t="str">
        <v>Jul-2025</v>
      </c>
      <c r="G867" s="5">
        <v>26842</v>
      </c>
      <c r="H867" s="5">
        <v>14</v>
      </c>
      <c r="I867" s="5">
        <v>18109</v>
      </c>
      <c r="J867" s="10"/>
    </row>
    <row r="868" spans="2:10" x14ac:dyDescent="0.3">
      <c r="B868" s="5" t="str">
        <v>ORD1024</v>
      </c>
      <c r="C868" s="5" t="str">
        <v>Phone</v>
      </c>
      <c r="D868" s="5" t="str">
        <v>Electronics</v>
      </c>
      <c r="E868" s="5" t="str">
        <v>South</v>
      </c>
      <c r="F868" s="5" t="str">
        <v>Nov-2025</v>
      </c>
      <c r="G868" s="5">
        <v>26780</v>
      </c>
      <c r="H868" s="5">
        <v>13</v>
      </c>
      <c r="I868" s="5">
        <v>17775</v>
      </c>
      <c r="J868" s="10"/>
    </row>
    <row r="869" spans="2:10" x14ac:dyDescent="0.3">
      <c r="B869" s="5" t="str">
        <v>ORD1747</v>
      </c>
      <c r="C869" s="5" t="str">
        <v>Phone</v>
      </c>
      <c r="D869" s="5" t="str">
        <v>Electronics</v>
      </c>
      <c r="E869" s="5" t="str">
        <v>North</v>
      </c>
      <c r="F869" s="5" t="str">
        <v>Jan-2025</v>
      </c>
      <c r="G869" s="5">
        <v>25837</v>
      </c>
      <c r="H869" s="5">
        <v>15</v>
      </c>
      <c r="I869" s="5">
        <v>17607</v>
      </c>
      <c r="J869" s="10"/>
    </row>
    <row r="870" spans="2:10" x14ac:dyDescent="0.3">
      <c r="B870" s="5" t="str">
        <v>ORD1744</v>
      </c>
      <c r="C870" s="5" t="str">
        <v>Monitor</v>
      </c>
      <c r="D870" s="5" t="str">
        <v>Peripherals</v>
      </c>
      <c r="E870" s="5" t="str">
        <v>East</v>
      </c>
      <c r="F870" s="5" t="str">
        <v>Dec-2025</v>
      </c>
      <c r="G870" s="5">
        <v>25767</v>
      </c>
      <c r="H870" s="5">
        <v>2</v>
      </c>
      <c r="I870" s="5">
        <v>18104</v>
      </c>
      <c r="J870" s="10"/>
    </row>
    <row r="871" spans="2:10" x14ac:dyDescent="0.3">
      <c r="B871" s="5" t="str">
        <v>ORD1339</v>
      </c>
      <c r="C871" s="5" t="str">
        <v>Phone</v>
      </c>
      <c r="D871" s="5" t="str">
        <v>Electronics</v>
      </c>
      <c r="E871" s="5" t="str">
        <v>East</v>
      </c>
      <c r="F871" s="5" t="str">
        <v>Mar-2025</v>
      </c>
      <c r="G871" s="5">
        <v>25153</v>
      </c>
      <c r="H871" s="5">
        <v>14</v>
      </c>
      <c r="I871" s="5">
        <v>17838</v>
      </c>
      <c r="J871" s="10"/>
    </row>
    <row r="872" spans="2:10" x14ac:dyDescent="0.3">
      <c r="B872" s="5" t="str">
        <v>ORD1452</v>
      </c>
      <c r="C872" s="5" t="str">
        <v>Tablet</v>
      </c>
      <c r="D872" s="5" t="str">
        <v>Electronics</v>
      </c>
      <c r="E872" s="5" t="str">
        <v>West</v>
      </c>
      <c r="F872" s="5" t="str">
        <v>Nov-2025</v>
      </c>
      <c r="G872" s="5">
        <v>25149</v>
      </c>
      <c r="H872" s="5">
        <v>12</v>
      </c>
      <c r="I872" s="5">
        <v>17710</v>
      </c>
      <c r="J872" s="10"/>
    </row>
    <row r="873" spans="2:10" x14ac:dyDescent="0.3">
      <c r="B873" s="5" t="str">
        <v>ORD1096</v>
      </c>
      <c r="C873" s="5" t="str">
        <v>Headphones</v>
      </c>
      <c r="D873" s="5" t="str">
        <v>Accessories</v>
      </c>
      <c r="E873" s="5" t="str">
        <v>West</v>
      </c>
      <c r="F873" s="5" t="str">
        <v>Jun-2025</v>
      </c>
      <c r="G873" s="5">
        <v>24544</v>
      </c>
      <c r="H873" s="5">
        <v>15</v>
      </c>
      <c r="I873" s="5">
        <v>14827</v>
      </c>
      <c r="J873" s="10"/>
    </row>
    <row r="874" spans="2:10" x14ac:dyDescent="0.3">
      <c r="B874" s="5" t="str">
        <v>ORD1681</v>
      </c>
      <c r="C874" s="5" t="str">
        <v>Laptop</v>
      </c>
      <c r="D874" s="5" t="str">
        <v>Electronics</v>
      </c>
      <c r="E874" s="5" t="str">
        <v>West</v>
      </c>
      <c r="F874" s="5" t="str">
        <v>Jan-2025</v>
      </c>
      <c r="G874" s="5">
        <v>24535</v>
      </c>
      <c r="H874" s="5">
        <v>10</v>
      </c>
      <c r="I874" s="5">
        <v>16142</v>
      </c>
      <c r="J874" s="10"/>
    </row>
    <row r="875" spans="2:10" x14ac:dyDescent="0.3">
      <c r="B875" s="5" t="str">
        <v>ORD1464</v>
      </c>
      <c r="C875" s="5" t="str">
        <v>Headphones</v>
      </c>
      <c r="D875" s="5" t="str">
        <v>Accessories</v>
      </c>
      <c r="E875" s="5" t="str">
        <v>West</v>
      </c>
      <c r="F875" s="5" t="str">
        <v>Jan-2025</v>
      </c>
      <c r="G875" s="5">
        <v>24006</v>
      </c>
      <c r="H875" s="5">
        <v>14</v>
      </c>
      <c r="I875" s="5">
        <v>16947</v>
      </c>
      <c r="J875" s="10"/>
    </row>
    <row r="876" spans="2:10" x14ac:dyDescent="0.3">
      <c r="B876" s="5" t="str">
        <v>ORD1895</v>
      </c>
      <c r="C876" s="5" t="str">
        <v>Tablet</v>
      </c>
      <c r="D876" s="5" t="str">
        <v>Electronics</v>
      </c>
      <c r="E876" s="5" t="str">
        <v>East</v>
      </c>
      <c r="F876" s="5" t="str">
        <v>Mar-2025</v>
      </c>
      <c r="G876" s="5">
        <v>23894</v>
      </c>
      <c r="H876" s="5">
        <v>11</v>
      </c>
      <c r="I876" s="5">
        <v>17901</v>
      </c>
      <c r="J876" s="10"/>
    </row>
    <row r="877" spans="2:10" x14ac:dyDescent="0.3">
      <c r="B877" s="5" t="str">
        <v>ORD1668</v>
      </c>
      <c r="C877" s="5" t="str">
        <v>Tablet</v>
      </c>
      <c r="D877" s="5" t="str">
        <v>Electronics</v>
      </c>
      <c r="E877" s="5" t="str">
        <v>East</v>
      </c>
      <c r="F877" s="5" t="str">
        <v>Jun-2025</v>
      </c>
      <c r="G877" s="5">
        <v>23705</v>
      </c>
      <c r="H877" s="5">
        <v>2</v>
      </c>
      <c r="I877" s="5">
        <v>17029</v>
      </c>
      <c r="J877" s="10"/>
    </row>
    <row r="878" spans="2:10" x14ac:dyDescent="0.3">
      <c r="B878" s="5" t="str">
        <v>ORD1573</v>
      </c>
      <c r="C878" s="5" t="str">
        <v>Phone</v>
      </c>
      <c r="D878" s="5" t="str">
        <v>Electronics</v>
      </c>
      <c r="E878" s="5" t="str">
        <v>East</v>
      </c>
      <c r="F878" s="5" t="str">
        <v>Sep-2025</v>
      </c>
      <c r="G878" s="5">
        <v>23680</v>
      </c>
      <c r="H878" s="5">
        <v>9</v>
      </c>
      <c r="I878" s="5">
        <v>17243</v>
      </c>
      <c r="J878" s="10"/>
    </row>
    <row r="879" spans="2:10" x14ac:dyDescent="0.3">
      <c r="B879" s="5" t="str">
        <v>ORD1826</v>
      </c>
      <c r="C879" s="5" t="str">
        <v>Tablet</v>
      </c>
      <c r="D879" s="5" t="str">
        <v>Electronics</v>
      </c>
      <c r="E879" s="5" t="str">
        <v>East</v>
      </c>
      <c r="F879" s="5" t="str">
        <v>May-2025</v>
      </c>
      <c r="G879" s="5">
        <v>23466</v>
      </c>
      <c r="H879" s="5">
        <v>4</v>
      </c>
      <c r="I879" s="5">
        <v>17191</v>
      </c>
      <c r="J879" s="10"/>
    </row>
    <row r="880" spans="2:10" x14ac:dyDescent="0.3">
      <c r="B880" s="5" t="str">
        <v>ORD1622</v>
      </c>
      <c r="C880" s="5" t="str">
        <v>Laptop</v>
      </c>
      <c r="D880" s="5" t="str">
        <v>Electronics</v>
      </c>
      <c r="E880" s="5" t="str">
        <v>East</v>
      </c>
      <c r="F880" s="5" t="str">
        <v>Apr-2025</v>
      </c>
      <c r="G880" s="5">
        <v>23354</v>
      </c>
      <c r="H880" s="5">
        <v>7</v>
      </c>
      <c r="I880" s="5">
        <v>16925</v>
      </c>
      <c r="J880" s="10"/>
    </row>
    <row r="881" spans="2:10" x14ac:dyDescent="0.3">
      <c r="B881" s="5" t="str">
        <v>ORD1120</v>
      </c>
      <c r="C881" s="5" t="str">
        <v>Laptop</v>
      </c>
      <c r="D881" s="5" t="str">
        <v>Electronics</v>
      </c>
      <c r="E881" s="5" t="str">
        <v>South</v>
      </c>
      <c r="F881" s="5" t="str">
        <v>Mar-2025</v>
      </c>
      <c r="G881" s="5">
        <v>23224</v>
      </c>
      <c r="H881" s="5">
        <v>2</v>
      </c>
      <c r="I881" s="5">
        <v>15603</v>
      </c>
      <c r="J881" s="10"/>
    </row>
    <row r="882" spans="2:10" x14ac:dyDescent="0.3">
      <c r="B882" s="5" t="str">
        <v>ORD1431</v>
      </c>
      <c r="C882" s="5" t="str">
        <v>Mouse</v>
      </c>
      <c r="D882" s="5" t="str">
        <v>Accessories</v>
      </c>
      <c r="E882" s="5" t="str">
        <v>North</v>
      </c>
      <c r="F882" s="5" t="str">
        <v>Apr-2025</v>
      </c>
      <c r="G882" s="5">
        <v>23128</v>
      </c>
      <c r="H882" s="5">
        <v>15</v>
      </c>
      <c r="I882" s="5">
        <v>16264</v>
      </c>
      <c r="J882" s="10"/>
    </row>
    <row r="883" spans="2:10" x14ac:dyDescent="0.3">
      <c r="B883" s="5" t="str">
        <v>ORD1767</v>
      </c>
      <c r="C883" s="5" t="str">
        <v>Tablet</v>
      </c>
      <c r="D883" s="5" t="str">
        <v>Electronics</v>
      </c>
      <c r="E883" s="5" t="str">
        <v>East</v>
      </c>
      <c r="F883" s="5" t="str">
        <v>Feb-2025</v>
      </c>
      <c r="G883" s="5">
        <v>22961</v>
      </c>
      <c r="H883" s="5">
        <v>1</v>
      </c>
      <c r="I883" s="5">
        <v>16198</v>
      </c>
      <c r="J883" s="10"/>
    </row>
    <row r="884" spans="2:10" x14ac:dyDescent="0.3">
      <c r="B884" s="5" t="str">
        <v>ORD1045</v>
      </c>
      <c r="C884" s="5" t="str">
        <v>Headphones</v>
      </c>
      <c r="D884" s="5" t="str">
        <v>Accessories</v>
      </c>
      <c r="E884" s="5" t="str">
        <v>North</v>
      </c>
      <c r="F884" s="5" t="str">
        <v>Aug-2025</v>
      </c>
      <c r="G884" s="5">
        <v>22817</v>
      </c>
      <c r="H884" s="5">
        <v>5</v>
      </c>
      <c r="I884" s="5">
        <v>14680</v>
      </c>
      <c r="J884" s="10"/>
    </row>
    <row r="885" spans="2:10" x14ac:dyDescent="0.3">
      <c r="B885" s="5" t="str">
        <v>ORD1821</v>
      </c>
      <c r="C885" s="5" t="str">
        <v>Phone</v>
      </c>
      <c r="D885" s="5" t="str">
        <v>Electronics</v>
      </c>
      <c r="E885" s="5" t="str">
        <v>East</v>
      </c>
      <c r="F885" s="5" t="str">
        <v>Dec-2025</v>
      </c>
      <c r="G885" s="5">
        <v>22802</v>
      </c>
      <c r="H885" s="5">
        <v>11</v>
      </c>
      <c r="I885" s="5">
        <v>14655</v>
      </c>
      <c r="J885" s="10"/>
    </row>
    <row r="886" spans="2:10" x14ac:dyDescent="0.3">
      <c r="B886" s="5" t="str">
        <v>ORD1778</v>
      </c>
      <c r="C886" s="5" t="str">
        <v>Phone</v>
      </c>
      <c r="D886" s="5" t="str">
        <v>Electronics</v>
      </c>
      <c r="E886" s="5" t="str">
        <v>East</v>
      </c>
      <c r="F886" s="5" t="str">
        <v>Mar-2025</v>
      </c>
      <c r="G886" s="5">
        <v>22746</v>
      </c>
      <c r="H886" s="5">
        <v>7</v>
      </c>
      <c r="I886" s="5">
        <v>15405</v>
      </c>
      <c r="J886" s="10"/>
    </row>
    <row r="887" spans="2:10" x14ac:dyDescent="0.3">
      <c r="B887" s="5" t="str">
        <v>ORD1931</v>
      </c>
      <c r="C887" s="5" t="str">
        <v>Tablet</v>
      </c>
      <c r="D887" s="5" t="str">
        <v>Electronics</v>
      </c>
      <c r="E887" s="5" t="str">
        <v>North</v>
      </c>
      <c r="F887" s="5" t="str">
        <v>Jun-2025</v>
      </c>
      <c r="G887" s="5">
        <v>22741</v>
      </c>
      <c r="H887" s="5">
        <v>9</v>
      </c>
      <c r="I887" s="5">
        <v>15716</v>
      </c>
      <c r="J887" s="10"/>
    </row>
    <row r="888" spans="2:10" x14ac:dyDescent="0.3">
      <c r="B888" s="5" t="str">
        <v>ORD1515</v>
      </c>
      <c r="C888" s="5" t="str">
        <v>Tablet</v>
      </c>
      <c r="D888" s="5" t="str">
        <v>Electronics</v>
      </c>
      <c r="E888" s="5" t="str">
        <v>South</v>
      </c>
      <c r="F888" s="5" t="str">
        <v>Jul-2025</v>
      </c>
      <c r="G888" s="5">
        <v>22733</v>
      </c>
      <c r="H888" s="5">
        <v>4</v>
      </c>
      <c r="I888" s="5">
        <v>13951</v>
      </c>
      <c r="J888" s="10"/>
    </row>
    <row r="889" spans="2:10" x14ac:dyDescent="0.3">
      <c r="B889" s="5" t="str">
        <v>ORD1227</v>
      </c>
      <c r="C889" s="5" t="str">
        <v>Headphones</v>
      </c>
      <c r="D889" s="5" t="str">
        <v>Accessories</v>
      </c>
      <c r="E889" s="5" t="str">
        <v>North</v>
      </c>
      <c r="F889" s="5" t="str">
        <v>Jul-2025</v>
      </c>
      <c r="G889" s="5">
        <v>22595</v>
      </c>
      <c r="H889" s="5">
        <v>12</v>
      </c>
      <c r="I889" s="5">
        <v>14445</v>
      </c>
      <c r="J889" s="10"/>
    </row>
    <row r="890" spans="2:10" x14ac:dyDescent="0.3">
      <c r="B890" s="5" t="str">
        <v>ORD1543</v>
      </c>
      <c r="C890" s="5" t="str">
        <v>Tablet</v>
      </c>
      <c r="D890" s="5" t="str">
        <v>Electronics</v>
      </c>
      <c r="E890" s="5" t="str">
        <v>South</v>
      </c>
      <c r="F890" s="5" t="str">
        <v>Apr-2025</v>
      </c>
      <c r="G890" s="5">
        <v>22195</v>
      </c>
      <c r="H890" s="5">
        <v>1</v>
      </c>
      <c r="I890" s="5">
        <v>15550</v>
      </c>
      <c r="J890" s="10"/>
    </row>
    <row r="891" spans="2:10" x14ac:dyDescent="0.3">
      <c r="B891" s="5" t="str">
        <v>ORD1756</v>
      </c>
      <c r="C891" s="5" t="str">
        <v>Laptop</v>
      </c>
      <c r="D891" s="5" t="str">
        <v>Electronics</v>
      </c>
      <c r="E891" s="5" t="str">
        <v>West</v>
      </c>
      <c r="F891" s="5" t="str">
        <v>Jun-2025</v>
      </c>
      <c r="G891" s="5">
        <v>22113</v>
      </c>
      <c r="H891" s="5">
        <v>15</v>
      </c>
      <c r="I891" s="5">
        <v>13757</v>
      </c>
      <c r="J891" s="10"/>
    </row>
    <row r="892" spans="2:10" x14ac:dyDescent="0.3">
      <c r="B892" s="5" t="str">
        <v>ORD1896</v>
      </c>
      <c r="C892" s="5" t="str">
        <v>Keyboard</v>
      </c>
      <c r="D892" s="5" t="str">
        <v>Peripherals</v>
      </c>
      <c r="E892" s="5" t="str">
        <v>North</v>
      </c>
      <c r="F892" s="5" t="str">
        <v>Apr-2025</v>
      </c>
      <c r="G892" s="5">
        <v>21629</v>
      </c>
      <c r="H892" s="5">
        <v>13</v>
      </c>
      <c r="I892" s="5">
        <v>14795</v>
      </c>
      <c r="J892" s="10"/>
    </row>
    <row r="893" spans="2:10" x14ac:dyDescent="0.3">
      <c r="B893" s="5" t="str">
        <v>ORD1136</v>
      </c>
      <c r="C893" s="5" t="str">
        <v>Phone</v>
      </c>
      <c r="D893" s="5" t="str">
        <v>Electronics</v>
      </c>
      <c r="E893" s="5" t="str">
        <v>South</v>
      </c>
      <c r="F893" s="5" t="str">
        <v>Aug-2025</v>
      </c>
      <c r="G893" s="5">
        <v>21436</v>
      </c>
      <c r="H893" s="5">
        <v>15</v>
      </c>
      <c r="I893" s="5">
        <v>15608</v>
      </c>
      <c r="J893" s="10"/>
    </row>
    <row r="894" spans="2:10" x14ac:dyDescent="0.3">
      <c r="B894" s="5" t="str">
        <v>ORD1100</v>
      </c>
      <c r="C894" s="5" t="str">
        <v>Monitor</v>
      </c>
      <c r="D894" s="5" t="str">
        <v>Peripherals</v>
      </c>
      <c r="E894" s="5" t="str">
        <v>West</v>
      </c>
      <c r="F894" s="5" t="str">
        <v>Nov-2025</v>
      </c>
      <c r="G894" s="5">
        <v>21116</v>
      </c>
      <c r="H894" s="5">
        <v>15</v>
      </c>
      <c r="I894" s="5">
        <v>15020</v>
      </c>
      <c r="J894" s="10"/>
    </row>
    <row r="895" spans="2:10" x14ac:dyDescent="0.3">
      <c r="B895" s="5" t="str">
        <v>ORD1499</v>
      </c>
      <c r="C895" s="5" t="str">
        <v>Laptop</v>
      </c>
      <c r="D895" s="5" t="str">
        <v>Electronics</v>
      </c>
      <c r="E895" s="5" t="str">
        <v>South</v>
      </c>
      <c r="F895" s="5" t="str">
        <v>Jul-2025</v>
      </c>
      <c r="G895" s="5">
        <v>20973</v>
      </c>
      <c r="H895" s="5">
        <v>7</v>
      </c>
      <c r="I895" s="5">
        <v>14179</v>
      </c>
      <c r="J895" s="10"/>
    </row>
    <row r="896" spans="2:10" x14ac:dyDescent="0.3">
      <c r="B896" s="5" t="str">
        <v>ORD1730</v>
      </c>
      <c r="C896" s="5" t="str">
        <v>Laptop</v>
      </c>
      <c r="D896" s="5" t="str">
        <v>Electronics</v>
      </c>
      <c r="E896" s="5" t="str">
        <v>North</v>
      </c>
      <c r="F896" s="5" t="str">
        <v>Jun-2025</v>
      </c>
      <c r="G896" s="5">
        <v>20967</v>
      </c>
      <c r="H896" s="5">
        <v>9</v>
      </c>
      <c r="I896" s="5">
        <v>13905</v>
      </c>
      <c r="J896" s="10"/>
    </row>
    <row r="897" spans="2:10" x14ac:dyDescent="0.3">
      <c r="B897" s="5" t="str">
        <v>ORD1350</v>
      </c>
      <c r="C897" s="5" t="str">
        <v>Mouse</v>
      </c>
      <c r="D897" s="5" t="str">
        <v>Accessories</v>
      </c>
      <c r="E897" s="5" t="str">
        <v>East</v>
      </c>
      <c r="F897" s="5" t="str">
        <v>Dec-2025</v>
      </c>
      <c r="G897" s="5">
        <v>20738</v>
      </c>
      <c r="H897" s="5">
        <v>11</v>
      </c>
      <c r="I897" s="5">
        <v>13399</v>
      </c>
      <c r="J897" s="10"/>
    </row>
    <row r="898" spans="2:10" x14ac:dyDescent="0.3">
      <c r="B898" s="5" t="str">
        <v>ORD1860</v>
      </c>
      <c r="C898" s="5" t="str">
        <v>Laptop</v>
      </c>
      <c r="D898" s="5" t="str">
        <v>Electronics</v>
      </c>
      <c r="E898" s="5" t="str">
        <v>East</v>
      </c>
      <c r="F898" s="5" t="str">
        <v>May-2025</v>
      </c>
      <c r="G898" s="5">
        <v>20562</v>
      </c>
      <c r="H898" s="5">
        <v>5</v>
      </c>
      <c r="I898" s="5">
        <v>14324</v>
      </c>
      <c r="J898" s="10"/>
    </row>
    <row r="899" spans="2:10" x14ac:dyDescent="0.3">
      <c r="B899" s="5" t="str">
        <v>ORD1834</v>
      </c>
      <c r="C899" s="5" t="str">
        <v>Tablet</v>
      </c>
      <c r="D899" s="5" t="str">
        <v>Electronics</v>
      </c>
      <c r="E899" s="5" t="str">
        <v>West</v>
      </c>
      <c r="F899" s="5" t="str">
        <v>Apr-2025</v>
      </c>
      <c r="G899" s="5">
        <v>20525</v>
      </c>
      <c r="H899" s="5">
        <v>11</v>
      </c>
      <c r="I899" s="5">
        <v>14791</v>
      </c>
      <c r="J899" s="10"/>
    </row>
    <row r="900" spans="2:10" x14ac:dyDescent="0.3">
      <c r="B900" s="5" t="str">
        <v>ORD1716</v>
      </c>
      <c r="C900" s="5" t="str">
        <v>Tablet</v>
      </c>
      <c r="D900" s="5" t="str">
        <v>Electronics</v>
      </c>
      <c r="E900" s="5" t="str">
        <v>East</v>
      </c>
      <c r="F900" s="5" t="str">
        <v>Dec-2025</v>
      </c>
      <c r="G900" s="5">
        <v>20518</v>
      </c>
      <c r="H900" s="5">
        <v>13</v>
      </c>
      <c r="I900" s="5">
        <v>14802</v>
      </c>
      <c r="J900" s="10"/>
    </row>
    <row r="901" spans="2:10" x14ac:dyDescent="0.3">
      <c r="B901" s="5" t="str">
        <v>ORD1891</v>
      </c>
      <c r="C901" s="5" t="str">
        <v>Tablet</v>
      </c>
      <c r="D901" s="5" t="str">
        <v>Electronics</v>
      </c>
      <c r="E901" s="5" t="str">
        <v>East</v>
      </c>
      <c r="F901" s="5" t="str">
        <v>Aug-2025</v>
      </c>
      <c r="G901" s="5">
        <v>20406</v>
      </c>
      <c r="H901" s="5">
        <v>1</v>
      </c>
      <c r="I901" s="5">
        <v>12936</v>
      </c>
      <c r="J901" s="10"/>
    </row>
    <row r="902" spans="2:10" x14ac:dyDescent="0.3">
      <c r="B902" s="5" t="str">
        <v>ORD1261</v>
      </c>
      <c r="C902" s="5" t="str">
        <v>Keyboard</v>
      </c>
      <c r="D902" s="5" t="str">
        <v>Peripherals</v>
      </c>
      <c r="E902" s="5" t="str">
        <v>South</v>
      </c>
      <c r="F902" s="5" t="str">
        <v>May-2025</v>
      </c>
      <c r="G902" s="5">
        <v>20022</v>
      </c>
      <c r="H902" s="5">
        <v>6</v>
      </c>
      <c r="I902" s="5">
        <v>12892</v>
      </c>
      <c r="J902" s="10"/>
    </row>
    <row r="903" spans="2:10" x14ac:dyDescent="0.3">
      <c r="B903" s="5" t="str">
        <v>ORD1031</v>
      </c>
      <c r="C903" s="5" t="str">
        <v>Laptop</v>
      </c>
      <c r="D903" s="5" t="str">
        <v>Electronics</v>
      </c>
      <c r="E903" s="5" t="str">
        <v>South</v>
      </c>
      <c r="F903" s="5" t="str">
        <v>Oct-2025</v>
      </c>
      <c r="G903" s="5">
        <v>19932</v>
      </c>
      <c r="H903" s="5">
        <v>9</v>
      </c>
      <c r="I903" s="5">
        <v>12025</v>
      </c>
      <c r="J903" s="10"/>
    </row>
    <row r="904" spans="2:10" x14ac:dyDescent="0.3">
      <c r="B904" s="5" t="str">
        <v>ORD1496</v>
      </c>
      <c r="C904" s="5" t="str">
        <v>Phone</v>
      </c>
      <c r="D904" s="5" t="str">
        <v>Electronics</v>
      </c>
      <c r="E904" s="5" t="str">
        <v>South</v>
      </c>
      <c r="F904" s="5" t="str">
        <v>Dec-2025</v>
      </c>
      <c r="G904" s="5">
        <v>19858</v>
      </c>
      <c r="H904" s="5">
        <v>4</v>
      </c>
      <c r="I904" s="5">
        <v>13616</v>
      </c>
      <c r="J904" s="10"/>
    </row>
    <row r="905" spans="2:10" x14ac:dyDescent="0.3">
      <c r="B905" s="5" t="str">
        <v>ORD1453</v>
      </c>
      <c r="C905" s="5" t="str">
        <v>Phone</v>
      </c>
      <c r="D905" s="5" t="str">
        <v>Electronics</v>
      </c>
      <c r="E905" s="5" t="str">
        <v>South</v>
      </c>
      <c r="F905" s="5" t="str">
        <v>Mar-2025</v>
      </c>
      <c r="G905" s="5">
        <v>19841</v>
      </c>
      <c r="H905" s="5">
        <v>3</v>
      </c>
      <c r="I905" s="5">
        <v>13255</v>
      </c>
      <c r="J905" s="10"/>
    </row>
    <row r="906" spans="2:10" x14ac:dyDescent="0.3">
      <c r="B906" s="5" t="str">
        <v>ORD1009</v>
      </c>
      <c r="C906" s="5" t="str">
        <v>Phone</v>
      </c>
      <c r="D906" s="5" t="str">
        <v>Electronics</v>
      </c>
      <c r="E906" s="5" t="str">
        <v>East</v>
      </c>
      <c r="F906" s="5" t="str">
        <v>Sep-2025</v>
      </c>
      <c r="G906" s="5">
        <v>19783</v>
      </c>
      <c r="H906" s="5">
        <v>14</v>
      </c>
      <c r="I906" s="5">
        <v>14371</v>
      </c>
      <c r="J906" s="10"/>
    </row>
    <row r="907" spans="2:10" x14ac:dyDescent="0.3">
      <c r="B907" s="5" t="str">
        <v>ORD1629</v>
      </c>
      <c r="C907" s="5" t="str">
        <v>Headphones</v>
      </c>
      <c r="D907" s="5" t="str">
        <v>Accessories</v>
      </c>
      <c r="E907" s="5" t="str">
        <v>North</v>
      </c>
      <c r="F907" s="5" t="str">
        <v>Aug-2025</v>
      </c>
      <c r="G907" s="5">
        <v>19717</v>
      </c>
      <c r="H907" s="5">
        <v>8</v>
      </c>
      <c r="I907" s="5">
        <v>12499</v>
      </c>
      <c r="J907" s="10"/>
    </row>
    <row r="908" spans="2:10" x14ac:dyDescent="0.3">
      <c r="B908" s="5" t="str">
        <v>ORD1131</v>
      </c>
      <c r="C908" s="5" t="str">
        <v>Phone</v>
      </c>
      <c r="D908" s="5" t="str">
        <v>Electronics</v>
      </c>
      <c r="E908" s="5" t="str">
        <v>East</v>
      </c>
      <c r="F908" s="5" t="str">
        <v>Jun-2025</v>
      </c>
      <c r="G908" s="5">
        <v>19615</v>
      </c>
      <c r="H908" s="5">
        <v>1</v>
      </c>
      <c r="I908" s="5">
        <v>13595</v>
      </c>
      <c r="J908" s="10"/>
    </row>
    <row r="909" spans="2:10" x14ac:dyDescent="0.3">
      <c r="B909" s="5" t="str">
        <v>ORD1343</v>
      </c>
      <c r="C909" s="5" t="str">
        <v>Tablet</v>
      </c>
      <c r="D909" s="5" t="str">
        <v>Electronics</v>
      </c>
      <c r="E909" s="5" t="str">
        <v>East</v>
      </c>
      <c r="F909" s="5" t="str">
        <v>Aug-2025</v>
      </c>
      <c r="G909" s="5">
        <v>19400</v>
      </c>
      <c r="H909" s="5">
        <v>12</v>
      </c>
      <c r="I909" s="5">
        <v>14184</v>
      </c>
      <c r="J909" s="10"/>
    </row>
    <row r="910" spans="2:10" x14ac:dyDescent="0.3">
      <c r="B910" s="5" t="str">
        <v>ORD1685</v>
      </c>
      <c r="C910" s="5" t="str">
        <v>Tablet</v>
      </c>
      <c r="D910" s="5" t="str">
        <v>Electronics</v>
      </c>
      <c r="E910" s="5" t="str">
        <v>East</v>
      </c>
      <c r="F910" s="5" t="str">
        <v>Aug-2025</v>
      </c>
      <c r="G910" s="5">
        <v>19183</v>
      </c>
      <c r="H910" s="5">
        <v>13</v>
      </c>
      <c r="I910" s="5">
        <v>12978</v>
      </c>
      <c r="J910" s="10"/>
    </row>
    <row r="911" spans="2:10" x14ac:dyDescent="0.3">
      <c r="B911" s="5" t="str">
        <v>ORD1520</v>
      </c>
      <c r="C911" s="5" t="str">
        <v>Mouse</v>
      </c>
      <c r="D911" s="5" t="str">
        <v>Accessories</v>
      </c>
      <c r="E911" s="5" t="str">
        <v>South</v>
      </c>
      <c r="F911" s="5" t="str">
        <v>Sep-2025</v>
      </c>
      <c r="G911" s="5">
        <v>18766</v>
      </c>
      <c r="H911" s="5">
        <v>12</v>
      </c>
      <c r="I911" s="5">
        <v>12747</v>
      </c>
      <c r="J911" s="10"/>
    </row>
    <row r="912" spans="2:10" x14ac:dyDescent="0.3">
      <c r="B912" s="5" t="str">
        <v>ORD1011</v>
      </c>
      <c r="C912" s="5" t="str">
        <v>Mouse</v>
      </c>
      <c r="D912" s="5" t="str">
        <v>Accessories</v>
      </c>
      <c r="E912" s="5" t="str">
        <v>North</v>
      </c>
      <c r="F912" s="5" t="str">
        <v>Jan-2025</v>
      </c>
      <c r="G912" s="5">
        <v>18692</v>
      </c>
      <c r="H912" s="5">
        <v>8</v>
      </c>
      <c r="I912" s="5">
        <v>12988</v>
      </c>
      <c r="J912" s="10"/>
    </row>
    <row r="913" spans="2:10" x14ac:dyDescent="0.3">
      <c r="B913" s="5" t="str">
        <v>ORD1312</v>
      </c>
      <c r="C913" s="5" t="str">
        <v>Tablet</v>
      </c>
      <c r="D913" s="5" t="str">
        <v>Electronics</v>
      </c>
      <c r="E913" s="5" t="str">
        <v>West</v>
      </c>
      <c r="F913" s="5" t="str">
        <v>Apr-2025</v>
      </c>
      <c r="G913" s="5">
        <v>18683</v>
      </c>
      <c r="H913" s="5">
        <v>9</v>
      </c>
      <c r="I913" s="5">
        <v>12110</v>
      </c>
      <c r="J913" s="10"/>
    </row>
    <row r="914" spans="2:10" x14ac:dyDescent="0.3">
      <c r="B914" s="5" t="str">
        <v>ORD1250</v>
      </c>
      <c r="C914" s="5" t="str">
        <v>Keyboard</v>
      </c>
      <c r="D914" s="5" t="str">
        <v>Peripherals</v>
      </c>
      <c r="E914" s="5" t="str">
        <v>South</v>
      </c>
      <c r="F914" s="5" t="str">
        <v>Oct-2025</v>
      </c>
      <c r="G914" s="5">
        <v>18603</v>
      </c>
      <c r="H914" s="5">
        <v>5</v>
      </c>
      <c r="I914" s="5">
        <v>12821</v>
      </c>
      <c r="J914" s="10"/>
    </row>
    <row r="915" spans="2:10" x14ac:dyDescent="0.3">
      <c r="B915" s="5" t="str">
        <v>ORD1357</v>
      </c>
      <c r="C915" s="5" t="str">
        <v>Monitor</v>
      </c>
      <c r="D915" s="5" t="str">
        <v>Peripherals</v>
      </c>
      <c r="E915" s="5" t="str">
        <v>West</v>
      </c>
      <c r="F915" s="5" t="str">
        <v>Nov-2025</v>
      </c>
      <c r="G915" s="5">
        <v>18602</v>
      </c>
      <c r="H915" s="5">
        <v>8</v>
      </c>
      <c r="I915" s="5">
        <v>13462</v>
      </c>
      <c r="J915" s="10"/>
    </row>
    <row r="916" spans="2:10" x14ac:dyDescent="0.3">
      <c r="B916" s="5" t="str">
        <v>ORD1651</v>
      </c>
      <c r="C916" s="5" t="str">
        <v>Keyboard</v>
      </c>
      <c r="D916" s="5" t="str">
        <v>Peripherals</v>
      </c>
      <c r="E916" s="5" t="str">
        <v>East</v>
      </c>
      <c r="F916" s="5" t="str">
        <v>Sep-2025</v>
      </c>
      <c r="G916" s="5">
        <v>18527</v>
      </c>
      <c r="H916" s="5">
        <v>9</v>
      </c>
      <c r="I916" s="5">
        <v>12069</v>
      </c>
      <c r="J916" s="10"/>
    </row>
    <row r="917" spans="2:10" x14ac:dyDescent="0.3">
      <c r="B917" s="5" t="str">
        <v>ORD1919</v>
      </c>
      <c r="C917" s="5" t="str">
        <v>Tablet</v>
      </c>
      <c r="D917" s="5" t="str">
        <v>Electronics</v>
      </c>
      <c r="E917" s="5" t="str">
        <v>North</v>
      </c>
      <c r="F917" s="5" t="str">
        <v>Dec-2025</v>
      </c>
      <c r="G917" s="5">
        <v>18212</v>
      </c>
      <c r="H917" s="5">
        <v>13</v>
      </c>
      <c r="I917" s="5">
        <v>11326</v>
      </c>
      <c r="J917" s="10"/>
    </row>
    <row r="918" spans="2:10" x14ac:dyDescent="0.3">
      <c r="B918" s="5" t="str">
        <v>ORD1653</v>
      </c>
      <c r="C918" s="5" t="str">
        <v>Tablet</v>
      </c>
      <c r="D918" s="5" t="str">
        <v>Electronics</v>
      </c>
      <c r="E918" s="5" t="str">
        <v>North</v>
      </c>
      <c r="F918" s="5" t="str">
        <v>Jul-2025</v>
      </c>
      <c r="G918" s="5">
        <v>18142</v>
      </c>
      <c r="H918" s="5">
        <v>6</v>
      </c>
      <c r="I918" s="5">
        <v>12481</v>
      </c>
      <c r="J918" s="10"/>
    </row>
    <row r="919" spans="2:10" x14ac:dyDescent="0.3">
      <c r="B919" s="5" t="str">
        <v>ORD1409</v>
      </c>
      <c r="C919" s="5" t="str">
        <v>Mouse</v>
      </c>
      <c r="D919" s="5" t="str">
        <v>Accessories</v>
      </c>
      <c r="E919" s="5" t="str">
        <v>West</v>
      </c>
      <c r="F919" s="5" t="str">
        <v>Feb-2025</v>
      </c>
      <c r="G919" s="5">
        <v>18135</v>
      </c>
      <c r="H919" s="5">
        <v>8</v>
      </c>
      <c r="I919" s="5">
        <v>11820</v>
      </c>
      <c r="J919" s="10"/>
    </row>
    <row r="920" spans="2:10" x14ac:dyDescent="0.3">
      <c r="B920" s="5" t="str">
        <v>ORD1245</v>
      </c>
      <c r="C920" s="5" t="str">
        <v>Keyboard</v>
      </c>
      <c r="D920" s="5" t="str">
        <v>Peripherals</v>
      </c>
      <c r="E920" s="5" t="str">
        <v>North</v>
      </c>
      <c r="F920" s="5" t="str">
        <v>Sep-2025</v>
      </c>
      <c r="G920" s="5">
        <v>18004</v>
      </c>
      <c r="H920" s="5">
        <v>6</v>
      </c>
      <c r="I920" s="5">
        <v>12652</v>
      </c>
      <c r="J920" s="10"/>
    </row>
    <row r="921" spans="2:10" x14ac:dyDescent="0.3">
      <c r="B921" s="5" t="str">
        <v>ORD1850</v>
      </c>
      <c r="C921" s="5" t="str">
        <v>Monitor</v>
      </c>
      <c r="D921" s="5" t="str">
        <v>Peripherals</v>
      </c>
      <c r="E921" s="5" t="str">
        <v>West</v>
      </c>
      <c r="F921" s="5" t="str">
        <v>Jan-2025</v>
      </c>
      <c r="G921" s="5">
        <v>17883</v>
      </c>
      <c r="H921" s="5">
        <v>11</v>
      </c>
      <c r="I921" s="5">
        <v>11862</v>
      </c>
      <c r="J921" s="10"/>
    </row>
    <row r="922" spans="2:10" x14ac:dyDescent="0.3">
      <c r="B922" s="5" t="str">
        <v>ORD1827</v>
      </c>
      <c r="C922" s="5" t="str">
        <v>Printer</v>
      </c>
      <c r="D922" s="5" t="str">
        <v>Peripherals</v>
      </c>
      <c r="E922" s="5" t="str">
        <v>East</v>
      </c>
      <c r="F922" s="5" t="str">
        <v>Sep-2025</v>
      </c>
      <c r="G922" s="5">
        <v>17680</v>
      </c>
      <c r="H922" s="5">
        <v>10</v>
      </c>
      <c r="I922" s="5">
        <v>12048</v>
      </c>
      <c r="J922" s="10"/>
    </row>
    <row r="923" spans="2:10" x14ac:dyDescent="0.3">
      <c r="B923" s="5" t="str">
        <v>ORD1819</v>
      </c>
      <c r="C923" s="5" t="str">
        <v>Mouse</v>
      </c>
      <c r="D923" s="5" t="str">
        <v>Accessories</v>
      </c>
      <c r="E923" s="5" t="str">
        <v>East</v>
      </c>
      <c r="F923" s="5" t="str">
        <v>Sep-2025</v>
      </c>
      <c r="G923" s="5">
        <v>16996</v>
      </c>
      <c r="H923" s="5">
        <v>9</v>
      </c>
      <c r="I923" s="5">
        <v>11351</v>
      </c>
      <c r="J923" s="10"/>
    </row>
    <row r="924" spans="2:10" x14ac:dyDescent="0.3">
      <c r="B924" s="5" t="str">
        <v>ORD1869</v>
      </c>
      <c r="C924" s="5" t="str">
        <v>Phone</v>
      </c>
      <c r="D924" s="5" t="str">
        <v>Electronics</v>
      </c>
      <c r="E924" s="5" t="str">
        <v>West</v>
      </c>
      <c r="F924" s="5" t="str">
        <v>Oct-2025</v>
      </c>
      <c r="G924" s="5">
        <v>16925</v>
      </c>
      <c r="H924" s="5">
        <v>8</v>
      </c>
      <c r="I924" s="5">
        <v>11510</v>
      </c>
      <c r="J924" s="10"/>
    </row>
    <row r="925" spans="2:10" x14ac:dyDescent="0.3">
      <c r="B925" s="5" t="str">
        <v>ORD1600</v>
      </c>
      <c r="C925" s="5" t="str">
        <v>Monitor</v>
      </c>
      <c r="D925" s="5" t="str">
        <v>Peripherals</v>
      </c>
      <c r="E925" s="5" t="str">
        <v>West</v>
      </c>
      <c r="F925" s="5" t="str">
        <v>May-2025</v>
      </c>
      <c r="G925" s="5">
        <v>16887</v>
      </c>
      <c r="H925" s="5">
        <v>9</v>
      </c>
      <c r="I925" s="5">
        <v>11204</v>
      </c>
      <c r="J925" s="10"/>
    </row>
    <row r="926" spans="2:10" x14ac:dyDescent="0.3">
      <c r="B926" s="5" t="str">
        <v>ORD1570</v>
      </c>
      <c r="C926" s="5" t="str">
        <v>Keyboard</v>
      </c>
      <c r="D926" s="5" t="str">
        <v>Peripherals</v>
      </c>
      <c r="E926" s="5" t="str">
        <v>North</v>
      </c>
      <c r="F926" s="5" t="str">
        <v>Dec-2025</v>
      </c>
      <c r="G926" s="5">
        <v>16658</v>
      </c>
      <c r="H926" s="5">
        <v>12</v>
      </c>
      <c r="I926" s="5">
        <v>10042</v>
      </c>
      <c r="J926" s="10"/>
    </row>
    <row r="927" spans="2:10" x14ac:dyDescent="0.3">
      <c r="B927" s="5" t="str">
        <v>ORD1164</v>
      </c>
      <c r="C927" s="5" t="str">
        <v>Laptop</v>
      </c>
      <c r="D927" s="5" t="str">
        <v>Electronics</v>
      </c>
      <c r="E927" s="5" t="str">
        <v>East</v>
      </c>
      <c r="F927" s="5" t="str">
        <v>Jan-2025</v>
      </c>
      <c r="G927" s="5">
        <v>16552</v>
      </c>
      <c r="H927" s="5">
        <v>3</v>
      </c>
      <c r="I927" s="5">
        <v>11341</v>
      </c>
      <c r="J927" s="10"/>
    </row>
    <row r="928" spans="2:10" x14ac:dyDescent="0.3">
      <c r="B928" s="5" t="str">
        <v>ORD1765</v>
      </c>
      <c r="C928" s="5" t="str">
        <v>Printer</v>
      </c>
      <c r="D928" s="5" t="str">
        <v>Peripherals</v>
      </c>
      <c r="E928" s="5" t="str">
        <v>North</v>
      </c>
      <c r="F928" s="5" t="str">
        <v>Jun-2025</v>
      </c>
      <c r="G928" s="5">
        <v>16248</v>
      </c>
      <c r="H928" s="5">
        <v>13</v>
      </c>
      <c r="I928" s="5">
        <v>11517</v>
      </c>
      <c r="J928" s="10"/>
    </row>
    <row r="929" spans="2:10" x14ac:dyDescent="0.3">
      <c r="B929" s="5" t="str">
        <v>ORD1665</v>
      </c>
      <c r="C929" s="5" t="str">
        <v>Tablet</v>
      </c>
      <c r="D929" s="5" t="str">
        <v>Electronics</v>
      </c>
      <c r="E929" s="5" t="str">
        <v>East</v>
      </c>
      <c r="F929" s="5" t="str">
        <v>Mar-2025</v>
      </c>
      <c r="G929" s="5">
        <v>16090</v>
      </c>
      <c r="H929" s="5">
        <v>6</v>
      </c>
      <c r="I929" s="5">
        <v>10559</v>
      </c>
      <c r="J929" s="10"/>
    </row>
    <row r="930" spans="2:10" x14ac:dyDescent="0.3">
      <c r="B930" s="5" t="str">
        <v>ORD1997</v>
      </c>
      <c r="C930" s="5" t="str">
        <v>Monitor</v>
      </c>
      <c r="D930" s="5" t="str">
        <v>Peripherals</v>
      </c>
      <c r="E930" s="5" t="str">
        <v>West</v>
      </c>
      <c r="F930" s="5" t="str">
        <v>Dec-2025</v>
      </c>
      <c r="G930" s="5">
        <v>16048</v>
      </c>
      <c r="H930" s="5">
        <v>12</v>
      </c>
      <c r="I930" s="5">
        <v>11405</v>
      </c>
      <c r="J930" s="10"/>
    </row>
    <row r="931" spans="2:10" x14ac:dyDescent="0.3">
      <c r="B931" s="5" t="str">
        <v>ORD1318</v>
      </c>
      <c r="C931" s="5" t="str">
        <v>Headphones</v>
      </c>
      <c r="D931" s="5" t="str">
        <v>Accessories</v>
      </c>
      <c r="E931" s="5" t="str">
        <v>South</v>
      </c>
      <c r="F931" s="5" t="str">
        <v>Oct-2025</v>
      </c>
      <c r="G931" s="5">
        <v>15966</v>
      </c>
      <c r="H931" s="5">
        <v>12</v>
      </c>
      <c r="I931" s="5">
        <v>11719</v>
      </c>
      <c r="J931" s="10"/>
    </row>
    <row r="932" spans="2:10" x14ac:dyDescent="0.3">
      <c r="B932" s="5" t="str">
        <v>ORD1542</v>
      </c>
      <c r="C932" s="5" t="str">
        <v>Laptop</v>
      </c>
      <c r="D932" s="5" t="str">
        <v>Electronics</v>
      </c>
      <c r="E932" s="5" t="str">
        <v>South</v>
      </c>
      <c r="F932" s="5" t="str">
        <v>Oct-2025</v>
      </c>
      <c r="G932" s="5">
        <v>15782</v>
      </c>
      <c r="H932" s="5">
        <v>5</v>
      </c>
      <c r="I932" s="5">
        <v>10020</v>
      </c>
      <c r="J932" s="10"/>
    </row>
    <row r="933" spans="2:10" x14ac:dyDescent="0.3">
      <c r="B933" s="5" t="str">
        <v>ORD1757</v>
      </c>
      <c r="C933" s="5" t="str">
        <v>Tablet</v>
      </c>
      <c r="D933" s="5" t="str">
        <v>Electronics</v>
      </c>
      <c r="E933" s="5" t="str">
        <v>West</v>
      </c>
      <c r="F933" s="5" t="str">
        <v>Apr-2025</v>
      </c>
      <c r="G933" s="5">
        <v>15621</v>
      </c>
      <c r="H933" s="5">
        <v>15</v>
      </c>
      <c r="I933" s="5">
        <v>10475</v>
      </c>
      <c r="J933" s="10"/>
    </row>
    <row r="934" spans="2:10" x14ac:dyDescent="0.3">
      <c r="B934" s="5" t="str">
        <v>ORD1912</v>
      </c>
      <c r="C934" s="5" t="str">
        <v>Printer</v>
      </c>
      <c r="D934" s="5" t="str">
        <v>Peripherals</v>
      </c>
      <c r="E934" s="5" t="str">
        <v>East</v>
      </c>
      <c r="F934" s="5" t="str">
        <v>Aug-2025</v>
      </c>
      <c r="G934" s="5">
        <v>15395</v>
      </c>
      <c r="H934" s="5">
        <v>3</v>
      </c>
      <c r="I934" s="5">
        <v>9824</v>
      </c>
      <c r="J934" s="10"/>
    </row>
    <row r="935" spans="2:10" x14ac:dyDescent="0.3">
      <c r="B935" s="5" t="str">
        <v>ORD1135</v>
      </c>
      <c r="C935" s="5" t="str">
        <v>Printer</v>
      </c>
      <c r="D935" s="5" t="str">
        <v>Peripherals</v>
      </c>
      <c r="E935" s="5" t="str">
        <v>South</v>
      </c>
      <c r="F935" s="5" t="str">
        <v>Nov-2025</v>
      </c>
      <c r="G935" s="5">
        <v>14960</v>
      </c>
      <c r="H935" s="5">
        <v>14</v>
      </c>
      <c r="I935" s="5">
        <v>10023</v>
      </c>
      <c r="J935" s="10"/>
    </row>
    <row r="936" spans="2:10" x14ac:dyDescent="0.3">
      <c r="B936" s="5" t="str">
        <v>ORD1786</v>
      </c>
      <c r="C936" s="5" t="str">
        <v>Printer</v>
      </c>
      <c r="D936" s="5" t="str">
        <v>Peripherals</v>
      </c>
      <c r="E936" s="5" t="str">
        <v>West</v>
      </c>
      <c r="F936" s="5" t="str">
        <v>Oct-2025</v>
      </c>
      <c r="G936" s="5">
        <v>14837</v>
      </c>
      <c r="H936" s="5">
        <v>6</v>
      </c>
      <c r="I936" s="5">
        <v>9601</v>
      </c>
      <c r="J936" s="10"/>
    </row>
    <row r="937" spans="2:10" x14ac:dyDescent="0.3">
      <c r="B937" s="5" t="str">
        <v>ORD1128</v>
      </c>
      <c r="C937" s="5" t="str">
        <v>Keyboard</v>
      </c>
      <c r="D937" s="5" t="str">
        <v>Peripherals</v>
      </c>
      <c r="E937" s="5" t="str">
        <v>North</v>
      </c>
      <c r="F937" s="5" t="str">
        <v>Jul-2025</v>
      </c>
      <c r="G937" s="5">
        <v>14494</v>
      </c>
      <c r="H937" s="5">
        <v>7</v>
      </c>
      <c r="I937" s="5">
        <v>9496</v>
      </c>
      <c r="J937" s="10"/>
    </row>
    <row r="938" spans="2:10" x14ac:dyDescent="0.3">
      <c r="B938" s="5" t="str">
        <v>ORD1056</v>
      </c>
      <c r="C938" s="5" t="str">
        <v>Mouse</v>
      </c>
      <c r="D938" s="5" t="str">
        <v>Accessories</v>
      </c>
      <c r="E938" s="5" t="str">
        <v>South</v>
      </c>
      <c r="F938" s="5" t="str">
        <v>Apr-2025</v>
      </c>
      <c r="G938" s="5">
        <v>14335</v>
      </c>
      <c r="H938" s="5">
        <v>15</v>
      </c>
      <c r="I938" s="5">
        <v>10604</v>
      </c>
      <c r="J938" s="10"/>
    </row>
    <row r="939" spans="2:10" x14ac:dyDescent="0.3">
      <c r="B939" s="5" t="str">
        <v>ORD1367</v>
      </c>
      <c r="C939" s="5" t="str">
        <v>Mouse</v>
      </c>
      <c r="D939" s="5" t="str">
        <v>Accessories</v>
      </c>
      <c r="E939" s="5" t="str">
        <v>West</v>
      </c>
      <c r="F939" s="5" t="str">
        <v>Nov-2025</v>
      </c>
      <c r="G939" s="5">
        <v>14134</v>
      </c>
      <c r="H939" s="5">
        <v>1</v>
      </c>
      <c r="I939" s="5">
        <v>8667</v>
      </c>
      <c r="J939" s="10"/>
    </row>
    <row r="940" spans="2:10" x14ac:dyDescent="0.3">
      <c r="B940" s="5" t="str">
        <v>ORD1843</v>
      </c>
      <c r="C940" s="5" t="str">
        <v>Phone</v>
      </c>
      <c r="D940" s="5" t="str">
        <v>Electronics</v>
      </c>
      <c r="E940" s="5" t="str">
        <v>North</v>
      </c>
      <c r="F940" s="5" t="str">
        <v>May-2025</v>
      </c>
      <c r="G940" s="5">
        <v>14124</v>
      </c>
      <c r="H940" s="5">
        <v>15</v>
      </c>
      <c r="I940" s="5">
        <v>10180</v>
      </c>
      <c r="J940" s="10"/>
    </row>
    <row r="941" spans="2:10" x14ac:dyDescent="0.3">
      <c r="B941" s="5" t="str">
        <v>ORD1604</v>
      </c>
      <c r="C941" s="5" t="str">
        <v>Monitor</v>
      </c>
      <c r="D941" s="5" t="str">
        <v>Peripherals</v>
      </c>
      <c r="E941" s="5" t="str">
        <v>West</v>
      </c>
      <c r="F941" s="5" t="str">
        <v>Jan-2025</v>
      </c>
      <c r="G941" s="5">
        <v>14066</v>
      </c>
      <c r="H941" s="5">
        <v>11</v>
      </c>
      <c r="I941" s="5">
        <v>9687</v>
      </c>
      <c r="J941" s="10"/>
    </row>
    <row r="942" spans="2:10" x14ac:dyDescent="0.3">
      <c r="B942" s="5" t="str">
        <v>ORD1420</v>
      </c>
      <c r="C942" s="5" t="str">
        <v>Laptop</v>
      </c>
      <c r="D942" s="5" t="str">
        <v>Electronics</v>
      </c>
      <c r="E942" s="5" t="str">
        <v>West</v>
      </c>
      <c r="F942" s="5" t="str">
        <v>Nov-2025</v>
      </c>
      <c r="G942" s="5">
        <v>14047</v>
      </c>
      <c r="H942" s="5">
        <v>9</v>
      </c>
      <c r="I942" s="5">
        <v>9908</v>
      </c>
      <c r="J942" s="10"/>
    </row>
    <row r="943" spans="2:10" x14ac:dyDescent="0.3">
      <c r="B943" s="5" t="str">
        <v>ORD1599</v>
      </c>
      <c r="C943" s="5" t="str">
        <v>Monitor</v>
      </c>
      <c r="D943" s="5" t="str">
        <v>Peripherals</v>
      </c>
      <c r="E943" s="5" t="str">
        <v>South</v>
      </c>
      <c r="F943" s="5" t="str">
        <v>Jan-2025</v>
      </c>
      <c r="G943" s="5">
        <v>14007</v>
      </c>
      <c r="H943" s="5">
        <v>5</v>
      </c>
      <c r="I943" s="5">
        <v>9282</v>
      </c>
      <c r="J943" s="10"/>
    </row>
    <row r="944" spans="2:10" x14ac:dyDescent="0.3">
      <c r="B944" s="5" t="str">
        <v>ORD1354</v>
      </c>
      <c r="C944" s="5" t="str">
        <v>Monitor</v>
      </c>
      <c r="D944" s="5" t="str">
        <v>Peripherals</v>
      </c>
      <c r="E944" s="5" t="str">
        <v>West</v>
      </c>
      <c r="F944" s="5" t="str">
        <v>May-2025</v>
      </c>
      <c r="G944" s="5">
        <v>13898</v>
      </c>
      <c r="H944" s="5">
        <v>5</v>
      </c>
      <c r="I944" s="5">
        <v>9786</v>
      </c>
      <c r="J944" s="10"/>
    </row>
    <row r="945" spans="2:10" x14ac:dyDescent="0.3">
      <c r="B945" s="5" t="str">
        <v>ORD1812</v>
      </c>
      <c r="C945" s="5" t="str">
        <v>Monitor</v>
      </c>
      <c r="D945" s="5" t="str">
        <v>Peripherals</v>
      </c>
      <c r="E945" s="5" t="str">
        <v>North</v>
      </c>
      <c r="F945" s="5" t="str">
        <v>Sep-2025</v>
      </c>
      <c r="G945" s="5">
        <v>13623</v>
      </c>
      <c r="H945" s="5">
        <v>15</v>
      </c>
      <c r="I945" s="5">
        <v>10013</v>
      </c>
      <c r="J945" s="10"/>
    </row>
    <row r="946" spans="2:10" x14ac:dyDescent="0.3">
      <c r="B946" s="5" t="str">
        <v>ORD1845</v>
      </c>
      <c r="C946" s="5" t="str">
        <v>Laptop</v>
      </c>
      <c r="D946" s="5" t="str">
        <v>Electronics</v>
      </c>
      <c r="E946" s="5" t="str">
        <v>West</v>
      </c>
      <c r="F946" s="5" t="str">
        <v>Jun-2025</v>
      </c>
      <c r="G946" s="5">
        <v>13592</v>
      </c>
      <c r="H946" s="5">
        <v>8</v>
      </c>
      <c r="I946" s="5">
        <v>9393</v>
      </c>
      <c r="J946" s="10"/>
    </row>
    <row r="947" spans="2:10" x14ac:dyDescent="0.3">
      <c r="B947" s="5" t="str">
        <v>ORD1426</v>
      </c>
      <c r="C947" s="5" t="str">
        <v>Monitor</v>
      </c>
      <c r="D947" s="5" t="str">
        <v>Peripherals</v>
      </c>
      <c r="E947" s="5" t="str">
        <v>East</v>
      </c>
      <c r="F947" s="5" t="str">
        <v>Dec-2025</v>
      </c>
      <c r="G947" s="5">
        <v>13577</v>
      </c>
      <c r="H947" s="5">
        <v>12</v>
      </c>
      <c r="I947" s="5">
        <v>9780</v>
      </c>
      <c r="J947" s="10"/>
    </row>
    <row r="948" spans="2:10" x14ac:dyDescent="0.3">
      <c r="B948" s="5" t="str">
        <v>ORD1481</v>
      </c>
      <c r="C948" s="5" t="str">
        <v>Mouse</v>
      </c>
      <c r="D948" s="5" t="str">
        <v>Accessories</v>
      </c>
      <c r="E948" s="5" t="str">
        <v>West</v>
      </c>
      <c r="F948" s="5" t="str">
        <v>Oct-2025</v>
      </c>
      <c r="G948" s="5">
        <v>13424</v>
      </c>
      <c r="H948" s="5">
        <v>4</v>
      </c>
      <c r="I948" s="5">
        <v>9211</v>
      </c>
      <c r="J948" s="10"/>
    </row>
    <row r="949" spans="2:10" x14ac:dyDescent="0.3">
      <c r="B949" s="5" t="str">
        <v>ORD1461</v>
      </c>
      <c r="C949" s="5" t="str">
        <v>Keyboard</v>
      </c>
      <c r="D949" s="5" t="str">
        <v>Peripherals</v>
      </c>
      <c r="E949" s="5" t="str">
        <v>North</v>
      </c>
      <c r="F949" s="5" t="str">
        <v>Oct-2025</v>
      </c>
      <c r="G949" s="5">
        <v>13277</v>
      </c>
      <c r="H949" s="5">
        <v>4</v>
      </c>
      <c r="I949" s="5">
        <v>8797</v>
      </c>
      <c r="J949" s="10"/>
    </row>
    <row r="950" spans="2:10" x14ac:dyDescent="0.3">
      <c r="B950" s="5" t="str">
        <v>ORD1442</v>
      </c>
      <c r="C950" s="5" t="str">
        <v>Monitor</v>
      </c>
      <c r="D950" s="5" t="str">
        <v>Peripherals</v>
      </c>
      <c r="E950" s="5" t="str">
        <v>East</v>
      </c>
      <c r="F950" s="5" t="str">
        <v>Jun-2025</v>
      </c>
      <c r="G950" s="5">
        <v>13208</v>
      </c>
      <c r="H950" s="5">
        <v>3</v>
      </c>
      <c r="I950" s="5">
        <v>8581</v>
      </c>
      <c r="J950" s="10"/>
    </row>
    <row r="951" spans="2:10" x14ac:dyDescent="0.3">
      <c r="B951" s="5" t="str">
        <v>ORD1241</v>
      </c>
      <c r="C951" s="5" t="str">
        <v>Laptop</v>
      </c>
      <c r="D951" s="5" t="str">
        <v>Electronics</v>
      </c>
      <c r="E951" s="5" t="str">
        <v>North</v>
      </c>
      <c r="F951" s="5" t="str">
        <v>Aug-2025</v>
      </c>
      <c r="G951" s="5">
        <v>12874</v>
      </c>
      <c r="H951" s="5">
        <v>11</v>
      </c>
      <c r="I951" s="5">
        <v>9378</v>
      </c>
      <c r="J951" s="10"/>
    </row>
    <row r="952" spans="2:10" x14ac:dyDescent="0.3">
      <c r="B952" s="5" t="str">
        <v>ORD1336</v>
      </c>
      <c r="C952" s="5" t="str">
        <v>Mouse</v>
      </c>
      <c r="D952" s="5" t="str">
        <v>Accessories</v>
      </c>
      <c r="E952" s="5" t="str">
        <v>West</v>
      </c>
      <c r="F952" s="5" t="str">
        <v>Feb-2025</v>
      </c>
      <c r="G952" s="5">
        <v>12493</v>
      </c>
      <c r="H952" s="5">
        <v>10</v>
      </c>
      <c r="I952" s="5">
        <v>7843</v>
      </c>
      <c r="J952" s="10"/>
    </row>
    <row r="953" spans="2:10" x14ac:dyDescent="0.3">
      <c r="B953" s="5" t="str">
        <v>ORD1167</v>
      </c>
      <c r="C953" s="5" t="str">
        <v>Monitor</v>
      </c>
      <c r="D953" s="5" t="str">
        <v>Peripherals</v>
      </c>
      <c r="E953" s="5" t="str">
        <v>East</v>
      </c>
      <c r="F953" s="5" t="str">
        <v>Apr-2025</v>
      </c>
      <c r="G953" s="5">
        <v>12126</v>
      </c>
      <c r="H953" s="5">
        <v>3</v>
      </c>
      <c r="I953" s="5">
        <v>7720</v>
      </c>
      <c r="J953" s="10"/>
    </row>
    <row r="954" spans="2:10" x14ac:dyDescent="0.3">
      <c r="B954" s="5" t="str">
        <v>ORD1643</v>
      </c>
      <c r="C954" s="5" t="str">
        <v>Tablet</v>
      </c>
      <c r="D954" s="5" t="str">
        <v>Electronics</v>
      </c>
      <c r="E954" s="5" t="str">
        <v>South</v>
      </c>
      <c r="F954" s="5" t="str">
        <v>Nov-2025</v>
      </c>
      <c r="G954" s="5">
        <v>11954</v>
      </c>
      <c r="H954" s="5">
        <v>14</v>
      </c>
      <c r="I954" s="5">
        <v>8916</v>
      </c>
      <c r="J954" s="10"/>
    </row>
    <row r="955" spans="2:10" x14ac:dyDescent="0.3">
      <c r="B955" s="5" t="str">
        <v>ORD1123</v>
      </c>
      <c r="C955" s="5" t="str">
        <v>Keyboard</v>
      </c>
      <c r="D955" s="5" t="str">
        <v>Peripherals</v>
      </c>
      <c r="E955" s="5" t="str">
        <v>North</v>
      </c>
      <c r="F955" s="5" t="str">
        <v>Jan-2025</v>
      </c>
      <c r="G955" s="5">
        <v>11845</v>
      </c>
      <c r="H955" s="5">
        <v>6</v>
      </c>
      <c r="I955" s="5">
        <v>7932</v>
      </c>
      <c r="J955" s="10"/>
    </row>
    <row r="956" spans="2:10" x14ac:dyDescent="0.3">
      <c r="B956" s="5" t="str">
        <v>ORD1989</v>
      </c>
      <c r="C956" s="5" t="str">
        <v>Keyboard</v>
      </c>
      <c r="D956" s="5" t="str">
        <v>Peripherals</v>
      </c>
      <c r="E956" s="5" t="str">
        <v>East</v>
      </c>
      <c r="F956" s="5" t="str">
        <v>Oct-2025</v>
      </c>
      <c r="G956" s="5">
        <v>11824</v>
      </c>
      <c r="H956" s="5">
        <v>5</v>
      </c>
      <c r="I956" s="5">
        <v>8604</v>
      </c>
      <c r="J956" s="10"/>
    </row>
    <row r="957" spans="2:10" x14ac:dyDescent="0.3">
      <c r="B957" s="5" t="str">
        <v>ORD1306</v>
      </c>
      <c r="C957" s="5" t="str">
        <v>Headphones</v>
      </c>
      <c r="D957" s="5" t="str">
        <v>Accessories</v>
      </c>
      <c r="E957" s="5" t="str">
        <v>West</v>
      </c>
      <c r="F957" s="5" t="str">
        <v>May-2025</v>
      </c>
      <c r="G957" s="5">
        <v>11679</v>
      </c>
      <c r="H957" s="5">
        <v>3</v>
      </c>
      <c r="I957" s="5">
        <v>7054</v>
      </c>
      <c r="J957" s="10"/>
    </row>
    <row r="958" spans="2:10" x14ac:dyDescent="0.3">
      <c r="B958" s="5" t="str">
        <v>ORD1019</v>
      </c>
      <c r="C958" s="5" t="str">
        <v>Tablet</v>
      </c>
      <c r="D958" s="5" t="str">
        <v>Electronics</v>
      </c>
      <c r="E958" s="5" t="str">
        <v>South</v>
      </c>
      <c r="F958" s="5" t="str">
        <v>Mar-2025</v>
      </c>
      <c r="G958" s="5">
        <v>11578</v>
      </c>
      <c r="H958" s="5">
        <v>1</v>
      </c>
      <c r="I958" s="5">
        <v>8611</v>
      </c>
      <c r="J958" s="10"/>
    </row>
    <row r="959" spans="2:10" x14ac:dyDescent="0.3">
      <c r="B959" s="5" t="str">
        <v>ORD1890</v>
      </c>
      <c r="C959" s="5" t="str">
        <v>Tablet</v>
      </c>
      <c r="D959" s="5" t="str">
        <v>Electronics</v>
      </c>
      <c r="E959" s="5" t="str">
        <v>South</v>
      </c>
      <c r="F959" s="5" t="str">
        <v>Feb-2025</v>
      </c>
      <c r="G959" s="5">
        <v>11548</v>
      </c>
      <c r="H959" s="5">
        <v>5</v>
      </c>
      <c r="I959" s="5">
        <v>8108</v>
      </c>
      <c r="J959" s="10"/>
    </row>
    <row r="960" spans="2:10" x14ac:dyDescent="0.3">
      <c r="B960" s="5" t="str">
        <v>ORD1181</v>
      </c>
      <c r="C960" s="5" t="str">
        <v>Laptop</v>
      </c>
      <c r="D960" s="5" t="str">
        <v>Electronics</v>
      </c>
      <c r="E960" s="5" t="str">
        <v>North</v>
      </c>
      <c r="F960" s="5" t="str">
        <v>Apr-2025</v>
      </c>
      <c r="G960" s="5">
        <v>11448</v>
      </c>
      <c r="H960" s="5">
        <v>3</v>
      </c>
      <c r="I960" s="5">
        <v>7669</v>
      </c>
      <c r="J960" s="10"/>
    </row>
    <row r="961" spans="2:10" x14ac:dyDescent="0.3">
      <c r="B961" s="5" t="str">
        <v>ORD1055</v>
      </c>
      <c r="C961" s="5" t="str">
        <v>Tablet</v>
      </c>
      <c r="D961" s="5" t="str">
        <v>Electronics</v>
      </c>
      <c r="E961" s="5" t="str">
        <v>East</v>
      </c>
      <c r="F961" s="5" t="str">
        <v>Jul-2025</v>
      </c>
      <c r="G961" s="5">
        <v>11398</v>
      </c>
      <c r="H961" s="5">
        <v>8</v>
      </c>
      <c r="I961" s="5">
        <v>7844</v>
      </c>
      <c r="J961" s="10"/>
    </row>
    <row r="962" spans="2:10" x14ac:dyDescent="0.3">
      <c r="B962" s="5" t="str">
        <v>ORD1876</v>
      </c>
      <c r="C962" s="5" t="str">
        <v>Keyboard</v>
      </c>
      <c r="D962" s="5" t="str">
        <v>Peripherals</v>
      </c>
      <c r="E962" s="5" t="str">
        <v>West</v>
      </c>
      <c r="F962" s="5" t="str">
        <v>Nov-2025</v>
      </c>
      <c r="G962" s="5">
        <v>11081</v>
      </c>
      <c r="H962" s="5">
        <v>15</v>
      </c>
      <c r="I962" s="5">
        <v>7225</v>
      </c>
      <c r="J962" s="10"/>
    </row>
    <row r="963" spans="2:10" x14ac:dyDescent="0.3">
      <c r="B963" s="5" t="str">
        <v>ORD1106</v>
      </c>
      <c r="C963" s="5" t="str">
        <v>Monitor</v>
      </c>
      <c r="D963" s="5" t="str">
        <v>Peripherals</v>
      </c>
      <c r="E963" s="5" t="str">
        <v>West</v>
      </c>
      <c r="F963" s="5" t="str">
        <v>Sep-2025</v>
      </c>
      <c r="G963" s="5">
        <v>10976</v>
      </c>
      <c r="H963" s="5">
        <v>7</v>
      </c>
      <c r="I963" s="5">
        <v>8100</v>
      </c>
      <c r="J963" s="10"/>
    </row>
    <row r="964" spans="2:10" x14ac:dyDescent="0.3">
      <c r="B964" s="5" t="str">
        <v>ORD1269</v>
      </c>
      <c r="C964" s="5" t="str">
        <v>Tablet</v>
      </c>
      <c r="D964" s="5" t="str">
        <v>Electronics</v>
      </c>
      <c r="E964" s="5" t="str">
        <v>North</v>
      </c>
      <c r="F964" s="5" t="str">
        <v>Apr-2025</v>
      </c>
      <c r="G964" s="5">
        <v>10960</v>
      </c>
      <c r="H964" s="5">
        <v>10</v>
      </c>
      <c r="I964" s="5">
        <v>7242</v>
      </c>
      <c r="J964" s="10"/>
    </row>
    <row r="965" spans="2:10" x14ac:dyDescent="0.3">
      <c r="B965" s="5" t="str">
        <v>ORD1294</v>
      </c>
      <c r="C965" s="5" t="str">
        <v>Keyboard</v>
      </c>
      <c r="D965" s="5" t="str">
        <v>Peripherals</v>
      </c>
      <c r="E965" s="5" t="str">
        <v>South</v>
      </c>
      <c r="F965" s="5" t="str">
        <v>Nov-2025</v>
      </c>
      <c r="G965" s="5">
        <v>10907</v>
      </c>
      <c r="H965" s="5">
        <v>8</v>
      </c>
      <c r="I965" s="5">
        <v>7201</v>
      </c>
      <c r="J965" s="10"/>
    </row>
    <row r="966" spans="2:10" x14ac:dyDescent="0.3">
      <c r="B966" s="5" t="str">
        <v>ORD1905</v>
      </c>
      <c r="C966" s="5" t="str">
        <v>Tablet</v>
      </c>
      <c r="D966" s="5" t="str">
        <v>Electronics</v>
      </c>
      <c r="E966" s="5" t="str">
        <v>North</v>
      </c>
      <c r="F966" s="5" t="str">
        <v>Jan-2025</v>
      </c>
      <c r="G966" s="5">
        <v>10805</v>
      </c>
      <c r="H966" s="5">
        <v>9</v>
      </c>
      <c r="I966" s="5">
        <v>7746</v>
      </c>
      <c r="J966" s="10"/>
    </row>
    <row r="967" spans="2:10" x14ac:dyDescent="0.3">
      <c r="B967" s="5" t="str">
        <v>ORD1672</v>
      </c>
      <c r="C967" s="5" t="str">
        <v>Monitor</v>
      </c>
      <c r="D967" s="5" t="str">
        <v>Peripherals</v>
      </c>
      <c r="E967" s="5" t="str">
        <v>North</v>
      </c>
      <c r="F967" s="5" t="str">
        <v>Jun-2025</v>
      </c>
      <c r="G967" s="5">
        <v>10480</v>
      </c>
      <c r="H967" s="5">
        <v>14</v>
      </c>
      <c r="I967" s="5">
        <v>7706</v>
      </c>
      <c r="J967" s="10"/>
    </row>
    <row r="968" spans="2:10" x14ac:dyDescent="0.3">
      <c r="B968" s="5" t="str">
        <v>ORD1894</v>
      </c>
      <c r="C968" s="5" t="str">
        <v>Headphones</v>
      </c>
      <c r="D968" s="5" t="str">
        <v>Accessories</v>
      </c>
      <c r="E968" s="5" t="str">
        <v>North</v>
      </c>
      <c r="F968" s="5" t="str">
        <v>Jul-2025</v>
      </c>
      <c r="G968" s="5">
        <v>10259</v>
      </c>
      <c r="H968" s="5">
        <v>4</v>
      </c>
      <c r="I968" s="5">
        <v>7495</v>
      </c>
      <c r="J968" s="10"/>
    </row>
    <row r="969" spans="2:10" x14ac:dyDescent="0.3">
      <c r="B969" s="5" t="str">
        <v>ORD1498</v>
      </c>
      <c r="C969" s="5" t="str">
        <v>Tablet</v>
      </c>
      <c r="D969" s="5" t="str">
        <v>Electronics</v>
      </c>
      <c r="E969" s="5" t="str">
        <v>East</v>
      </c>
      <c r="F969" s="5" t="str">
        <v>Feb-2025</v>
      </c>
      <c r="G969" s="5">
        <v>10125</v>
      </c>
      <c r="H969" s="5">
        <v>14</v>
      </c>
      <c r="I969" s="5">
        <v>6529</v>
      </c>
      <c r="J969" s="10"/>
    </row>
    <row r="970" spans="2:10" x14ac:dyDescent="0.3">
      <c r="B970" s="5" t="str">
        <v>ORD1477</v>
      </c>
      <c r="C970" s="5" t="str">
        <v>Laptop</v>
      </c>
      <c r="D970" s="5" t="str">
        <v>Electronics</v>
      </c>
      <c r="E970" s="5" t="str">
        <v>East</v>
      </c>
      <c r="F970" s="5" t="str">
        <v>Oct-2025</v>
      </c>
      <c r="G970" s="5">
        <v>9831</v>
      </c>
      <c r="H970" s="5">
        <v>11</v>
      </c>
      <c r="I970" s="5">
        <v>6896</v>
      </c>
      <c r="J970" s="10"/>
    </row>
    <row r="971" spans="2:10" x14ac:dyDescent="0.3">
      <c r="B971" s="5" t="str">
        <v>ORD1797</v>
      </c>
      <c r="C971" s="5" t="str">
        <v>Laptop</v>
      </c>
      <c r="D971" s="5" t="str">
        <v>Electronics</v>
      </c>
      <c r="E971" s="5" t="str">
        <v>North</v>
      </c>
      <c r="F971" s="5" t="str">
        <v>Apr-2025</v>
      </c>
      <c r="G971" s="5">
        <v>9831</v>
      </c>
      <c r="H971" s="5">
        <v>9</v>
      </c>
      <c r="I971" s="5">
        <v>5976</v>
      </c>
      <c r="J971" s="10"/>
    </row>
    <row r="972" spans="2:10" x14ac:dyDescent="0.3">
      <c r="B972" s="5" t="str">
        <v>ORD1022</v>
      </c>
      <c r="C972" s="5" t="str">
        <v>Keyboard</v>
      </c>
      <c r="D972" s="5" t="str">
        <v>Peripherals</v>
      </c>
      <c r="E972" s="5" t="str">
        <v>West</v>
      </c>
      <c r="F972" s="5" t="str">
        <v>Apr-2025</v>
      </c>
      <c r="G972" s="5">
        <v>9797</v>
      </c>
      <c r="H972" s="5">
        <v>10</v>
      </c>
      <c r="I972" s="5">
        <v>6593</v>
      </c>
      <c r="J972" s="10"/>
    </row>
    <row r="973" spans="2:10" x14ac:dyDescent="0.3">
      <c r="B973" s="5" t="str">
        <v>ORD1429</v>
      </c>
      <c r="C973" s="5" t="str">
        <v>Tablet</v>
      </c>
      <c r="D973" s="5" t="str">
        <v>Electronics</v>
      </c>
      <c r="E973" s="5" t="str">
        <v>West</v>
      </c>
      <c r="F973" s="5" t="str">
        <v>Jun-2025</v>
      </c>
      <c r="G973" s="5">
        <v>9544</v>
      </c>
      <c r="H973" s="5">
        <v>2</v>
      </c>
      <c r="I973" s="5">
        <v>6847</v>
      </c>
      <c r="J973" s="10"/>
    </row>
    <row r="974" spans="2:10" x14ac:dyDescent="0.3">
      <c r="B974" s="5" t="str">
        <v>ORD1700</v>
      </c>
      <c r="C974" s="5" t="str">
        <v>Tablet</v>
      </c>
      <c r="D974" s="5" t="str">
        <v>Electronics</v>
      </c>
      <c r="E974" s="5" t="str">
        <v>North</v>
      </c>
      <c r="F974" s="5" t="str">
        <v>Mar-2025</v>
      </c>
      <c r="G974" s="5">
        <v>9420</v>
      </c>
      <c r="H974" s="5">
        <v>3</v>
      </c>
      <c r="I974" s="5">
        <v>5994</v>
      </c>
      <c r="J974" s="10"/>
    </row>
    <row r="975" spans="2:10" x14ac:dyDescent="0.3">
      <c r="B975" s="5" t="str">
        <v>ORD1992</v>
      </c>
      <c r="C975" s="5" t="str">
        <v>Monitor</v>
      </c>
      <c r="D975" s="5" t="str">
        <v>Peripherals</v>
      </c>
      <c r="E975" s="5" t="str">
        <v>South</v>
      </c>
      <c r="F975" s="5" t="str">
        <v>Jun-2025</v>
      </c>
      <c r="G975" s="5">
        <v>9276</v>
      </c>
      <c r="H975" s="5">
        <v>1</v>
      </c>
      <c r="I975" s="5">
        <v>5919</v>
      </c>
      <c r="J975" s="10"/>
    </row>
    <row r="976" spans="2:10" x14ac:dyDescent="0.3">
      <c r="B976" s="5" t="str">
        <v>ORD1976</v>
      </c>
      <c r="C976" s="5" t="str">
        <v>Monitor</v>
      </c>
      <c r="D976" s="5" t="str">
        <v>Peripherals</v>
      </c>
      <c r="E976" s="5" t="str">
        <v>West</v>
      </c>
      <c r="F976" s="5" t="str">
        <v>Nov-2025</v>
      </c>
      <c r="G976" s="5">
        <v>9276</v>
      </c>
      <c r="H976" s="5">
        <v>13</v>
      </c>
      <c r="I976" s="5">
        <v>5625</v>
      </c>
      <c r="J976" s="10"/>
    </row>
    <row r="977" spans="2:10" x14ac:dyDescent="0.3">
      <c r="B977" s="5" t="str">
        <v>ORD1401</v>
      </c>
      <c r="C977" s="5" t="str">
        <v>Phone</v>
      </c>
      <c r="D977" s="5" t="str">
        <v>Electronics</v>
      </c>
      <c r="E977" s="5" t="str">
        <v>East</v>
      </c>
      <c r="F977" s="5" t="str">
        <v>Apr-2025</v>
      </c>
      <c r="G977" s="5">
        <v>9167</v>
      </c>
      <c r="H977" s="5">
        <v>13</v>
      </c>
      <c r="I977" s="5">
        <v>6413</v>
      </c>
      <c r="J977" s="10"/>
    </row>
    <row r="978" spans="2:10" x14ac:dyDescent="0.3">
      <c r="B978" s="5" t="str">
        <v>ORD1209</v>
      </c>
      <c r="C978" s="5" t="str">
        <v>Keyboard</v>
      </c>
      <c r="D978" s="5" t="str">
        <v>Peripherals</v>
      </c>
      <c r="E978" s="5" t="str">
        <v>West</v>
      </c>
      <c r="F978" s="5" t="str">
        <v>Mar-2025</v>
      </c>
      <c r="G978" s="5">
        <v>8724</v>
      </c>
      <c r="H978" s="5">
        <v>1</v>
      </c>
      <c r="I978" s="5">
        <v>5406</v>
      </c>
      <c r="J978" s="10"/>
    </row>
    <row r="979" spans="2:10" x14ac:dyDescent="0.3">
      <c r="B979" s="5" t="str">
        <v>ORD1579</v>
      </c>
      <c r="C979" s="5" t="str">
        <v>Tablet</v>
      </c>
      <c r="D979" s="5" t="str">
        <v>Electronics</v>
      </c>
      <c r="E979" s="5" t="str">
        <v>East</v>
      </c>
      <c r="F979" s="5" t="str">
        <v>Mar-2025</v>
      </c>
      <c r="G979" s="5">
        <v>8685</v>
      </c>
      <c r="H979" s="5">
        <v>10</v>
      </c>
      <c r="I979" s="5">
        <v>5262</v>
      </c>
      <c r="J979" s="10"/>
    </row>
    <row r="980" spans="2:10" x14ac:dyDescent="0.3">
      <c r="B980" s="5" t="str">
        <v>ORD1738</v>
      </c>
      <c r="C980" s="5" t="str">
        <v>Monitor</v>
      </c>
      <c r="D980" s="5" t="str">
        <v>Peripherals</v>
      </c>
      <c r="E980" s="5" t="str">
        <v>South</v>
      </c>
      <c r="F980" s="5" t="str">
        <v>Sep-2025</v>
      </c>
      <c r="G980" s="5">
        <v>8632</v>
      </c>
      <c r="H980" s="5">
        <v>9</v>
      </c>
      <c r="I980" s="5">
        <v>5682</v>
      </c>
      <c r="J980" s="10"/>
    </row>
    <row r="981" spans="2:10" x14ac:dyDescent="0.3">
      <c r="B981" s="5" t="str">
        <v>ORD1423</v>
      </c>
      <c r="C981" s="5" t="str">
        <v>Keyboard</v>
      </c>
      <c r="D981" s="5" t="str">
        <v>Peripherals</v>
      </c>
      <c r="E981" s="5" t="str">
        <v>South</v>
      </c>
      <c r="F981" s="5" t="str">
        <v>Dec-2025</v>
      </c>
      <c r="G981" s="5">
        <v>7716</v>
      </c>
      <c r="H981" s="5">
        <v>11</v>
      </c>
      <c r="I981" s="5">
        <v>4917</v>
      </c>
      <c r="J981" s="10"/>
    </row>
    <row r="982" spans="2:10" x14ac:dyDescent="0.3">
      <c r="B982" s="5" t="str">
        <v>ORD1625</v>
      </c>
      <c r="C982" s="5" t="str">
        <v>Mouse</v>
      </c>
      <c r="D982" s="5" t="str">
        <v>Accessories</v>
      </c>
      <c r="E982" s="5" t="str">
        <v>South</v>
      </c>
      <c r="F982" s="5" t="str">
        <v>Jun-2025</v>
      </c>
      <c r="G982" s="5">
        <v>7549</v>
      </c>
      <c r="H982" s="5">
        <v>15</v>
      </c>
      <c r="I982" s="5">
        <v>5584</v>
      </c>
      <c r="J982" s="10"/>
    </row>
    <row r="983" spans="2:10" x14ac:dyDescent="0.3">
      <c r="B983" s="5" t="str">
        <v>ORD1152</v>
      </c>
      <c r="C983" s="5" t="str">
        <v>Mouse</v>
      </c>
      <c r="D983" s="5" t="str">
        <v>Accessories</v>
      </c>
      <c r="E983" s="5" t="str">
        <v>North</v>
      </c>
      <c r="F983" s="5" t="str">
        <v>Jul-2025</v>
      </c>
      <c r="G983" s="5">
        <v>7532</v>
      </c>
      <c r="H983" s="5">
        <v>3</v>
      </c>
      <c r="I983" s="5">
        <v>5279</v>
      </c>
      <c r="J983" s="10"/>
    </row>
    <row r="984" spans="2:10" x14ac:dyDescent="0.3">
      <c r="B984" s="5" t="str">
        <v>ORD1824</v>
      </c>
      <c r="C984" s="5" t="str">
        <v>Headphones</v>
      </c>
      <c r="D984" s="5" t="str">
        <v>Accessories</v>
      </c>
      <c r="E984" s="5" t="str">
        <v>North</v>
      </c>
      <c r="F984" s="5" t="str">
        <v>Jun-2025</v>
      </c>
      <c r="G984" s="5">
        <v>7443</v>
      </c>
      <c r="H984" s="5">
        <v>1</v>
      </c>
      <c r="I984" s="5">
        <v>4520</v>
      </c>
      <c r="J984" s="10"/>
    </row>
    <row r="985" spans="2:10" x14ac:dyDescent="0.3">
      <c r="B985" s="5" t="str">
        <v>ORD1805</v>
      </c>
      <c r="C985" s="5" t="str">
        <v>Mouse</v>
      </c>
      <c r="D985" s="5" t="str">
        <v>Accessories</v>
      </c>
      <c r="E985" s="5" t="str">
        <v>South</v>
      </c>
      <c r="F985" s="5" t="str">
        <v>Mar-2025</v>
      </c>
      <c r="G985" s="5">
        <v>7384</v>
      </c>
      <c r="H985" s="5">
        <v>13</v>
      </c>
      <c r="I985" s="5">
        <v>4934</v>
      </c>
      <c r="J985" s="10"/>
    </row>
    <row r="986" spans="2:10" x14ac:dyDescent="0.3">
      <c r="B986" s="5" t="str">
        <v>ORD1107</v>
      </c>
      <c r="C986" s="5" t="str">
        <v>Mouse</v>
      </c>
      <c r="D986" s="5" t="str">
        <v>Accessories</v>
      </c>
      <c r="E986" s="5" t="str">
        <v>West</v>
      </c>
      <c r="F986" s="5" t="str">
        <v>Apr-2025</v>
      </c>
      <c r="G986" s="5">
        <v>7212</v>
      </c>
      <c r="H986" s="5">
        <v>10</v>
      </c>
      <c r="I986" s="5">
        <v>5271</v>
      </c>
      <c r="J986" s="10"/>
    </row>
    <row r="987" spans="2:10" x14ac:dyDescent="0.3">
      <c r="B987" s="5" t="str">
        <v>ORD1016</v>
      </c>
      <c r="C987" s="5" t="str">
        <v>Tablet</v>
      </c>
      <c r="D987" s="5" t="str">
        <v>Electronics</v>
      </c>
      <c r="E987" s="5" t="str">
        <v>North</v>
      </c>
      <c r="F987" s="5" t="str">
        <v>Dec-2025</v>
      </c>
      <c r="G987" s="5">
        <v>7151</v>
      </c>
      <c r="H987" s="5">
        <v>4</v>
      </c>
      <c r="I987" s="5">
        <v>4385</v>
      </c>
      <c r="J987" s="10"/>
    </row>
    <row r="988" spans="2:10" x14ac:dyDescent="0.3">
      <c r="B988" s="5" t="str">
        <v>ORD1991</v>
      </c>
      <c r="C988" s="5" t="str">
        <v>Mouse</v>
      </c>
      <c r="D988" s="5" t="str">
        <v>Accessories</v>
      </c>
      <c r="E988" s="5" t="str">
        <v>North</v>
      </c>
      <c r="F988" s="5" t="str">
        <v>Feb-2025</v>
      </c>
      <c r="G988" s="5">
        <v>7149</v>
      </c>
      <c r="H988" s="5">
        <v>1</v>
      </c>
      <c r="I988" s="5">
        <v>4328</v>
      </c>
      <c r="J988" s="10"/>
    </row>
    <row r="989" spans="2:10" x14ac:dyDescent="0.3">
      <c r="B989" s="5" t="str">
        <v>ORD1589</v>
      </c>
      <c r="C989" s="5" t="str">
        <v>Phone</v>
      </c>
      <c r="D989" s="5" t="str">
        <v>Electronics</v>
      </c>
      <c r="E989" s="5" t="str">
        <v>East</v>
      </c>
      <c r="F989" s="5" t="str">
        <v>Jun-2025</v>
      </c>
      <c r="G989" s="5">
        <v>7059</v>
      </c>
      <c r="H989" s="5">
        <v>2</v>
      </c>
      <c r="I989" s="5">
        <v>4902</v>
      </c>
      <c r="J989" s="10"/>
    </row>
    <row r="990" spans="2:10" x14ac:dyDescent="0.3">
      <c r="B990" s="5" t="str">
        <v>ORD1347</v>
      </c>
      <c r="C990" s="5" t="str">
        <v>Mouse</v>
      </c>
      <c r="D990" s="5" t="str">
        <v>Accessories</v>
      </c>
      <c r="E990" s="5" t="str">
        <v>South</v>
      </c>
      <c r="F990" s="5" t="str">
        <v>Jan-2025</v>
      </c>
      <c r="G990" s="5">
        <v>7011</v>
      </c>
      <c r="H990" s="5">
        <v>1</v>
      </c>
      <c r="I990" s="5">
        <v>4567</v>
      </c>
      <c r="J990" s="10"/>
    </row>
    <row r="991" spans="2:10" x14ac:dyDescent="0.3">
      <c r="B991" s="5" t="str">
        <v>ORD1476</v>
      </c>
      <c r="C991" s="5" t="str">
        <v>Monitor</v>
      </c>
      <c r="D991" s="5" t="str">
        <v>Peripherals</v>
      </c>
      <c r="E991" s="5" t="str">
        <v>South</v>
      </c>
      <c r="F991" s="5" t="str">
        <v>Jun-2025</v>
      </c>
      <c r="G991" s="5">
        <v>6855</v>
      </c>
      <c r="H991" s="5">
        <v>5</v>
      </c>
      <c r="I991" s="5">
        <v>4979</v>
      </c>
      <c r="J991" s="10"/>
    </row>
    <row r="992" spans="2:10" x14ac:dyDescent="0.3">
      <c r="B992" s="5" t="str">
        <v>ORD1782</v>
      </c>
      <c r="C992" s="5" t="str">
        <v>Keyboard</v>
      </c>
      <c r="D992" s="5" t="str">
        <v>Peripherals</v>
      </c>
      <c r="E992" s="5" t="str">
        <v>North</v>
      </c>
      <c r="F992" s="5" t="str">
        <v>Jan-2025</v>
      </c>
      <c r="G992" s="5">
        <v>6631</v>
      </c>
      <c r="H992" s="5">
        <v>3</v>
      </c>
      <c r="I992" s="5">
        <v>4404</v>
      </c>
      <c r="J992" s="10"/>
    </row>
    <row r="993" spans="2:10" x14ac:dyDescent="0.3">
      <c r="B993" s="5" t="str">
        <v>ORD1964</v>
      </c>
      <c r="C993" s="5" t="str">
        <v>Headphones</v>
      </c>
      <c r="D993" s="5" t="str">
        <v>Accessories</v>
      </c>
      <c r="E993" s="5" t="str">
        <v>South</v>
      </c>
      <c r="F993" s="5" t="str">
        <v>Jun-2025</v>
      </c>
      <c r="G993" s="5">
        <v>6108</v>
      </c>
      <c r="H993" s="5">
        <v>13</v>
      </c>
      <c r="I993" s="5">
        <v>4290</v>
      </c>
      <c r="J993" s="10"/>
    </row>
    <row r="994" spans="2:10" x14ac:dyDescent="0.3">
      <c r="B994" s="5" t="str">
        <v>ORD1458</v>
      </c>
      <c r="C994" s="5" t="str">
        <v>Phone</v>
      </c>
      <c r="D994" s="5" t="str">
        <v>Electronics</v>
      </c>
      <c r="E994" s="5" t="str">
        <v>West</v>
      </c>
      <c r="F994" s="5" t="str">
        <v>May-2025</v>
      </c>
      <c r="G994" s="5">
        <v>5935</v>
      </c>
      <c r="H994" s="5">
        <v>15</v>
      </c>
      <c r="I994" s="5">
        <v>4021</v>
      </c>
      <c r="J994" s="10"/>
    </row>
    <row r="995" spans="2:10" x14ac:dyDescent="0.3">
      <c r="B995" s="5" t="str">
        <v>ORD1190</v>
      </c>
      <c r="C995" s="5" t="str">
        <v>Mouse</v>
      </c>
      <c r="D995" s="5" t="str">
        <v>Accessories</v>
      </c>
      <c r="E995" s="5" t="str">
        <v>East</v>
      </c>
      <c r="F995" s="5" t="str">
        <v>Oct-2025</v>
      </c>
      <c r="G995" s="5">
        <v>5785</v>
      </c>
      <c r="H995" s="5">
        <v>7</v>
      </c>
      <c r="I995" s="5">
        <v>3974</v>
      </c>
      <c r="J995" s="10"/>
    </row>
    <row r="996" spans="2:10" x14ac:dyDescent="0.3">
      <c r="B996" s="5" t="str">
        <v>ORD1983</v>
      </c>
      <c r="C996" s="5" t="str">
        <v>Headphones</v>
      </c>
      <c r="D996" s="5" t="str">
        <v>Accessories</v>
      </c>
      <c r="E996" s="5" t="str">
        <v>North</v>
      </c>
      <c r="F996" s="5" t="str">
        <v>Dec-2025</v>
      </c>
      <c r="G996" s="5">
        <v>5745</v>
      </c>
      <c r="H996" s="5">
        <v>11</v>
      </c>
      <c r="I996" s="5">
        <v>3724</v>
      </c>
      <c r="J996" s="10"/>
    </row>
    <row r="997" spans="2:10" x14ac:dyDescent="0.3">
      <c r="B997" s="5" t="str">
        <v>ORD1801</v>
      </c>
      <c r="C997" s="5" t="str">
        <v>Monitor</v>
      </c>
      <c r="D997" s="5" t="str">
        <v>Peripherals</v>
      </c>
      <c r="E997" s="5" t="str">
        <v>West</v>
      </c>
      <c r="F997" s="5" t="str">
        <v>Jun-2025</v>
      </c>
      <c r="G997" s="5">
        <v>5597</v>
      </c>
      <c r="H997" s="5">
        <v>2</v>
      </c>
      <c r="I997" s="5">
        <v>3460</v>
      </c>
      <c r="J997" s="10"/>
    </row>
    <row r="998" spans="2:10" x14ac:dyDescent="0.3">
      <c r="B998" s="5" t="str">
        <v>ORD1428</v>
      </c>
      <c r="C998" s="5" t="str">
        <v>Headphones</v>
      </c>
      <c r="D998" s="5" t="str">
        <v>Accessories</v>
      </c>
      <c r="E998" s="5" t="str">
        <v>North</v>
      </c>
      <c r="F998" s="5" t="str">
        <v>Jul-2025</v>
      </c>
      <c r="G998" s="5">
        <v>5528</v>
      </c>
      <c r="H998" s="5">
        <v>5</v>
      </c>
      <c r="I998" s="5">
        <v>4069</v>
      </c>
      <c r="J998" s="10"/>
    </row>
    <row r="999" spans="2:10" x14ac:dyDescent="0.3">
      <c r="B999" s="5" t="str">
        <v>ORD1702</v>
      </c>
      <c r="C999" s="5" t="str">
        <v>Laptop</v>
      </c>
      <c r="D999" s="5" t="str">
        <v>Electronics</v>
      </c>
      <c r="E999" s="5" t="str">
        <v>East</v>
      </c>
      <c r="F999" s="5" t="str">
        <v>Nov-2025</v>
      </c>
      <c r="G999" s="5">
        <v>5498</v>
      </c>
      <c r="H999" s="5">
        <v>10</v>
      </c>
      <c r="I999" s="5">
        <v>3413</v>
      </c>
      <c r="J999" s="10"/>
    </row>
    <row r="1000" spans="2:10" x14ac:dyDescent="0.3">
      <c r="B1000" s="5" t="str">
        <v>ORD1291</v>
      </c>
      <c r="C1000" s="5" t="str">
        <v>Phone</v>
      </c>
      <c r="D1000" s="5" t="str">
        <v>Electronics</v>
      </c>
      <c r="E1000" s="5" t="str">
        <v>West</v>
      </c>
      <c r="F1000" s="5" t="str">
        <v>Jan-2025</v>
      </c>
      <c r="G1000" s="5">
        <v>5458</v>
      </c>
      <c r="H1000" s="5">
        <v>7</v>
      </c>
      <c r="I1000" s="5">
        <v>3485</v>
      </c>
      <c r="J1000" s="10"/>
    </row>
    <row r="1001" spans="2:10" x14ac:dyDescent="0.3">
      <c r="B1001" s="5" t="str">
        <v>ORD1490</v>
      </c>
      <c r="C1001" s="5" t="str">
        <v>Tablet</v>
      </c>
      <c r="D1001" s="5" t="str">
        <v>Electronics</v>
      </c>
      <c r="E1001" s="5" t="str">
        <v>East</v>
      </c>
      <c r="F1001" s="5" t="str">
        <v>Jul-2025</v>
      </c>
      <c r="G1001" s="5">
        <v>5365</v>
      </c>
      <c r="H1001" s="5">
        <v>15</v>
      </c>
      <c r="I1001" s="5">
        <v>3768</v>
      </c>
      <c r="J1001" s="10"/>
    </row>
    <row r="1002" spans="2:10" x14ac:dyDescent="0.3">
      <c r="B1002" s="5" t="str">
        <v>ORD1473</v>
      </c>
      <c r="C1002" s="5" t="str">
        <v>Mouse</v>
      </c>
      <c r="D1002" s="5" t="str">
        <v>Accessories</v>
      </c>
      <c r="E1002" s="5" t="str">
        <v>East</v>
      </c>
      <c r="F1002" s="5" t="str">
        <v>Jul-2025</v>
      </c>
      <c r="G1002" s="5">
        <v>5323</v>
      </c>
      <c r="H1002" s="5">
        <v>4</v>
      </c>
      <c r="I1002" s="5">
        <v>3217</v>
      </c>
      <c r="J1002" s="10"/>
    </row>
    <row r="1003" spans="2:10" x14ac:dyDescent="0.3">
      <c r="B1003" s="5" t="str">
        <v>ORD1646</v>
      </c>
      <c r="C1003" s="5" t="str">
        <v>Printer</v>
      </c>
      <c r="D1003" s="5" t="str">
        <v>Peripherals</v>
      </c>
      <c r="E1003" s="5" t="str">
        <v>South</v>
      </c>
      <c r="F1003" s="5" t="str">
        <v>Jun-2025</v>
      </c>
      <c r="G1003" s="5">
        <v>5310</v>
      </c>
      <c r="H1003" s="5">
        <v>12</v>
      </c>
      <c r="I1003" s="5">
        <v>3341</v>
      </c>
      <c r="J1003" s="10"/>
    </row>
    <row r="1004" spans="2:10" x14ac:dyDescent="0.3">
      <c r="B1004" s="5" t="str">
        <v>ORD1186</v>
      </c>
      <c r="C1004" s="5" t="str">
        <v>Laptop</v>
      </c>
      <c r="D1004" s="5" t="str">
        <v>Electronics</v>
      </c>
      <c r="E1004" s="5" t="str">
        <v>East</v>
      </c>
      <c r="F1004" s="5" t="str">
        <v>Aug-2025</v>
      </c>
      <c r="G1004" s="5">
        <v>5289</v>
      </c>
      <c r="H1004" s="5">
        <v>2</v>
      </c>
      <c r="I1004" s="5">
        <v>3637</v>
      </c>
      <c r="J1004" s="10"/>
    </row>
    <row r="1005" spans="2:10" x14ac:dyDescent="0.3">
      <c r="B1005" s="5" t="str">
        <v>ORD1091</v>
      </c>
      <c r="C1005" s="5" t="str">
        <v>Phone</v>
      </c>
      <c r="D1005" s="5" t="str">
        <v>Electronics</v>
      </c>
      <c r="E1005" s="5" t="str">
        <v>North</v>
      </c>
      <c r="F1005" s="5" t="str">
        <v>Feb-2025</v>
      </c>
      <c r="G1005" s="5">
        <v>5267</v>
      </c>
      <c r="H1005" s="5">
        <v>7</v>
      </c>
      <c r="I1005" s="5">
        <v>3773</v>
      </c>
      <c r="J1005" s="10"/>
    </row>
    <row r="1006" spans="2:10" x14ac:dyDescent="0.3">
      <c r="B1006" s="5" t="str">
        <v>ORD1015</v>
      </c>
      <c r="C1006" s="5" t="str">
        <v>Printer</v>
      </c>
      <c r="D1006" s="5" t="str">
        <v>Peripherals</v>
      </c>
      <c r="E1006" s="5" t="str">
        <v>East</v>
      </c>
      <c r="F1006" s="5" t="str">
        <v>Jul-2025</v>
      </c>
      <c r="G1006" s="5">
        <v>5186</v>
      </c>
      <c r="H1006" s="5">
        <v>1</v>
      </c>
      <c r="I1006" s="5">
        <v>3729</v>
      </c>
      <c r="J1006" s="10"/>
    </row>
  </sheetData>
  <mergeCells count="5">
    <mergeCell ref="U21:W21"/>
    <mergeCell ref="A2:F2"/>
    <mergeCell ref="A1:F1"/>
    <mergeCell ref="B4:D4"/>
    <mergeCell ref="L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B20A-451B-4AE5-B91C-BDC6F3CC67A0}">
  <dimension ref="A1"/>
  <sheetViews>
    <sheetView showGridLines="0" workbookViewId="0">
      <selection activeCell="B2" sqref="B2:K39"/>
    </sheetView>
  </sheetViews>
  <sheetFormatPr defaultRowHeight="14.4" x14ac:dyDescent="0.3"/>
  <cols>
    <col min="3" max="3" width="27.77734375" bestFit="1" customWidth="1"/>
    <col min="5" max="5" width="12.88671875" bestFit="1" customWidth="1"/>
    <col min="8" max="8" width="13.44140625" bestFit="1" customWidth="1"/>
    <col min="9" max="9" width="11.77734375" bestFit="1" customWidth="1"/>
    <col min="10" max="10" width="12.777343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Q1_Sales</vt:lpstr>
      <vt:lpstr>Q2_Sales</vt:lpstr>
      <vt:lpstr>Advanced_Arrays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2026-05-12T13:06:44Z</dcterms:created>
  <dcterms:modified xsi:type="dcterms:W3CDTF">2026-05-12T14:57:10Z</dcterms:modified>
</cp:coreProperties>
</file>