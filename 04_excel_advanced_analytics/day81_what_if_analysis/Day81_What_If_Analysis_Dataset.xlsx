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ithub - Worklog\Advance_Excel_phase4\DAY81\"/>
    </mc:Choice>
  </mc:AlternateContent>
  <xr:revisionPtr revIDLastSave="0" documentId="13_ncr:1_{E23A15CA-9177-4C1C-91EC-622DE16A1B00}" xr6:coauthVersionLast="47" xr6:coauthVersionMax="47" xr10:uidLastSave="{00000000-0000-0000-0000-000000000000}"/>
  <bookViews>
    <workbookView xWindow="30600" yWindow="-120" windowWidth="29040" windowHeight="15720" xr2:uid="{00000000-000D-0000-FFFF-FFFF00000000}"/>
  </bookViews>
  <sheets>
    <sheet name="Scenario Summary" sheetId="2" r:id="rId1"/>
    <sheet name="PnL_Model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11" i="1" s="1"/>
  <c r="B9" i="1"/>
  <c r="B12" i="1" l="1"/>
  <c r="B13" i="1" l="1"/>
  <c r="E3" i="1"/>
</calcChain>
</file>

<file path=xl/sharedStrings.xml><?xml version="1.0" encoding="utf-8"?>
<sst xmlns="http://schemas.openxmlformats.org/spreadsheetml/2006/main" count="29" uniqueCount="26">
  <si>
    <t>Profit &amp; Loss Model</t>
  </si>
  <si>
    <t>Units Sold</t>
  </si>
  <si>
    <t>Price Per Unit</t>
  </si>
  <si>
    <t>Cost Per Unit</t>
  </si>
  <si>
    <t>Fixed Cost</t>
  </si>
  <si>
    <t>Revenue</t>
  </si>
  <si>
    <t>Variable Cost</t>
  </si>
  <si>
    <t>Total Cost</t>
  </si>
  <si>
    <t>Gross Profit</t>
  </si>
  <si>
    <t>Profit Margin %</t>
  </si>
  <si>
    <t>$B$4</t>
  </si>
  <si>
    <t>$B$5</t>
  </si>
  <si>
    <t>$B$6</t>
  </si>
  <si>
    <t>$B$12</t>
  </si>
  <si>
    <t>Best Case</t>
  </si>
  <si>
    <t>Created by lenovo on 21-07-2026</t>
  </si>
  <si>
    <t>Base Case</t>
  </si>
  <si>
    <t>Worst Case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</si>
  <si>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</si>
  <si>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</si>
  <si>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</si>
  <si>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</si>
  <si>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</si>
  <si>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</si>
  <si>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</si>
  <si>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 xml:space="preserve">Data Table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</si>
</sst>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scheme val="minor"/>
    </font>
    <font>
      <b/>
      <sz val="14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59D"/>
      </patternFill>
    </fill>
    <fill>
      <patternFill patternType="solid">
        <fgColor rgb="FFD9EAF7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10" fontId="0" fillId="3" borderId="0" xfId="1" applyNumberFormat="1" applyFont="1" applyFill="1"/>
    <xf numFmtId="0" fontId="0" fillId="0" borderId="0" xfId="0" applyFill="1" applyBorder="1" applyAlignment="1"/>
    <xf numFmtId="0" fontId="0" fillId="0" borderId="2" xfId="0" applyFill="1" applyBorder="1" applyAlignment="1"/>
    <xf numFmtId="0" fontId="4" fillId="4" borderId="3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0" fillId="0" borderId="4" xfId="0" applyFill="1" applyBorder="1" applyAlignment="1"/>
    <xf numFmtId="0" fontId="5" fillId="5" borderId="0" xfId="0" applyFont="1" applyFill="1" applyBorder="1" applyAlignment="1">
      <alignment horizontal="left"/>
    </xf>
    <xf numFmtId="0" fontId="6" fillId="5" borderId="4" xfId="0" applyFont="1" applyFill="1" applyBorder="1" applyAlignment="1">
      <alignment horizontal="left"/>
    </xf>
    <xf numFmtId="0" fontId="5" fillId="5" borderId="2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right"/>
    </xf>
    <xf numFmtId="0" fontId="7" fillId="4" borderId="3" xfId="0" applyFont="1" applyFill="1" applyBorder="1" applyAlignment="1">
      <alignment horizontal="right"/>
    </xf>
    <xf numFmtId="0" fontId="0" fillId="6" borderId="0" xfId="0" applyFill="1" applyBorder="1" applyAlignment="1"/>
    <xf numFmtId="0" fontId="8" fillId="0" borderId="0" xfId="0" applyFont="1" applyFill="1" applyBorder="1" applyAlignment="1">
      <alignment vertical="top" wrapText="1"/>
    </xf>
    <xf numFmtId="0" fontId="0" fillId="0" borderId="0" xfId="0" applyAlignment="1">
      <alignment vertical="center" wrapText="1"/>
    </xf>
    <xf numFmtId="0" fontId="0" fillId="0" borderId="5" xfId="0" applyBorder="1"/>
    <xf numFmtId="0" fontId="0" fillId="0" borderId="5" xfId="0" applyBorder="1" applyAlignment="1">
      <alignment horizontal="right" vertical="center" wrapText="1"/>
    </xf>
    <xf numFmtId="0" fontId="3" fillId="0" borderId="5" xfId="0" applyFont="1" applyBorder="1" applyAlignment="1">
      <alignment horizontal="right" vertical="center" wrapText="1"/>
    </xf>
    <xf numFmtId="0" fontId="3" fillId="7" borderId="3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1" defaultTableStyle="TableStyleMedium9" defaultPivotStyle="PivotStyleLight16">
    <tableStyle name="Invisible" pivot="0" table="0" count="0" xr9:uid="{CE70DD88-7DC0-408D-B5C7-50423A976A2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7AFD6-74F6-416D-8A1C-7D88981E05ED}">
  <sheetPr>
    <outlinePr summaryBelow="0"/>
  </sheetPr>
  <dimension ref="B1:G13"/>
  <sheetViews>
    <sheetView showGridLines="0" tabSelected="1" workbookViewId="0">
      <selection activeCell="K33" sqref="K33"/>
    </sheetView>
  </sheetViews>
  <sheetFormatPr defaultRowHeight="14.4" outlineLevelRow="1" outlineLevelCol="1" x14ac:dyDescent="0.3"/>
  <cols>
    <col min="3" max="3" width="6.109375" bestFit="1" customWidth="1"/>
    <col min="4" max="7" width="13.109375" bestFit="1" customWidth="1" outlineLevel="1"/>
  </cols>
  <sheetData>
    <row r="1" spans="2:7" ht="15" thickBot="1" x14ac:dyDescent="0.35"/>
    <row r="2" spans="2:7" ht="15.6" x14ac:dyDescent="0.3">
      <c r="B2" s="8" t="s">
        <v>18</v>
      </c>
      <c r="C2" s="8"/>
      <c r="D2" s="13"/>
      <c r="E2" s="13"/>
      <c r="F2" s="13"/>
      <c r="G2" s="13"/>
    </row>
    <row r="3" spans="2:7" ht="15.6" collapsed="1" x14ac:dyDescent="0.3">
      <c r="B3" s="7"/>
      <c r="C3" s="7"/>
      <c r="D3" s="14" t="s">
        <v>20</v>
      </c>
      <c r="E3" s="14" t="s">
        <v>14</v>
      </c>
      <c r="F3" s="14" t="s">
        <v>16</v>
      </c>
      <c r="G3" s="14" t="s">
        <v>17</v>
      </c>
    </row>
    <row r="4" spans="2:7" ht="20.399999999999999" hidden="1" outlineLevel="1" x14ac:dyDescent="0.3">
      <c r="B4" s="10"/>
      <c r="C4" s="10"/>
      <c r="D4" s="5"/>
      <c r="E4" s="16" t="s">
        <v>15</v>
      </c>
      <c r="F4" s="16" t="s">
        <v>15</v>
      </c>
      <c r="G4" s="16" t="s">
        <v>15</v>
      </c>
    </row>
    <row r="5" spans="2:7" x14ac:dyDescent="0.3">
      <c r="B5" s="11" t="s">
        <v>19</v>
      </c>
      <c r="C5" s="11"/>
      <c r="D5" s="9"/>
      <c r="E5" s="9"/>
      <c r="F5" s="9"/>
      <c r="G5" s="9"/>
    </row>
    <row r="6" spans="2:7" outlineLevel="1" x14ac:dyDescent="0.3">
      <c r="B6" s="10"/>
      <c r="C6" s="10" t="s">
        <v>10</v>
      </c>
      <c r="D6" s="5">
        <v>3000</v>
      </c>
      <c r="E6" s="15">
        <v>5000</v>
      </c>
      <c r="F6" s="15">
        <v>3000</v>
      </c>
      <c r="G6" s="15">
        <v>1500</v>
      </c>
    </row>
    <row r="7" spans="2:7" outlineLevel="1" x14ac:dyDescent="0.3">
      <c r="B7" s="10"/>
      <c r="C7" s="10" t="s">
        <v>11</v>
      </c>
      <c r="D7" s="5">
        <v>200</v>
      </c>
      <c r="E7" s="15">
        <v>250</v>
      </c>
      <c r="F7" s="15">
        <v>200</v>
      </c>
      <c r="G7" s="15">
        <v>170</v>
      </c>
    </row>
    <row r="8" spans="2:7" outlineLevel="1" x14ac:dyDescent="0.3">
      <c r="B8" s="10"/>
      <c r="C8" s="10" t="s">
        <v>12</v>
      </c>
      <c r="D8" s="5">
        <v>120</v>
      </c>
      <c r="E8" s="15">
        <v>110</v>
      </c>
      <c r="F8" s="15">
        <v>120</v>
      </c>
      <c r="G8" s="15">
        <v>130</v>
      </c>
    </row>
    <row r="9" spans="2:7" x14ac:dyDescent="0.3">
      <c r="B9" s="11" t="s">
        <v>21</v>
      </c>
      <c r="C9" s="11"/>
      <c r="D9" s="9"/>
      <c r="E9" s="9"/>
      <c r="F9" s="9"/>
      <c r="G9" s="9"/>
    </row>
    <row r="10" spans="2:7" ht="15" outlineLevel="1" thickBot="1" x14ac:dyDescent="0.35">
      <c r="B10" s="12"/>
      <c r="C10" s="12" t="s">
        <v>13</v>
      </c>
      <c r="D10" s="6">
        <v>190000</v>
      </c>
      <c r="E10" s="6">
        <v>650000</v>
      </c>
      <c r="F10" s="6">
        <v>190000</v>
      </c>
      <c r="G10" s="6">
        <v>10000</v>
      </c>
    </row>
    <row r="11" spans="2:7" x14ac:dyDescent="0.3">
      <c r="B11" t="s">
        <v>22</v>
      </c>
    </row>
    <row r="12" spans="2:7" x14ac:dyDescent="0.3">
      <c r="B12" t="s">
        <v>23</v>
      </c>
    </row>
    <row r="13" spans="2:7" x14ac:dyDescent="0.3">
      <c r="B1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4"/>
  <sheetViews>
    <sheetView workbookViewId="0">
      <selection activeCell="D33" sqref="D33"/>
    </sheetView>
  </sheetViews>
  <sheetFormatPr defaultRowHeight="14.4" x14ac:dyDescent="0.3"/>
  <cols>
    <col min="1" max="1" width="23.33203125" bestFit="1" customWidth="1"/>
    <col min="2" max="2" width="9.21875" customWidth="1"/>
    <col min="4" max="4" width="11" bestFit="1" customWidth="1"/>
  </cols>
  <sheetData>
    <row r="2" spans="1:5" ht="18" x14ac:dyDescent="0.35">
      <c r="A2" s="1" t="s">
        <v>0</v>
      </c>
      <c r="D2" s="21" t="s">
        <v>25</v>
      </c>
      <c r="E2" s="21"/>
    </row>
    <row r="3" spans="1:5" x14ac:dyDescent="0.3">
      <c r="D3" s="18" t="s">
        <v>8</v>
      </c>
      <c r="E3" s="18">
        <f>B12</f>
        <v>190000</v>
      </c>
    </row>
    <row r="4" spans="1:5" x14ac:dyDescent="0.3">
      <c r="A4" t="s">
        <v>1</v>
      </c>
      <c r="B4" s="2">
        <v>3000</v>
      </c>
      <c r="D4" s="19">
        <v>500</v>
      </c>
      <c r="E4" s="20">
        <f t="dataTable" ref="E4:E13" dt2D="0" dtr="0" r1="B4"/>
        <v>-10000</v>
      </c>
    </row>
    <row r="5" spans="1:5" x14ac:dyDescent="0.3">
      <c r="A5" t="s">
        <v>2</v>
      </c>
      <c r="B5" s="2">
        <v>200</v>
      </c>
      <c r="D5" s="19">
        <v>1000</v>
      </c>
      <c r="E5" s="18">
        <v>30000</v>
      </c>
    </row>
    <row r="6" spans="1:5" x14ac:dyDescent="0.3">
      <c r="A6" t="s">
        <v>3</v>
      </c>
      <c r="B6" s="2">
        <v>120</v>
      </c>
      <c r="D6" s="19">
        <v>1500</v>
      </c>
      <c r="E6" s="18">
        <v>70000</v>
      </c>
    </row>
    <row r="7" spans="1:5" x14ac:dyDescent="0.3">
      <c r="A7" t="s">
        <v>4</v>
      </c>
      <c r="B7" s="2">
        <v>50000</v>
      </c>
      <c r="D7" s="19">
        <v>2000</v>
      </c>
      <c r="E7" s="18">
        <v>110000</v>
      </c>
    </row>
    <row r="8" spans="1:5" x14ac:dyDescent="0.3">
      <c r="D8" s="19">
        <v>2500</v>
      </c>
      <c r="E8" s="18">
        <v>150000</v>
      </c>
    </row>
    <row r="9" spans="1:5" x14ac:dyDescent="0.3">
      <c r="A9" t="s">
        <v>5</v>
      </c>
      <c r="B9" s="3">
        <f>B4*B5</f>
        <v>600000</v>
      </c>
      <c r="D9" s="19">
        <v>3000</v>
      </c>
      <c r="E9" s="18">
        <v>190000</v>
      </c>
    </row>
    <row r="10" spans="1:5" x14ac:dyDescent="0.3">
      <c r="A10" t="s">
        <v>6</v>
      </c>
      <c r="B10" s="3">
        <f>B4*B6</f>
        <v>360000</v>
      </c>
      <c r="D10" s="19">
        <v>3500</v>
      </c>
      <c r="E10" s="18">
        <v>230000</v>
      </c>
    </row>
    <row r="11" spans="1:5" x14ac:dyDescent="0.3">
      <c r="A11" t="s">
        <v>7</v>
      </c>
      <c r="B11" s="3">
        <f>B10+B7</f>
        <v>410000</v>
      </c>
      <c r="D11" s="19">
        <v>4000</v>
      </c>
      <c r="E11" s="18">
        <v>270000</v>
      </c>
    </row>
    <row r="12" spans="1:5" x14ac:dyDescent="0.3">
      <c r="A12" t="s">
        <v>8</v>
      </c>
      <c r="B12" s="3">
        <f>B9-B11</f>
        <v>190000</v>
      </c>
      <c r="D12" s="19">
        <v>4500</v>
      </c>
      <c r="E12" s="18">
        <v>310000</v>
      </c>
    </row>
    <row r="13" spans="1:5" x14ac:dyDescent="0.3">
      <c r="A13" t="s">
        <v>9</v>
      </c>
      <c r="B13" s="4">
        <f>B12/B9</f>
        <v>0.31666666666666665</v>
      </c>
      <c r="D13" s="19">
        <v>5000</v>
      </c>
      <c r="E13" s="18">
        <v>350000</v>
      </c>
    </row>
    <row r="14" spans="1:5" x14ac:dyDescent="0.3">
      <c r="D14" s="17"/>
    </row>
  </sheetData>
  <scenarios current="1" show="1" sqref="B12">
    <scenario name="Best Case" locked="1" count="3" user="lenovo" comment="Created by lenovo on 21-07-2026">
      <inputCells r="B4" val="5000"/>
      <inputCells r="B5" val="250"/>
      <inputCells r="B6" val="110"/>
    </scenario>
    <scenario name="Base Case" locked="1" count="3" user="lenovo" comment="Created by lenovo on 21-07-2026">
      <inputCells r="B4" val="3000"/>
      <inputCells r="B5" val="200"/>
      <inputCells r="B6" val="120"/>
    </scenario>
    <scenario name="Worst Case" locked="1" count="3" user="lenovo" comment="Created by lenovo on 21-07-2026">
      <inputCells r="B4" val="1500"/>
      <inputCells r="B5" val="170"/>
      <inputCells r="B6" val="130"/>
    </scenario>
  </scenarios>
  <mergeCells count="1"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 Summary</vt:lpstr>
      <vt:lpstr>PnL_Model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saideep pallela</cp:lastModifiedBy>
  <dcterms:created xsi:type="dcterms:W3CDTF">2026-07-21T04:47:25Z</dcterms:created>
  <dcterms:modified xsi:type="dcterms:W3CDTF">2026-07-21T06:21:35Z</dcterms:modified>
</cp:coreProperties>
</file>